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nalysis" sheetId="2" state="visible" r:id="rId4"/>
    <sheet name="Assumptions" sheetId="3" state="visible" r:id="rId5"/>
    <sheet name="Tax_Bands" sheetId="4" state="visible" r:id="rId6"/>
    <sheet name="Returns" sheetId="5" state="visible" r:id="rId7"/>
    <sheet name="MM_Income" sheetId="6" state="visible" r:id="rId8"/>
    <sheet name="DM_Income" sheetId="7" state="visible" r:id="rId9"/>
    <sheet name="Children" sheetId="8" state="visible" r:id="rId10"/>
    <sheet name="Household_Base" sheetId="9" state="visible" r:id="rId11"/>
    <sheet name="Analysis_DM_Exit" sheetId="10" state="visible" r:id="rId12"/>
    <sheet name="Scen_3rd_Child" sheetId="11" state="visible" r:id="rId13"/>
    <sheet name="Analysis_Exit_3rd"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<sst xmlns="http://schemas.openxmlformats.org/spreadsheetml/2006/main" count="734" uniqueCount="556">
  <si>
    <t xml:space="preserve">FAMILY JOINT FINANCES — 30-YEAR PROJECTION, 2026 TO 2055   (version 2)</t>
  </si>
  <si>
    <t xml:space="preserve">Rebuilt with workplace and employer pension contributions, the 8%-to-2% return glidepath, the 19-year mortgage, maternity leave, self-sizing Junior ISAs, and contributions that are DERIVED from what is actually affordable rather than assumed. Every number is a live formula.</t>
  </si>
  <si>
    <t xml:space="preserve">START HERE</t>
  </si>
  <si>
    <t xml:space="preserve">1.  Analysis              — the written answers.</t>
  </si>
  <si>
    <t xml:space="preserve">2.  Analysis_DM_Exit      — when DM can stop, base case: three rungs, and a year-by-year sweep behind them.</t>
  </si>
  <si>
    <t xml:space="preserve">3.  Analysis_Exit_3rd     — the same question with a third child.</t>
  </si>
  <si>
    <t xml:space="preserve">4.  Assumptions           — every input. Blue cells are yours to change; yellow ones matter most.</t>
  </si>
  <si>
    <t xml:space="preserve">THE SHEETS</t>
  </si>
  <si>
    <t xml:space="preserve">README              — This page.</t>
  </si>
  <si>
    <t xml:space="preserve">Analysis            — The written analysis and recommendations.</t>
  </si>
  <si>
    <t xml:space="preserve">Assumptions         — Every input: inflation, salaries, base salaries, pension percentages, balances, expenses, children's dates, tax parameters, maternity leave, and the definitions of the three tests.</t>
  </si>
  <si>
    <t xml:space="preserve">Tax_Bands           — UK tax thresholds and allowances year by year — frozen in cash terms to 2030/31, then uprated with inflation.</t>
  </si>
  <si>
    <t xml:space="preserve">Returns             — The age glidepath. Junior ISAs earn a flat 8%; every other pot runs from 8% at age 50 down to 2% at 70.</t>
  </si>
  <si>
    <t xml:space="preserve">MM_Income           — MM's pay, workplace pension, annual-allowance headroom, tax, NI, net pay, and her pension balance.</t>
  </si>
  <si>
    <t xml:space="preserve">DM_Income           — The same for DM.</t>
  </si>
  <si>
    <t xml:space="preserve">Children            — Nursery, nannies, university, the London year, and each Junior ISA — including how big each one needs to be and when contributions can stop.</t>
  </si>
  <si>
    <t xml:space="preserve">Household_Base      — The base case: income, every expense line, the savings waterfall, and the household balance sheet.</t>
  </si>
  <si>
    <t xml:space="preserve">Analysis_DM_Exit    — When DM can stop, base case. Three grids sweep every possible exit year.</t>
  </si>
  <si>
    <t xml:space="preserve">Scen_3rd_Child      — Full projection with a third child born July 2027, including MM's maternity leave.</t>
  </si>
  <si>
    <t xml:space="preserve">Analysis_Exit_3rd   — When DM can stop with a third child.</t>
  </si>
  <si>
    <t xml:space="preserve">HOW CONTRIBUTIONS ARE NOW WORKED OUT</t>
  </si>
  <si>
    <t xml:space="preserve">You asked for the maximum that can actually be afforded, with no negative cash flows. The model pays things in this order:</t>
  </si>
  <si>
    <t xml:space="preserve">1.  Workplace pensions — contractual, and they come out first (employee 7% / 12% of base salary, employer 14% / 12%).</t>
  </si>
  <si>
    <t xml:space="preserve">2.  Household expenses.</t>
  </si>
  <si>
    <t xml:space="preserve">3.  Junior ISAs — £9,000 a year per child until that child's pot is big enough, then nothing.</t>
  </si>
  <si>
    <t xml:space="preserve">4.  Personal SIPPs — up to whatever is left of the £60,000 annual allowance after the workplace contributions, and only as far as the cash stretches.</t>
  </si>
  <si>
    <t xml:space="preserve">5.  ISAs — up to £20,000 each.</t>
  </si>
  <si>
    <t xml:space="preserve">6.  Anything still left goes into a taxable account.</t>
  </si>
  <si>
    <t xml:space="preserve">If the cash runs out at step 4 or 5, those contributions are cut back — never the expenses. Two check rows on Household_Base (and Scen_3rd_Child) confirm net cash flow is never negative and income always covers spending.</t>
  </si>
  <si>
    <t xml:space="preserve">HOW THE PENSION TAX RELIEF IS MODELLED (this is what changed most from version 1)</t>
  </si>
  <si>
    <t xml:space="preserve">Workplace pension — NET PAY arrangement: the employee contribution comes out of gross pay, so it reduces income tax but not National Insurance. The employer contribution is not taxed but DOES count towards the £60,000 annual allowance.</t>
  </si>
  <si>
    <t xml:space="preserve">Personal SIPP — RELIEF AT SOURCE: you pay 80p and HMRC adds 20p, so £1 in the pension costs 80p of cash. The tax bands are then extended by the gross contribution, which delivers the higher and additional-rate relief as a lower tax bill.</t>
  </si>
  <si>
    <t xml:space="preserve">Version 1 of this model treated the full gross SIPP contribution as cash out of the door and ALSO took the band-extension relief. That double-counted the cost and understated your free cash by roughly £24,000 a year. It is fixed here.</t>
  </si>
  <si>
    <t xml:space="preserve">CONVENTIONS</t>
  </si>
  <si>
    <t xml:space="preserve">Model years are calendar years. Tax parameters use the UK tax year beginning in April of that year; school and university years begin in the September of that year.</t>
  </si>
  <si>
    <t xml:space="preserve">Figures are in the money of the day unless a line says '2026 money'. Every expense is inflated: 4% in 2027 and 2028, then 2% a year.</t>
  </si>
  <si>
    <t xml:space="preserve">Investment growth is applied to the opening balance only; contributions are credited at the end of the year. That is the conservative convention.</t>
  </si>
  <si>
    <t xml:space="preserve">Colour key:  blue = an input you can change  |  black = formula  |  green = link to another sheet  |  yellow fill = key assumption.</t>
  </si>
  <si>
    <t xml:space="preserve">ALLOWANCES USED (checked against the published 2026/27 figures)</t>
  </si>
  <si>
    <t xml:space="preserve">•  Pension annual allowance £60,000 each — and it covers employee AND employer workplace contributions as well as any personal SIPP contribution, exactly as you said.</t>
  </si>
  <si>
    <t xml:space="preserve">•  Tapered down by £1 for every £2 of adjusted income over £260,000, floor £10,000. Neither of you is caught: adjusted income is £184,000 (MM) and £205,600 (DM) in 2026.</t>
  </si>
  <si>
    <t xml:space="preserve">•  You are also limited to 100% of your UK earnings for personal contributions — never binding here.</t>
  </si>
  <si>
    <t xml:space="preserve">•  ISA allowance £20,000 each. Junior ISA £9,000 per child, entirely separate from the adult allowance, frozen at £9,000 until April 2031.</t>
  </si>
  <si>
    <t xml:space="preserve">•  Carry-forward of unused annual allowance from the previous three years is NOT modelled. In the third-child scenario you lose £45,000 of allowance that carry-forward could in practice recover — worth asking an adviser about.</t>
  </si>
  <si>
    <t xml:space="preserve">THINGS WE HAD TO ASSUME — CHECK THESE</t>
  </si>
  <si>
    <t xml:space="preserve">•  THE POST-GRADUATION LONDON YEAR: £30,000 a year in 2026 money (Assumptions C78). A graduate house-share, bills, food, travel and personal spending. A single professional wanting their own place in London needs closer to £44,000 gross.</t>
  </si>
  <si>
    <t xml:space="preserve">•  THE GLIDEPATH ON PENSIONS: you specified it for the ISA only. Leaving pensions at a flat 8% while the ISA tapers would be inconsistent, so the same glidepath is applied to each pension using its owner's own age. Assumptions C39 turns that off.</t>
  </si>
  <si>
    <t xml:space="preserve">•  TAXABLE SAVINGS: anything above the ISA allowance earns the ISA rate less 1.5% for dividend tax and CGT (Assumptions C37).</t>
  </si>
  <si>
    <t xml:space="preserve">•  MATERNITY PENSION: contributions are modelled on full base salary throughout the leave. UK rules require the employer to keep paying at the full rate during paid leave; holding the employee side at full rate too overstates her outgoings by about £1,000.</t>
  </si>
  <si>
    <t xml:space="preserve">•  MM'S BASE SALARY after her return is left on the stated path (£110,000 in 2027 growing with inflation) even though her total income changes to £180,000. Her pension percentages are applied to that base.</t>
  </si>
  <si>
    <t xml:space="preserve">•  SALARY SACRIFICE is NOT assumed. If your workplace schemes use it you would also save the 2% National Insurance on the contributions — roughly £140 a year for MM and £310 for DM.</t>
  </si>
  <si>
    <t xml:space="preserve">•  A THIRD CHILD adds £500 a month of general spending (Assumptions C72).</t>
  </si>
  <si>
    <t xml:space="preserve">This is a planning model, not regulated financial advice. With pensions on track to pass £12m, take advice on the lump sum allowance (£268,275 each) and on inheritance tax before acting on any of it.</t>
  </si>
  <si>
    <t xml:space="preserve">ANALYSIS — WHEN CAN DM STOP WORKING?</t>
  </si>
  <si>
    <t xml:space="preserve">THE HEADLINE: THE ANSWER HAS MOVED A LONG WAY, AND IN YOUR FAVOUR</t>
  </si>
  <si>
    <t xml:space="preserve">On the numbers you have now given, DM does not have a date so much as a choice. Even with DM earning nothing at all from the business, the household is solvent all the way to retirement if he stops at the end of THIS year.</t>
  </si>
  <si>
    <t xml:space="preserve">Three things moved it. (1) A correction: version 1 treated a £1 gross SIPP contribution as £1 of cash leaving the household, when relief at source means it costs 80p — that alone was worth about £24,000 a year. (2) Employer pension contributions of £29,600 a year are money you were previously funding yourselves. (3) The mortgage ends in 2044, not 2055.</t>
  </si>
  <si>
    <t xml:space="preserve">Pulling the other way: the return assumption has come down from a flat 10% to your 8% glidepath, which by 2055 has DM's pension earning 2.0% and the joint ISA 2.5%.</t>
  </si>
  <si>
    <t xml:space="preserve">THE LADDER — PICK YOUR RUNG</t>
  </si>
  <si>
    <t xml:space="preserve">DM's last full working year</t>
  </si>
  <si>
    <t xml:space="preserve">Base case</t>
  </si>
  <si>
    <t xml:space="preserve">DM's age</t>
  </si>
  <si>
    <t xml:space="preserve">Third child</t>
  </si>
  <si>
    <t xml:space="preserve">RUNG 1 — DM stops and the family lives partly off savings until MM's pension unlocks. This is the test you asked for: 'we can tap into earnings to cover expenses.'</t>
  </si>
  <si>
    <t xml:space="preserve">RUNG 2 — DM stops and MM's pay alone covers everything, with no drawdown at all, ever.</t>
  </si>
  <si>
    <t xml:space="preserve">RUNG 3 — as Rung 2, but with a 20% comfort margin on top.</t>
  </si>
  <si>
    <t xml:space="preserve">Read that as: he could go now and be fine; he could go at 49 and never touch savings; he could go at 51 with room to spare.</t>
  </si>
  <si>
    <t xml:space="preserve">With a third child the same three rungs are 2027 (age 45), 2033 (age 51) and 2044 (age 62). The third rung jumps a long way because your post-maternity income of £180,000 is, in real terms, BELOW the £170,000 path it replaces — by 2034 MM's pay covers 1.17x of household spending, just under the 1.20x bar, and it only clears once the mortgage ends in 2045.</t>
  </si>
  <si>
    <t xml:space="preserve">WHAT 'ENOUGH' MEANS NOW (all three must pass — Assumptions rows 111 to 115)</t>
  </si>
  <si>
    <t xml:space="preserve">TEST 1 — SURVIVAL.  From the year DM stops until MM turns 57 in 2048 and the pensions unlock, liquid savings must never fall below 12 months of household spending. This is the test that lets you live off savings.</t>
  </si>
  <si>
    <t xml:space="preserve">TEST 2 — BUFFER AT THE DOOR.  On the day he stops: 12 months of spending PLUS £100,000 of business capital he could lose entirely.</t>
  </si>
  <si>
    <t xml:space="preserve">TEST 3 — RETIREMENT.  With no further contributions from DM and only MM's contractual workplace pension continuing, the pensions must reach 25x adult-only spending by 2048, grossed up for tax on withdrawal.</t>
  </si>
  <si>
    <t xml:space="preserve">Test 3 is never close: the required pot is £2.76m and the projection lands at £7.6m even if DM stops in 2026. Test 2 passes from the start. Test 1 is the only one that ever fails, and only in the third-child case if DM goes in 2026.</t>
  </si>
  <si>
    <t xml:space="preserve">What Rung 1 actually looks like — DM stops at the end of 2026, no business income at all:</t>
  </si>
  <si>
    <t xml:space="preserve">Liquid savings dip from £302,000 to a low of £264,000 in 2028, then climb back. The annual gap is £45,000 in 2027 and £47,000 in 2028, narrowing to £14,000 by 2029 as EM's nursery ends and to nothing by 2032. From 2034 the nannies stop and the household is adding £26,000 a year again. The floor is £130,000 — the worst margin over it is £140,000, in 2028.</t>
  </si>
  <si>
    <t xml:space="preserve">THE JUNIOR ISAs — HOW MUCH, AND WHEN TO STOP</t>
  </si>
  <si>
    <t xml:space="preserve">Each pot is sized to cover three years of university PLUS the year of London living after graduation, and the model turns the £9,000 off the moment the pot on its own will get there. The target is the cost stream discounted back at 8%.</t>
  </si>
  <si>
    <t xml:space="preserve">Child</t>
  </si>
  <si>
    <t xml:space="preserve">Target fund</t>
  </si>
  <si>
    <t xml:space="preserve">Needed by</t>
  </si>
  <si>
    <t xml:space="preserve">£9,000 payments</t>
  </si>
  <si>
    <t xml:space="preserve">Total paid in</t>
  </si>
  <si>
    <t xml:space="preserve">Left over at 21</t>
  </si>
  <si>
    <t xml:space="preserve">VM  (already has £15,000)</t>
  </si>
  <si>
    <t xml:space="preserve">4  —  2026 to 2029</t>
  </si>
  <si>
    <t xml:space="preserve">EM  (starting from zero)</t>
  </si>
  <si>
    <t xml:space="preserve">6  —  2026 to 2031</t>
  </si>
  <si>
    <t xml:space="preserve">Child 3 (scenario)</t>
  </si>
  <si>
    <t xml:space="preserve">6  —  2028 to 2033</t>
  </si>
  <si>
    <t xml:space="preserve">So the whole education bill is settled with £90,000 of Junior ISA contributions spread over six years, all finished by 2031 — and £144,000 over eight years if there is a third child. That is far less than the £9,000-a-year-forever plan in version 1, which would have put £324,000 into EM's pot alone.</t>
  </si>
  <si>
    <t xml:space="preserve">VM lands almost exactly on target (£1,872 spare). EM and Child 3 overshoot by about £40,000 each, because the last £9,000 payment tips them past the line — the rule you asked for is £9,000 or nothing. If you would rather land exactly, make the final payment a part payment; it saves roughly £7,000 of contribution in each case.</t>
  </si>
  <si>
    <t xml:space="preserve">Junior ISA rules that matter</t>
  </si>
  <si>
    <t xml:space="preserve">•  £9,000 a year per child, entirely separate from your own £20,000 ISA allowances. Frozen at £9,000 until April 2031.</t>
  </si>
  <si>
    <t xml:space="preserve">•  Nothing can be withdrawn before 18 — not by you, not by them.</t>
  </si>
  <si>
    <t xml:space="preserve">•  At 18 the account becomes an adult ISA in the child's name. They control it, and they can spend it on anything. That is the real risk in over-funding, and the reason to stop once the pot is big enough.</t>
  </si>
  <si>
    <t xml:space="preserve">•  Growth and withdrawals are free of income tax and capital gains tax.</t>
  </si>
  <si>
    <t xml:space="preserve">•  Timing: VM turns 18 in December 2038 and starts university in October 2039 — clean. EM turns 18 on 14 December 2042 but starts in October 2042, so budget to fund his first term from household cash.</t>
  </si>
  <si>
    <t xml:space="preserve">CAN YOU MAX OUT THE PENSIONS AND ISAs?  MOSTLY YES</t>
  </si>
  <si>
    <t xml:space="preserve">Base case: BOTH £60,000 pension allowances are filled every single year of the projection. In 2026 that is £52,200 of workplace contributions (yours plus your employers') and £67,800 of personal SIPP on top.</t>
  </si>
  <si>
    <t xml:space="preserve">The ISAs are the only thing that gets squeezed, and only at the start: £21,400 of the £40,000 in 2026 and £25,000 in 2027, because EM's nursery and both Junior ISAs are running at the same time. From 2028 both £20,000 allowances are filled every year.</t>
  </si>
  <si>
    <t xml:space="preserve">Third child: this is where it bites. The pension allowances CANNOT be filled in 2027, 2028 and 2029.</t>
  </si>
  <si>
    <t xml:space="preserve">Year</t>
  </si>
  <si>
    <t xml:space="preserve">Cash available</t>
  </si>
  <si>
    <t xml:space="preserve">SIPP headroom</t>
  </si>
  <si>
    <t xml:space="preserve">Actually paid in</t>
  </si>
  <si>
    <t xml:space="preserve">Allowance lost</t>
  </si>
  <si>
    <t xml:space="preserve">ISA</t>
  </si>
  <si>
    <t xml:space="preserve">£45,000 of pension allowance goes unused across those three years, and the ISAs drop to £9,700–£15,000. Nothing goes into deficit — the model cuts the saving, not the spending. Two things soften it: carry-forward of unused annual allowance from the previous three tax years is not modelled here and would let you recover most of that £45,000 later; and if either workplace scheme uses salary sacrifice the cash position is slightly better than shown.</t>
  </si>
  <si>
    <t xml:space="preserve">THE BASE CASE IN NUMBERS</t>
  </si>
  <si>
    <t xml:space="preserve">In the money of the day unless stated</t>
  </si>
  <si>
    <t xml:space="preserve">Total net pay</t>
  </si>
  <si>
    <t xml:space="preserve">Total household expenses</t>
  </si>
  <si>
    <t xml:space="preserve">   memo: expenses in 2026 money</t>
  </si>
  <si>
    <t xml:space="preserve">Into pensions this year</t>
  </si>
  <si>
    <t xml:space="preserve">Into ISAs this year</t>
  </si>
  <si>
    <t xml:space="preserve">Into Junior ISAs this year</t>
  </si>
  <si>
    <t xml:space="preserve">Net cash flow left over</t>
  </si>
  <si>
    <t xml:space="preserve">Liquid savings (ISA + taxable)</t>
  </si>
  <si>
    <t xml:space="preserve">Pensions</t>
  </si>
  <si>
    <t xml:space="preserve">Total net worth, excluding the house</t>
  </si>
  <si>
    <t xml:space="preserve">   memo: net worth in 2026 money</t>
  </si>
  <si>
    <t xml:space="preserve">MM's pay ÷ household outgoings</t>
  </si>
  <si>
    <t xml:space="preserve">WHAT WE WOULD ACTUALLY DO</t>
  </si>
  <si>
    <t xml:space="preserve">•  Do not read Rung 1 as 'quit tomorrow'. It says the ARITHMETIC works. What it does not say is that it is comfortable: for six years the family would be spending more than it earns, and by 2028 you would have £264,000 of accessible money against £1.7m locked in pensions neither of you can touch until 2039 and 2048 respectively.</t>
  </si>
  <si>
    <t xml:space="preserve">•  If DM wants to go early, divert cash from the SIPP to the ISA for two or three years first. The model fills the SIPP before the ISA because the relief is worth roughly 50p in the pound for MM in the £100k–£125k band. That is the right call while you both work — it is the wrong call in the two years before a planned income cliff.</t>
  </si>
  <si>
    <t xml:space="preserve">•  Rung 2 — DM's last working year 2031, age 49 — is the one we would aim at. Nothing is being drawn down, EM's nursery is long gone, both Junior ISAs are finished, and there is still £767,000 liquid plus £2.85m of pensions behind it.</t>
  </si>
  <si>
    <t xml:space="preserve">•  MM's income protection and life cover are now the most important policies you own. From the moment DM stops, one salary carries a family of four or five for up to two decades. Check the sum insured and the deferred period.</t>
  </si>
  <si>
    <t xml:space="preserve">•  Watch the pension total. On these assumptions you reach £12.3m by 2048. The lifetime allowance is gone, but the tax-free lump sum is capped at £268,275 each — everything above that is taxed as income on the way out. At some point the marginal £1 into a SIPP stops being obviously better than the same £1 into an ISA. Worth advice well before then.</t>
  </si>
  <si>
    <t xml:space="preserve">WHAT WOULD CHANGE THE ANSWER</t>
  </si>
  <si>
    <t xml:space="preserve">•  The glidepath. It does not affect Rungs 2 and 3 at all — those are pure income-versus-spending tests with no investment return in them. It affects Rung 1 and Test 3, both of which pass with enormous room.</t>
  </si>
  <si>
    <t xml:space="preserve">•  DM earning anything from the business. Assumed to be zero for thirty years. Every £1 of profit moves all three rungs earlier.</t>
  </si>
  <si>
    <t xml:space="preserve">•  The mortgage. £1,950 a month is inflated in line with everything else because that is what you asked for. A fixed repayment mortgage would not be — that makes this projection pessimistic by a growing amount, and the mortgage is the single biggest line in the adult budget until it ends in 2044.</t>
  </si>
  <si>
    <t xml:space="preserve">•  MM keeping her personal SIPP going after DM stops. The sweep assumes she stops it and keeps only the workplace scheme. If she carried on contributing, Rung 1 would move later and the pensions would be larger still.</t>
  </si>
  <si>
    <t xml:space="preserve">•  Carry-forward of unused pension allowance — not modelled, and worth about £45,000 in the third-child case.</t>
  </si>
  <si>
    <t xml:space="preserve">WHAT IS NOT IN THE MODEL</t>
  </si>
  <si>
    <t xml:space="preserve">•  The house, and any equity in it. Only the mortgage payment appears.</t>
  </si>
  <si>
    <t xml:space="preserve">•  Bonuses beyond the stated total income, share options, inheritance, or any other lump sum.</t>
  </si>
  <si>
    <t xml:space="preserve">•  Private school fees — everything assumes state school to 18.</t>
  </si>
  <si>
    <t xml:space="preserve">•  Care costs for elderly parents; death, disability, serious illness or divorce.</t>
  </si>
  <si>
    <t xml:space="preserve">•  Any support for the children beyond the funded London year.</t>
  </si>
  <si>
    <t xml:space="preserve">•  Changes to UK pension, ISA or tax rules over thirty years, which are close to a certainty.</t>
  </si>
  <si>
    <t xml:space="preserve">This is a planning model, not regulated financial advice.</t>
  </si>
  <si>
    <t xml:space="preserve">FAMILY JOINT FINANCES — 30-YEAR PROJECTION | ASSUMPTIONS  (v2)</t>
  </si>
  <si>
    <t xml:space="preserve">Model years are CALENDAR years. Tax parameters use the UK tax year beginning in April of that year. School and university years begin in the September of that year. 2026 figures are as supplied by the family.</t>
  </si>
  <si>
    <t xml:space="preserve">COLOUR KEY:  blue = an input you can change  |  black = formula  |  green = link to another sheet  |  yellow fill = key assumption</t>
  </si>
  <si>
    <t xml:space="preserve">1.  TIMELINE, INFLATION AND AGES</t>
  </si>
  <si>
    <t xml:space="preserve">Projection year</t>
  </si>
  <si>
    <t xml:space="preserve">Inflation rate (applied to the prior year)</t>
  </si>
  <si>
    <t xml:space="preserve">User instruction: 4% for two years, then 2% to perpetuity.</t>
  </si>
  <si>
    <t xml:space="preserve">Inflation index (2026 = 1.000)</t>
  </si>
  <si>
    <t xml:space="preserve">Tax / allowance threshold uprating</t>
  </si>
  <si>
    <t xml:space="preserve">Income-tax thresholds, the personal allowance and the pension / ISA / JISA allowances are frozen in cash terms to 2030/31 under current UK policy, then assumed to rise with inflation.</t>
  </si>
  <si>
    <t xml:space="preserve">Tax threshold index (2026 = 1.000)</t>
  </si>
  <si>
    <t xml:space="preserve">MM age (at 31 December)</t>
  </si>
  <si>
    <t xml:space="preserve">DM age (at 31 December)</t>
  </si>
  <si>
    <t xml:space="preserve">Average age of MM and DM (drives the joint ISA glidepath)</t>
  </si>
  <si>
    <t xml:space="preserve">VM age</t>
  </si>
  <si>
    <t xml:space="preserve">EM age</t>
  </si>
  <si>
    <t xml:space="preserve">Child 3 age (scenario only)</t>
  </si>
  <si>
    <t xml:space="preserve">2.  THE TWO EARNERS — POSITION AT THE START OF 2026</t>
  </si>
  <si>
    <t xml:space="preserve">MM</t>
  </si>
  <si>
    <t xml:space="preserve">DM</t>
  </si>
  <si>
    <t xml:space="preserve">Source / note</t>
  </si>
  <si>
    <t xml:space="preserve">Total gross income (£/yr)</t>
  </si>
  <si>
    <t xml:space="preserve">Supplied by the family.</t>
  </si>
  <si>
    <t xml:space="preserve">Base salary in 2026 (£/yr)</t>
  </si>
  <si>
    <t xml:space="preserve">Supplied by the family. Base salary drives the workplace pension percentages.</t>
  </si>
  <si>
    <t xml:space="preserve">Base salary in 2027 (£/yr) — MM only</t>
  </si>
  <si>
    <t xml:space="preserve">Supplied by the family. Set to 0 for DM, whose base simply grows with inflation.</t>
  </si>
  <si>
    <t xml:space="preserve">Age at 31 December 2026</t>
  </si>
  <si>
    <t xml:space="preserve">ISA balance (£)</t>
  </si>
  <si>
    <t xml:space="preserve">Supplied by the family. The model runs these as ONE joint household pot.</t>
  </si>
  <si>
    <t xml:space="preserve">Pension balance (£)</t>
  </si>
  <si>
    <t xml:space="preserve">Personal expenses (£/month, 2026 prices)</t>
  </si>
  <si>
    <t xml:space="preserve">Employee workplace pension (% of base salary)</t>
  </si>
  <si>
    <t xml:space="preserve">Employer workplace pension (% of base salary)</t>
  </si>
  <si>
    <t xml:space="preserve">Supplied by the family. Employer contributions count towards the £60,000 annual allowance.</t>
  </si>
  <si>
    <t xml:space="preserve">3.  INVESTMENT RETURNS</t>
  </si>
  <si>
    <t xml:space="preserve">Junior ISA return (flat, all years)</t>
  </si>
  <si>
    <t xml:space="preserve">User instruction: Junior ISA return changed to 8%.</t>
  </si>
  <si>
    <t xml:space="preserve">Glidepath — return before the taper begins</t>
  </si>
  <si>
    <t xml:space="preserve">User instruction: 'tapers from 8% to 2%'.</t>
  </si>
  <si>
    <t xml:space="preserve">Glidepath — age at which the taper begins</t>
  </si>
  <si>
    <t xml:space="preserve">User instruction.</t>
  </si>
  <si>
    <t xml:space="preserve">Glidepath — return once the taper is complete</t>
  </si>
  <si>
    <t xml:space="preserve">Glidepath — age at which the taper is complete</t>
  </si>
  <si>
    <t xml:space="preserve">Tax drag on taxable (non-ISA) savings</t>
  </si>
  <si>
    <t xml:space="preserve">Assumed dividend tax and CGT cost on a general investment account. Not supplied.</t>
  </si>
  <si>
    <t xml:space="preserve">Floor on the taxable-savings return</t>
  </si>
  <si>
    <t xml:space="preserve">Stops the drag pushing the net return below zero late in the projection.</t>
  </si>
  <si>
    <t xml:space="preserve">Apply the glidepath to PENSIONS as well? (1 = yes)</t>
  </si>
  <si>
    <t xml:space="preserve">YOU ONLY SPECIFIED THE ISA. Leaving pensions at a flat 8% while the ISA tapers would be inconsistent, so the same age glidepath is applied to each person's pension, using their own age. Set to 0 to hold pensions flat at the rate in C33.</t>
  </si>
  <si>
    <t xml:space="preserve">4.  CONTRIBUTION ALLOWANCES (2026/27 level, uprated by the threshold index)</t>
  </si>
  <si>
    <t xml:space="preserve">Pension annual allowance (each)</t>
  </si>
  <si>
    <t xml:space="preserve">£60,000 for 2026/27. Covers EMPLOYEE + EMPLOYER workplace contributions AND any personal SIPP contribution.</t>
  </si>
  <si>
    <t xml:space="preserve">ISA allowance (each)</t>
  </si>
  <si>
    <t xml:space="preserve">£20,000 for 2026/27.</t>
  </si>
  <si>
    <t xml:space="preserve">Junior ISA allowance (per child)</t>
  </si>
  <si>
    <t xml:space="preserve">£9,000 for 2026/27, separate from the adult ISA allowance and frozen until April 2031.</t>
  </si>
  <si>
    <t xml:space="preserve">Pension taper — adjusted income threshold</t>
  </si>
  <si>
    <t xml:space="preserve">Annual allowance falls by £1 for every £2 of adjusted income above this. Adjusted income includes employer contributions.</t>
  </si>
  <si>
    <t xml:space="preserve">Pension taper — minimum annual allowance</t>
  </si>
  <si>
    <t xml:space="preserve">Floor on the tapered annual allowance.</t>
  </si>
  <si>
    <t xml:space="preserve">5.  UK TAX PARAMETERS (England &amp; Wales, 2026/27)</t>
  </si>
  <si>
    <t xml:space="preserve">Personal allowance</t>
  </si>
  <si>
    <t xml:space="preserve">Published 2026/27 England &amp; Wales rates and thresholds.</t>
  </si>
  <si>
    <t xml:space="preserve">Personal allowance taper starts</t>
  </si>
  <si>
    <t xml:space="preserve">Basic rate limit (taxable income)</t>
  </si>
  <si>
    <t xml:space="preserve">Additional rate threshold (taxable income)</t>
  </si>
  <si>
    <t xml:space="preserve">Basic rate</t>
  </si>
  <si>
    <t xml:space="preserve">Workplace pension contributions are modelled as a NET PAY arrangement: they reduce taxable pay but not National Insurance. Personal SIPP contributions are relief at source: 20% is added by HMRC and the bands are extended by the gross contribution.</t>
  </si>
  <si>
    <t xml:space="preserve">Higher rate</t>
  </si>
  <si>
    <t xml:space="preserve">Additional rate</t>
  </si>
  <si>
    <t xml:space="preserve">National Insurance primary threshold</t>
  </si>
  <si>
    <t xml:space="preserve">National Insurance upper earnings limit</t>
  </si>
  <si>
    <t xml:space="preserve">National Insurance main rate</t>
  </si>
  <si>
    <t xml:space="preserve">National Insurance upper rate</t>
  </si>
  <si>
    <t xml:space="preserve">6.  HOUSEHOLD EXPENSES (2026 prices — every line is inflated year by year)</t>
  </si>
  <si>
    <t xml:space="preserve">Mortgage (£/month)</t>
  </si>
  <si>
    <t xml:space="preserve">Mortgage term remaining as at 2026 (years)</t>
  </si>
  <si>
    <t xml:space="preserve">Final year of mortgage payments</t>
  </si>
  <si>
    <t xml:space="preserve">Calculated: 19 years starting 2026.</t>
  </si>
  <si>
    <t xml:space="preserve">General family spending (£/month)</t>
  </si>
  <si>
    <t xml:space="preserve">Nannies (£/month, both together)</t>
  </si>
  <si>
    <t xml:space="preserve">Last full year of nanny costs</t>
  </si>
  <si>
    <t xml:space="preserve">EM turns 10 on 14 December 2033.</t>
  </si>
  <si>
    <t xml:space="preserve">Nursery (£/month, per child)</t>
  </si>
  <si>
    <t xml:space="preserve">Travel — China (£/yr)</t>
  </si>
  <si>
    <t xml:space="preserve">Supplied by the family, 2026 prices.</t>
  </si>
  <si>
    <t xml:space="preserve">Travel — Italy (£/yr)</t>
  </si>
  <si>
    <t xml:space="preserve">Travel — family holiday (£/yr)</t>
  </si>
  <si>
    <t xml:space="preserve">Extra general spending per additional child (£/month)</t>
  </si>
  <si>
    <t xml:space="preserve">NOT SUPPLIED — assumption used only in the third-child scenario.</t>
  </si>
  <si>
    <t xml:space="preserve">7.  UNIVERSITY AND THE POST-GRADUATION YEAR (2026/27 prices)</t>
  </si>
  <si>
    <t xml:space="preserve">Tuition fee (£/yr)</t>
  </si>
  <si>
    <t xml:space="preserve">England home-fee cap for 2026/27. Source: Higher Education (Fee Limits) Regulations, House of Commons Library CBP-10155.</t>
  </si>
  <si>
    <t xml:space="preserve">Accommodation and living at university (£/yr)</t>
  </si>
  <si>
    <t xml:space="preserve">Cambridge's own 2026-27 estimate for a student in Cambridge all year round. Source: undergraduate.study.cam.ac.uk/fees-funding/living-costs.</t>
  </si>
  <si>
    <t xml:space="preserve">Length of undergraduate course (years)</t>
  </si>
  <si>
    <t xml:space="preserve">Standard English three-year degree.</t>
  </si>
  <si>
    <t xml:space="preserve">One year of London living after graduation (£/yr)</t>
  </si>
  <si>
    <t xml:space="preserve">NOT SUPPLIED as a number. Graduate house-share level: rent plus bills, food, travel and personal spending. A single professional in London needs roughly £44,000 gross (~£34,000 net) for a place of their own; students budget nearer £25,000. £30,000 sits between the two. Sources: thesqua.re and movingtotheuk.co.uk London cost-of-living guides, 2026.</t>
  </si>
  <si>
    <t xml:space="preserve">8.  CHILDREN — DATES AND JUNIOR ISAs</t>
  </si>
  <si>
    <t xml:space="preserve">VM</t>
  </si>
  <si>
    <t xml:space="preserve">EM</t>
  </si>
  <si>
    <t xml:space="preserve">Note</t>
  </si>
  <si>
    <t xml:space="preserve">Date of birth</t>
  </si>
  <si>
    <t xml:space="preserve">27/12/2020</t>
  </si>
  <si>
    <t xml:space="preserve">14/12/2023</t>
  </si>
  <si>
    <t xml:space="preserve">01/07/2027</t>
  </si>
  <si>
    <t xml:space="preserve">Supplied. Child 3 assumed born July 2027.</t>
  </si>
  <si>
    <t xml:space="preserve">Starts Reception (September of)</t>
  </si>
  <si>
    <t xml:space="preserve">English school year runs Sept-Aug.</t>
  </si>
  <si>
    <t xml:space="preserve">Nursery — first year of fees</t>
  </si>
  <si>
    <t xml:space="preserve">VM is already at school.</t>
  </si>
  <si>
    <t xml:space="preserve">Nursery — months charged in that first year</t>
  </si>
  <si>
    <t xml:space="preserve">Child 3: September to December 2028.</t>
  </si>
  <si>
    <t xml:space="preserve">Nursery — last year of fees</t>
  </si>
  <si>
    <t xml:space="preserve">Fees stop at Reception.</t>
  </si>
  <si>
    <t xml:space="preserve">Nursery — months charged in that last year</t>
  </si>
  <si>
    <t xml:space="preserve">January to August.</t>
  </si>
  <si>
    <t xml:space="preserve">Turns 18 (Junior ISA matures into an adult ISA)</t>
  </si>
  <si>
    <t xml:space="preserve">A JISA converts automatically at 18 and the child then controls it.</t>
  </si>
  <si>
    <t xml:space="preserve">First university year (starts September of)</t>
  </si>
  <si>
    <t xml:space="preserve">After Year 13.</t>
  </si>
  <si>
    <t xml:space="preserve">Year of the funded post-graduation London year</t>
  </si>
  <si>
    <t xml:space="preserve">The year after the three-year degree ends.</t>
  </si>
  <si>
    <t xml:space="preserve">Junior ISA balance at the start of 2026 (£)</t>
  </si>
  <si>
    <t xml:space="preserve">Junior ISA contribution while still needed (£/yr)</t>
  </si>
  <si>
    <t xml:space="preserve">User instruction: max out at £9,000 a year, then stop once the pot is big enough.</t>
  </si>
  <si>
    <t xml:space="preserve">Junior ISA — earliest contribution year</t>
  </si>
  <si>
    <t xml:space="preserve">Child 3 assumed to start in the first full year after birth.</t>
  </si>
  <si>
    <t xml:space="preserve">Junior ISA — latest contribution year</t>
  </si>
  <si>
    <t xml:space="preserve">Contributions must stop on the child's 18th birthday.</t>
  </si>
  <si>
    <t xml:space="preserve">9.  MATERNITY LEAVE (third-child scenario only)</t>
  </si>
  <si>
    <t xml:space="preserve">Months of leave MM takes</t>
  </si>
  <si>
    <t xml:space="preserve">Leave begins</t>
  </si>
  <si>
    <t xml:space="preserve">Child 3 born July 2027.</t>
  </si>
  <si>
    <t xml:space="preserve">Month of the year leave begins (1 = January)</t>
  </si>
  <si>
    <t xml:space="preserve">July.</t>
  </si>
  <si>
    <t xml:space="preserve">Months of leave paid at full base salary</t>
  </si>
  <si>
    <t xml:space="preserve">Pension contributions (both employee and employer) are modelled on FULL base salary throughout the leave. UK rules require the employer to keep contributing at the full rate during paid leave; holding the employee side at the full rate too is a small simplification worth about £1,000.</t>
  </si>
  <si>
    <t xml:space="preserve">Base salary rate used for maternity pay (£/yr)</t>
  </si>
  <si>
    <t xml:space="preserve">Supplied by the family: 'assume at £110k'.</t>
  </si>
  <si>
    <t xml:space="preserve">Months of leave paid at half pay</t>
  </si>
  <si>
    <t xml:space="preserve">MM total income on returning to work (£/yr, nominal)</t>
  </si>
  <si>
    <t xml:space="preserve">Supplied by the family: 'after maternity leave, assume that her income starts at £180k'. Treated as the rate at the point of return in 2028, growing with inflation thereafter.</t>
  </si>
  <si>
    <t xml:space="preserve">Year MM returns to work</t>
  </si>
  <si>
    <t xml:space="preserve">Nine months from July 2027 is April 2028.</t>
  </si>
  <si>
    <t xml:space="preserve">Months worked in the year she returns</t>
  </si>
  <si>
    <t xml:space="preserve">April to December 2028.</t>
  </si>
  <si>
    <t xml:space="preserve">10.  DEFINITION OF 'ENOUGH' FOR DM TO STOP WORKING</t>
  </si>
  <si>
    <t xml:space="preserve">Pension access age</t>
  </si>
  <si>
    <t xml:space="preserve">Normal minimum pension age is 57 from April 2028.</t>
  </si>
  <si>
    <t xml:space="preserve">Year MM reaches pension access age</t>
  </si>
  <si>
    <t xml:space="preserve">The point at which the household can unlock its pensions.</t>
  </si>
  <si>
    <t xml:space="preserve">Year DM reaches pension access age</t>
  </si>
  <si>
    <t xml:space="preserve">Calculated.</t>
  </si>
  <si>
    <t xml:space="preserve">TEST 1 — minimum liquid savings floor (months of spending)</t>
  </si>
  <si>
    <t xml:space="preserve">Liquid savings must never fall below this at any point between DM stopping and MM reaching 57. This is the test that allows you to live off savings, as you asked.</t>
  </si>
  <si>
    <t xml:space="preserve">TEST 2 — business seed capital required (2026 £)</t>
  </si>
  <si>
    <t xml:space="preserve">Cash DM can put into the business and lose entirely. Change it to whatever the business actually needs.</t>
  </si>
  <si>
    <t xml:space="preserve">TEST 3 — safe withdrawal rate in retirement</t>
  </si>
  <si>
    <t xml:space="preserve">The '4% rule' — the pot must be 25x the spending it supports.</t>
  </si>
  <si>
    <t xml:space="preserve">TEST 3 — assumed tax rate on pension withdrawals</t>
  </si>
  <si>
    <t xml:space="preserve">Blended rate after the 25% tax-free lump sum.</t>
  </si>
  <si>
    <t xml:space="preserve">Comfort bar — MM's net pay ÷ household outgoings</t>
  </si>
  <si>
    <t xml:space="preserve">Used for the 'no drawdown at all, with a margin' rung of the ladder.</t>
  </si>
  <si>
    <t xml:space="preserve">UK TAX AND ALLOWANCE THRESHOLDS BY YEAR</t>
  </si>
  <si>
    <t xml:space="preserve">2026/27 statutory figures, frozen in cash terms to 2030/31 (current UK policy) then uprated with inflation.</t>
  </si>
  <si>
    <t xml:space="preserve">THRESHOLDS AND RATES</t>
  </si>
  <si>
    <t xml:space="preserve">Threshold uprating index (2026 = 1.000)</t>
  </si>
  <si>
    <t xml:space="preserve">NI main rate</t>
  </si>
  <si>
    <t xml:space="preserve">NI upper rate</t>
  </si>
  <si>
    <t xml:space="preserve">INVESTMENT RETURNS — THE AGE GLIDEPATH</t>
  </si>
  <si>
    <t xml:space="preserve">Junior ISAs earn a flat 8%. Every other pot follows the glidepath you specified: 8% until age 50, falling in a straight line to 2% at age 70. The joint ISA uses the AVERAGE of MM's and DM's ages because it is joint money; each pension uses its own owner's age.</t>
  </si>
  <si>
    <t xml:space="preserve">RATES BY YEAR</t>
  </si>
  <si>
    <t xml:space="preserve">MM age</t>
  </si>
  <si>
    <t xml:space="preserve">DM age</t>
  </si>
  <si>
    <t xml:space="preserve">Average age</t>
  </si>
  <si>
    <t xml:space="preserve">MM pension return</t>
  </si>
  <si>
    <t xml:space="preserve">DM pension return</t>
  </si>
  <si>
    <t xml:space="preserve">Joint ISA return</t>
  </si>
  <si>
    <t xml:space="preserve">Taxable (non-ISA) savings return</t>
  </si>
  <si>
    <t xml:space="preserve">Junior ISA return</t>
  </si>
  <si>
    <t xml:space="preserve">CUMULATIVE GROWTH FACTORS (used by the DM-exit sweep)</t>
  </si>
  <si>
    <t xml:space="preserve">Cumulative growth factor — MM pension</t>
  </si>
  <si>
    <t xml:space="preserve">Cumulative growth factor — DM pension</t>
  </si>
  <si>
    <t xml:space="preserve">Cumulative growth factor — Joint liquid savings</t>
  </si>
  <si>
    <t xml:space="preserve">MM workplace pension input (employee + employer)</t>
  </si>
  <si>
    <t xml:space="preserve">MM workplace input divided by the cumulative factor</t>
  </si>
  <si>
    <t xml:space="preserve">Running total of the row above</t>
  </si>
  <si>
    <t xml:space="preserve">MM — INCOME, TAX, PENSION CONTRIBUTIONS AND BALANCE</t>
  </si>
  <si>
    <t xml:space="preserve">Workplace pension: NET PAY arrangement — the employee contribution reduces taxable pay but not National Insurance; the employer contribution is not taxable but does count towards the £60,000 annual allowance. Personal SIPP: RELIEF AT SOURCE — HMRC adds 20%, so £1 of gross costs 80p of cash, and the tax bands are extended by the gross contribution to give higher and additional-rate relief.</t>
  </si>
  <si>
    <t xml:space="preserve">MM — PAY AND PENSION INPUTS</t>
  </si>
  <si>
    <t xml:space="preserve">Age at 31 December</t>
  </si>
  <si>
    <t xml:space="preserve">Total gross income</t>
  </si>
  <si>
    <t xml:space="preserve">Base salary</t>
  </si>
  <si>
    <t xml:space="preserve">Employee workplace pension contribution</t>
  </si>
  <si>
    <t xml:space="preserve">Employer workplace pension contribution</t>
  </si>
  <si>
    <t xml:space="preserve">Total workplace pension input</t>
  </si>
  <si>
    <t xml:space="preserve">Adjusted income (for the annual allowance taper)</t>
  </si>
  <si>
    <t xml:space="preserve">Annual allowance available after any taper</t>
  </si>
  <si>
    <t xml:space="preserve">SIPP HEADROOM (allowance less workplace contributions)</t>
  </si>
  <si>
    <t xml:space="preserve">MM — TAX BEFORE ANY PERSONAL SIPP CONTRIBUTION</t>
  </si>
  <si>
    <t xml:space="preserve">Taxable pay (income less the employee workplace contribution)</t>
  </si>
  <si>
    <t xml:space="preserve">Personal allowance after taper</t>
  </si>
  <si>
    <t xml:space="preserve">Taxable income</t>
  </si>
  <si>
    <t xml:space="preserve">Income tax</t>
  </si>
  <si>
    <t xml:space="preserve">Employee National Insurance</t>
  </si>
  <si>
    <t xml:space="preserve">NET PAY (cash in hand before any personal SIPP contribution)</t>
  </si>
  <si>
    <t xml:space="preserve">MM — WITH THE PERSONAL SIPP CONTRIBUTION ACTUALLY AFFORDED</t>
  </si>
  <si>
    <t xml:space="preserve">Personal SIPP contribution (gross)</t>
  </si>
  <si>
    <t xml:space="preserve">Adjusted net income</t>
  </si>
  <si>
    <t xml:space="preserve">Higher / additional-rate relief recovered</t>
  </si>
  <si>
    <t xml:space="preserve">POST-TAX INCOME (gross income less income tax and NI)</t>
  </si>
  <si>
    <t xml:space="preserve">Effective income tax + NI rate</t>
  </si>
  <si>
    <t xml:space="preserve">MM — PENSION BALANCE</t>
  </si>
  <si>
    <t xml:space="preserve">Opening balance</t>
  </si>
  <si>
    <t xml:space="preserve">Add: workplace contributions (employee + employer)</t>
  </si>
  <si>
    <t xml:space="preserve">Add: personal SIPP contribution</t>
  </si>
  <si>
    <t xml:space="preserve">Add: investment growth</t>
  </si>
  <si>
    <t xml:space="preserve">CLOSING BALANCE</t>
  </si>
  <si>
    <t xml:space="preserve">DM — INCOME, TAX, PENSION CONTRIBUTIONS AND BALANCE</t>
  </si>
  <si>
    <t xml:space="preserve">DM — PAY AND PENSION INPUTS</t>
  </si>
  <si>
    <t xml:space="preserve">DM — TAX BEFORE ANY PERSONAL SIPP CONTRIBUTION</t>
  </si>
  <si>
    <t xml:space="preserve">DM — WITH THE PERSONAL SIPP CONTRIBUTION ACTUALLY AFFORDED</t>
  </si>
  <si>
    <t xml:space="preserve">DM — PENSION BALANCE</t>
  </si>
  <si>
    <t xml:space="preserve">CHILDREN — CHILDCARE, UNIVERSITY, THE LONDON YEAR AND JUNIOR ISAs</t>
  </si>
  <si>
    <t xml:space="preserve">Each Junior ISA is funded at £9,000 a year and then STOPS as soon as the pot on its own, with no further contributions, will grow to cover three years of university plus one year of London living after graduation. JISA rules applied: £9,000 a year per child, separate from the adult ISA allowance, no access before 18, converts automatically to an adult ISA at 18.</t>
  </si>
  <si>
    <t xml:space="preserve">TIMELINE</t>
  </si>
  <si>
    <t xml:space="preserve">Child 3 age (scenario)</t>
  </si>
  <si>
    <t xml:space="preserve">CHILDCARE</t>
  </si>
  <si>
    <t xml:space="preserve">EM — months of nursery charged</t>
  </si>
  <si>
    <t xml:space="preserve">EM — nursery fees</t>
  </si>
  <si>
    <t xml:space="preserve">Nannies (both, until EM turns 10)</t>
  </si>
  <si>
    <t xml:space="preserve">COST OF ONE YEAR OF UNIVERSITY, AND OF THE LONDON YEAR AFTER GRADUATION</t>
  </si>
  <si>
    <t xml:space="preserve">University — tuition plus accommodation and living (inflated)</t>
  </si>
  <si>
    <t xml:space="preserve">London — one year of living costs after graduation (inflated)</t>
  </si>
  <si>
    <t xml:space="preserve">VM — WHAT HAS TO BE FUNDED, AND THE JUNIOR ISA THAT FUNDS IT</t>
  </si>
  <si>
    <t xml:space="preserve">VM — cost falling due this year</t>
  </si>
  <si>
    <t xml:space="preserve">VM — Junior ISA fund needed at the start of university</t>
  </si>
  <si>
    <t xml:space="preserve">Fund projected to university if contributions stopped now</t>
  </si>
  <si>
    <t xml:space="preserve">Junior ISA — opening balance</t>
  </si>
  <si>
    <t xml:space="preserve">Add: contribution (£9,000 while still needed)</t>
  </si>
  <si>
    <t xml:space="preserve">Add: investment growth at the Junior ISA rate</t>
  </si>
  <si>
    <t xml:space="preserve">Less: withdrawal to pay the cost</t>
  </si>
  <si>
    <t xml:space="preserve">VM — JUNIOR ISA CLOSING BALANCE</t>
  </si>
  <si>
    <t xml:space="preserve">VM — cost NOT covered by the Junior ISA (falls on the household)</t>
  </si>
  <si>
    <t xml:space="preserve">EM — WHAT HAS TO BE FUNDED, AND THE JUNIOR ISA THAT FUNDS IT</t>
  </si>
  <si>
    <t xml:space="preserve">EM — cost falling due this year</t>
  </si>
  <si>
    <t xml:space="preserve">EM — Junior ISA fund needed at the start of university</t>
  </si>
  <si>
    <t xml:space="preserve">EM — JUNIOR ISA CLOSING BALANCE</t>
  </si>
  <si>
    <t xml:space="preserve">EM — cost NOT covered by the Junior ISA (falls on the household)</t>
  </si>
  <si>
    <t xml:space="preserve">Child 3 — WHAT HAS TO BE FUNDED, AND THE JUNIOR ISA THAT FUNDS IT</t>
  </si>
  <si>
    <t xml:space="preserve">Child 3 — cost falling due this year</t>
  </si>
  <si>
    <t xml:space="preserve">Child 3 — Junior ISA fund needed at the start of university</t>
  </si>
  <si>
    <t xml:space="preserve">Child 3 — JUNIOR ISA CLOSING BALANCE</t>
  </si>
  <si>
    <t xml:space="preserve">Child 3 — cost NOT covered by the Junior ISA (falls on the household)</t>
  </si>
  <si>
    <t xml:space="preserve">TOTALS</t>
  </si>
  <si>
    <t xml:space="preserve">Junior ISA contributions — base case (VM + EM)</t>
  </si>
  <si>
    <t xml:space="preserve">Cost falling on the household — base case</t>
  </si>
  <si>
    <t xml:space="preserve">Children's Junior ISA assets at year end — base case</t>
  </si>
  <si>
    <t xml:space="preserve">CHILD 3 — EXTRA COSTS (third-child scenario only)</t>
  </si>
  <si>
    <t xml:space="preserve">Child 3 — months of nursery charged</t>
  </si>
  <si>
    <t xml:space="preserve">Child 3 — nursery fees</t>
  </si>
  <si>
    <t xml:space="preserve">Child 3 — extra general family spending</t>
  </si>
  <si>
    <t xml:space="preserve">Junior ISA contributions — three children</t>
  </si>
  <si>
    <t xml:space="preserve">Cost falling on the household — three children</t>
  </si>
  <si>
    <t xml:space="preserve">Children's Junior ISA assets — three children</t>
  </si>
  <si>
    <t xml:space="preserve">HOUSEHOLD — BASE CASE (BOTH WORKING, TWO CHILDREN)</t>
  </si>
  <si>
    <t xml:space="preserve">Contributions are now DERIVED, not assumed. Expenses and Junior ISAs are paid first; whatever cash is left funds the SIPPs up to the remaining annual allowance, then the ISAs up to £20,000 each, then a taxable account. Net cash flow can never go negative — if there is not enough cash the SIPP and ISA contributions are cut instead.</t>
  </si>
  <si>
    <t xml:space="preserve">Inflation index</t>
  </si>
  <si>
    <t xml:space="preserve">INCOME</t>
  </si>
  <si>
    <t xml:space="preserve">MM — net pay (before any personal SIPP contribution)</t>
  </si>
  <si>
    <t xml:space="preserve">DM — net pay (before any personal SIPP contribution)</t>
  </si>
  <si>
    <t xml:space="preserve">TOTAL NET PAY</t>
  </si>
  <si>
    <t xml:space="preserve">HOUSEHOLD EXPENSES (2026 amounts, inflated every year)</t>
  </si>
  <si>
    <t xml:space="preserve">MM — personal expenses</t>
  </si>
  <si>
    <t xml:space="preserve">DM — personal expenses</t>
  </si>
  <si>
    <t xml:space="preserve">Mortgage (19-year term from 2026)</t>
  </si>
  <si>
    <t xml:space="preserve">General family spending</t>
  </si>
  <si>
    <t xml:space="preserve">Nannies</t>
  </si>
  <si>
    <t xml:space="preserve">Nursery — EM</t>
  </si>
  <si>
    <t xml:space="preserve">Travel — China</t>
  </si>
  <si>
    <t xml:space="preserve">Travel — Italy</t>
  </si>
  <si>
    <t xml:space="preserve">Travel — family holiday</t>
  </si>
  <si>
    <t xml:space="preserve">University / London year not covered by the Junior ISAs</t>
  </si>
  <si>
    <t xml:space="preserve">TOTAL HOUSEHOLD EXPENSES</t>
  </si>
  <si>
    <t xml:space="preserve">memo: total expenses in 2026 money</t>
  </si>
  <si>
    <t xml:space="preserve">memo: adult-only expenses (no childcare, no children's costs)</t>
  </si>
  <si>
    <t xml:space="preserve">SAVINGS WATERFALL — WHAT IS ACTUALLY AFFORDABLE</t>
  </si>
  <si>
    <t xml:space="preserve">Junior ISA contributions</t>
  </si>
  <si>
    <t xml:space="preserve">CASH LEFT AFTER EXPENSES AND JUNIOR ISAs</t>
  </si>
  <si>
    <t xml:space="preserve">CHECK — net pay does not cover expenses (1 = yes)</t>
  </si>
  <si>
    <t xml:space="preserve">MM — SIPP headroom</t>
  </si>
  <si>
    <t xml:space="preserve">DM — SIPP headroom</t>
  </si>
  <si>
    <t xml:space="preserve">Total SIPP headroom</t>
  </si>
  <si>
    <t xml:space="preserve">Cash needed to fill it (80% of gross — HMRC adds the other 20%)</t>
  </si>
  <si>
    <t xml:space="preserve">Funding factor (1.00 = the SIPPs can be filled in full)</t>
  </si>
  <si>
    <t xml:space="preserve">MM — personal SIPP contribution (gross)</t>
  </si>
  <si>
    <t xml:space="preserve">DM — personal SIPP contribution (gross)</t>
  </si>
  <si>
    <t xml:space="preserve">Cash paid out for those contributions</t>
  </si>
  <si>
    <t xml:space="preserve">MM personal SIPP (feeds MM_Income)</t>
  </si>
  <si>
    <t xml:space="preserve">DM personal SIPP (feeds DM_Income)</t>
  </si>
  <si>
    <t xml:space="preserve">CASH LEFT AFTER THE SIPPs</t>
  </si>
  <si>
    <t xml:space="preserve">MM — ISA contribution</t>
  </si>
  <si>
    <t xml:space="preserve">DM — ISA contribution</t>
  </si>
  <si>
    <t xml:space="preserve">Total ISA contribution</t>
  </si>
  <si>
    <t xml:space="preserve">NET CASH FLOW LEFT OVER (goes to taxable savings)</t>
  </si>
  <si>
    <t xml:space="preserve">WHAT GOES INTO LONG-TERM SAVINGS EACH YEAR</t>
  </si>
  <si>
    <t xml:space="preserve">Into pensions (employee + employer + personal SIPP)</t>
  </si>
  <si>
    <t xml:space="preserve">Into ISAs</t>
  </si>
  <si>
    <t xml:space="preserve">Into Junior ISAs</t>
  </si>
  <si>
    <t xml:space="preserve">Into taxable savings</t>
  </si>
  <si>
    <t xml:space="preserve">TOTAL SAVED</t>
  </si>
  <si>
    <t xml:space="preserve">BALANCE SHEET AT YEAR END</t>
  </si>
  <si>
    <t xml:space="preserve">Taxable savings — opening</t>
  </si>
  <si>
    <t xml:space="preserve">Add: growth</t>
  </si>
  <si>
    <t xml:space="preserve">Add / (less): net cash flow</t>
  </si>
  <si>
    <t xml:space="preserve">Taxable savings — closing</t>
  </si>
  <si>
    <t xml:space="preserve">Drawdown required from the ISA</t>
  </si>
  <si>
    <t xml:space="preserve">Household ISA — opening</t>
  </si>
  <si>
    <t xml:space="preserve">Add: contributions</t>
  </si>
  <si>
    <t xml:space="preserve">Less: drawdown</t>
  </si>
  <si>
    <t xml:space="preserve">Household ISA — closing</t>
  </si>
  <si>
    <t xml:space="preserve">MM pension — closing</t>
  </si>
  <si>
    <t xml:space="preserve">DM pension — closing</t>
  </si>
  <si>
    <t xml:space="preserve">HOUSEHOLD PENSIONS</t>
  </si>
  <si>
    <t xml:space="preserve">LIQUID SAVINGS (ISA + taxable)</t>
  </si>
  <si>
    <t xml:space="preserve">TOTAL NET WORTH (excluding the house)</t>
  </si>
  <si>
    <t xml:space="preserve">memo: net worth in 2026 money</t>
  </si>
  <si>
    <t xml:space="preserve">memo: children's Junior ISA assets (theirs, not yours)</t>
  </si>
  <si>
    <t xml:space="preserve">KEY RATIOS AND CHECKS</t>
  </si>
  <si>
    <t xml:space="preserve">MM net pay ÷ (household expenses + Junior ISAs)</t>
  </si>
  <si>
    <t xml:space="preserve">DM net pay ÷ (household expenses + Junior ISAs)</t>
  </si>
  <si>
    <t xml:space="preserve">Total net pay ÷ household expenses</t>
  </si>
  <si>
    <t xml:space="preserve">Liquid savings ÷ annual expenses (years of cover)</t>
  </si>
  <si>
    <t xml:space="preserve">CHECK — negative net cash flow (must be zero)</t>
  </si>
  <si>
    <t xml:space="preserve">WHEN CAN DM STOP WORKING?  —  BASE CASE (TWO CHILDREN)</t>
  </si>
  <si>
    <t xml:space="preserve">Three rungs. RUNG 1 is the earliest DM could stop and still be safe, living partly off savings as you asked. RUNG 2 is the year MM's pay alone covers everything with no drawdown at all. RUNG 3 adds a comfort margin. Throughout, DM earns NOTHING from the business, and once he stops the household makes no further SIPP or ISA contributions — MM keeps only her contractual workplace pension.</t>
  </si>
  <si>
    <t xml:space="preserve">RUNGS 2 AND 3 — CAN MM'S PAY ALONE CARRY THE FAMILY, WITHOUT TOUCHING SAVINGS?</t>
  </si>
  <si>
    <t xml:space="preserve">MM — net pay</t>
  </si>
  <si>
    <t xml:space="preserve">Household expenses + Junior ISA contributions</t>
  </si>
  <si>
    <t xml:space="preserve">Coverage — MM's pay alone</t>
  </si>
  <si>
    <t xml:space="preserve">Covers 1.00x from this year onward, for good (1 = yes)</t>
  </si>
  <si>
    <t xml:space="preserve">Covers the comfort bar from this year onward, for good (1 = yes)</t>
  </si>
  <si>
    <t xml:space="preserve">INPUTS TO THE SWEEP (what happens in the years after DM stops)</t>
  </si>
  <si>
    <t xml:space="preserve">Household cash flow once DM has stopped (MM's pay less spending and Junior ISAs)</t>
  </si>
  <si>
    <t xml:space="preserve">Liquid savings floor (12 months of household spending)</t>
  </si>
  <si>
    <t xml:space="preserve">Return on the joint ISA</t>
  </si>
  <si>
    <t xml:space="preserve">Return on taxable savings</t>
  </si>
  <si>
    <t xml:space="preserve">Taxable savings while BOTH are working</t>
  </si>
  <si>
    <t xml:space="preserve">Joint ISA while BOTH are working</t>
  </si>
  <si>
    <t xml:space="preserve">GRID A — TAXABLE SAVINGS, IF DM'S LAST FULL WORKING YEAR IS THE YEAR IN COLUMN B</t>
  </si>
  <si>
    <t xml:space="preserve">GRID B — JOINT ISA (drawn on only once taxable savings are exhausted)</t>
  </si>
  <si>
    <t xml:space="preserve">GRID C — HOW FAR TOTAL LIQUID SAVINGS SIT ABOVE THE FLOOR (cells outside the test window are ignored)</t>
  </si>
  <si>
    <t xml:space="preserve">VERDICT — FOR EVERY POSSIBLE YEAR DM COULD STOP</t>
  </si>
  <si>
    <t xml:space="preserve">Liquid savings at that point</t>
  </si>
  <si>
    <t xml:space="preserve">Buffer required (12 months + business capital)</t>
  </si>
  <si>
    <t xml:space="preserve">TEST 2</t>
  </si>
  <si>
    <t xml:space="preserve">Worst margin before MM turns 57</t>
  </si>
  <si>
    <t xml:space="preserve">in year</t>
  </si>
  <si>
    <t xml:space="preserve">TEST 1</t>
  </si>
  <si>
    <t xml:space="preserve">Pensions when MM turns 57</t>
  </si>
  <si>
    <t xml:space="preserve">Required pot</t>
  </si>
  <si>
    <t xml:space="preserve">TEST 3</t>
  </si>
  <si>
    <t xml:space="preserve">ALL THREE PASS</t>
  </si>
  <si>
    <t xml:space="preserve">...AND EVERY LATER YEAR TOO</t>
  </si>
  <si>
    <t xml:space="preserve">THE ANSWER</t>
  </si>
  <si>
    <t xml:space="preserve">RUNG 1 — earliest DM can stop and still pass all three tests, for good</t>
  </si>
  <si>
    <t xml:space="preserve">            DM's age at that point</t>
  </si>
  <si>
    <t xml:space="preserve">RUNG 2 — earliest DM can stop with MM's pay covering everything, no drawdown at all</t>
  </si>
  <si>
    <t xml:space="preserve">RUNG 3 — earliest DM can stop with MM's pay also clearing the comfort bar</t>
  </si>
  <si>
    <t xml:space="preserve">SCENARIO — A THIRD CHILD BORN JULY 2027</t>
  </si>
  <si>
    <t xml:space="preserve">MM takes nine months' leave from July 2027: six months at full base salary (£110,000 rate), three months at half pay, returning in April 2028 on total income of £180,000. Pension contributions are modelled on full base salary throughout the leave. Nursery for the third child runs September 2028 to August 2031; nannies are unchanged because EM turning 10 in December 2033 is the later constraint.</t>
  </si>
  <si>
    <t xml:space="preserve">MM — INCOME THROUGH MATERNITY LEAVE AND AFTER</t>
  </si>
  <si>
    <t xml:space="preserve">MM — total gross income</t>
  </si>
  <si>
    <t xml:space="preserve">MM — base salary (pension is paid on full base throughout the leave)</t>
  </si>
  <si>
    <t xml:space="preserve">Adjusted income (annual allowance taper)</t>
  </si>
  <si>
    <t xml:space="preserve">Annual allowance available</t>
  </si>
  <si>
    <t xml:space="preserve">Taxable pay</t>
  </si>
  <si>
    <t xml:space="preserve">Income tax before any SIPP relief</t>
  </si>
  <si>
    <t xml:space="preserve">MM — NET PAY</t>
  </si>
  <si>
    <t xml:space="preserve">DM — net pay (unchanged from the base case)</t>
  </si>
  <si>
    <t xml:space="preserve">HOUSEHOLD EXPENSES WITH THREE CHILDREN</t>
  </si>
  <si>
    <t xml:space="preserve">Base-case household expenses (two children)</t>
  </si>
  <si>
    <t xml:space="preserve">Less: university / London costs already inside that line</t>
  </si>
  <si>
    <t xml:space="preserve">Add: university / London costs for all three children</t>
  </si>
  <si>
    <t xml:space="preserve">Add: Child 3 nursery fees</t>
  </si>
  <si>
    <t xml:space="preserve">Add: extra general family spending for Child 3</t>
  </si>
  <si>
    <t xml:space="preserve">TOTAL HOUSEHOLD EXPENSES (THREE CHILDREN)</t>
  </si>
  <si>
    <t xml:space="preserve">memo: in 2026 money</t>
  </si>
  <si>
    <t xml:space="preserve">memo: adult-only expenses</t>
  </si>
  <si>
    <t xml:space="preserve">SAVINGS WATERFALL</t>
  </si>
  <si>
    <t xml:space="preserve">Junior ISA contributions (three children)</t>
  </si>
  <si>
    <t xml:space="preserve">Cash needed to fill it (80% of gross)</t>
  </si>
  <si>
    <t xml:space="preserve">Funding factor</t>
  </si>
  <si>
    <t xml:space="preserve">MM — personal SIPP contribution</t>
  </si>
  <si>
    <t xml:space="preserve">DM — personal SIPP contribution</t>
  </si>
  <si>
    <t xml:space="preserve">DM — taxable pay</t>
  </si>
  <si>
    <t xml:space="preserve">DM — income tax before SIPP relief</t>
  </si>
  <si>
    <t xml:space="preserve">MM — personal allowance with the SIPP contribution</t>
  </si>
  <si>
    <t xml:space="preserve">MM — taxable income</t>
  </si>
  <si>
    <t xml:space="preserve">MM — income tax</t>
  </si>
  <si>
    <t xml:space="preserve">MM — relief recovered</t>
  </si>
  <si>
    <t xml:space="preserve">DM — personal allowance with the SIPP contribution</t>
  </si>
  <si>
    <t xml:space="preserve">DM — taxable income</t>
  </si>
  <si>
    <t xml:space="preserve">DM — income tax</t>
  </si>
  <si>
    <t xml:space="preserve">DM — relief recovered</t>
  </si>
  <si>
    <t xml:space="preserve">NET CASH FLOW LEFT OVER</t>
  </si>
  <si>
    <t xml:space="preserve">MM pension — opening</t>
  </si>
  <si>
    <t xml:space="preserve">DM pension — opening</t>
  </si>
  <si>
    <t xml:space="preserve">memo: the three children's Junior ISA assets</t>
  </si>
  <si>
    <t xml:space="preserve">WHEN CAN DM STOP WORKING?  —  WITH A THIRD CHILD</t>
  </si>
  <si>
    <t xml:space="preserve">Identical tests to the base-case sheet, run over the third-child scenario: MM's maternity leave, her lower post-return income, the extra nursery years and the third Junior ISA.</t>
  </si>
</sst>
</file>

<file path=xl/styles.xml><?xml version="1.0" encoding="utf-8"?>
<styleSheet xmlns="http://schemas.openxmlformats.org/spreadsheetml/2006/main">
  <numFmts count="15">
    <numFmt numFmtId="164" formatCode="General"/>
    <numFmt numFmtId="165" formatCode="0"/>
    <numFmt numFmtId="166" formatCode="#,##0"/>
    <numFmt numFmtId="167" formatCode="\£#,##0;&quot;(£&quot;#,##0\);\-"/>
    <numFmt numFmtId="168" formatCode="@"/>
    <numFmt numFmtId="169" formatCode="0.00\x"/>
    <numFmt numFmtId="170" formatCode="#,##0;\(#,##0\);\-"/>
    <numFmt numFmtId="171" formatCode="0.0%;\(0.0%\);\-"/>
    <numFmt numFmtId="172" formatCode="0.000"/>
    <numFmt numFmtId="173" formatCode="0.0"/>
    <numFmt numFmtId="174" formatCode="0;0;\-"/>
    <numFmt numFmtId="175" formatCode="0.0;\(0.0\);\-"/>
    <numFmt numFmtId="176" formatCode="0.00%"/>
    <numFmt numFmtId="177" formatCode="0.0000"/>
    <numFmt numFmtId="178" formatCode="0.00"/>
  </numFmts>
  <fonts count="2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000000"/>
      <name val="Arial"/>
      <family val="0"/>
      <charset val="1"/>
    </font>
    <font>
      <b val="true"/>
      <sz val="12"/>
      <color rgb="FFFFFFFF"/>
      <name val="Arial"/>
      <family val="0"/>
      <charset val="1"/>
    </font>
    <font>
      <sz val="10"/>
      <name val="Arial"/>
      <family val="0"/>
      <charset val="1"/>
    </font>
    <font>
      <b val="true"/>
      <sz val="10"/>
      <color rgb="FFC00000"/>
      <name val="Arial"/>
      <family val="0"/>
      <charset val="1"/>
    </font>
    <font>
      <i val="true"/>
      <sz val="10"/>
      <color rgb="FFC00000"/>
      <name val="Arial"/>
      <family val="0"/>
      <charset val="1"/>
    </font>
    <font>
      <b val="true"/>
      <sz val="10"/>
      <color rgb="FF000000"/>
      <name val="Arial"/>
      <family val="0"/>
      <charset val="1"/>
    </font>
    <font>
      <b val="true"/>
      <i val="true"/>
      <sz val="10"/>
      <name val="Arial"/>
      <family val="0"/>
      <charset val="1"/>
    </font>
    <font>
      <b val="true"/>
      <sz val="10"/>
      <name val="Arial"/>
      <family val="0"/>
      <charset val="1"/>
    </font>
    <font>
      <b val="true"/>
      <sz val="11"/>
      <color rgb="FF008000"/>
      <name val="Arial"/>
      <family val="0"/>
      <charset val="1"/>
    </font>
    <font>
      <sz val="10"/>
      <color rgb="FF008000"/>
      <name val="Arial"/>
      <family val="0"/>
      <charset val="1"/>
    </font>
    <font>
      <b val="true"/>
      <sz val="10"/>
      <color rgb="FF006100"/>
      <name val="Arial"/>
      <family val="0"/>
      <charset val="1"/>
    </font>
    <font>
      <b val="true"/>
      <sz val="10"/>
      <color rgb="FF1F3864"/>
      <name val="Arial"/>
      <family val="0"/>
      <charset val="1"/>
    </font>
    <font>
      <b val="true"/>
      <sz val="10"/>
      <color rgb="FF008000"/>
      <name val="Arial"/>
      <family val="0"/>
      <charset val="1"/>
    </font>
    <font>
      <sz val="10"/>
      <color rgb="FF006100"/>
      <name val="Arial"/>
      <family val="0"/>
      <charset val="1"/>
    </font>
    <font>
      <sz val="10"/>
      <color rgb="FFC00000"/>
      <name val="Arial"/>
      <family val="0"/>
      <charset val="1"/>
    </font>
    <font>
      <b val="true"/>
      <sz val="14"/>
      <color rgb="FF1F3864"/>
      <name val="Arial"/>
      <family val="0"/>
      <charset val="1"/>
    </font>
    <font>
      <i val="true"/>
      <sz val="9"/>
      <name val="Arial"/>
      <family val="0"/>
      <charset val="1"/>
    </font>
    <font>
      <b val="true"/>
      <sz val="11"/>
      <color rgb="FFFFFFFF"/>
      <name val="Arial"/>
      <family val="0"/>
      <charset val="1"/>
    </font>
    <font>
      <sz val="10"/>
      <color rgb="FF0000FF"/>
      <name val="Arial"/>
      <family val="0"/>
      <charset val="1"/>
    </font>
    <font>
      <i val="true"/>
      <sz val="9"/>
      <color rgb="FF595959"/>
      <name val="Arial"/>
      <family val="0"/>
      <charset val="1"/>
    </font>
    <font>
      <b val="true"/>
      <sz val="10"/>
      <color rgb="FF0000FF"/>
      <name val="Arial"/>
      <family val="0"/>
      <charset val="1"/>
    </font>
    <font>
      <b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C6EFCE"/>
        <bgColor rgb="FFD9E2F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right/>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1"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false" indent="0" shrinkToFit="false"/>
      <protection locked="true" hidden="false"/>
    </xf>
    <xf numFmtId="165" fontId="13" fillId="4" borderId="0" xfId="0" applyFont="true" applyBorder="false" applyAlignment="true" applyProtection="false">
      <alignment horizontal="center" vertical="bottom" textRotation="0" wrapText="false" indent="0" shrinkToFit="false"/>
      <protection locked="true" hidden="false"/>
    </xf>
    <xf numFmtId="166" fontId="13" fillId="4" borderId="0" xfId="0" applyFont="true" applyBorder="false" applyAlignment="true" applyProtection="false">
      <alignment horizontal="center"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9" fontId="17" fillId="4"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71" fontId="23" fillId="5"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73" fontId="5" fillId="0" borderId="0" xfId="0" applyFont="true" applyBorder="false" applyAlignment="tru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74" fontId="23" fillId="5"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7" fontId="23" fillId="5"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75" fontId="23" fillId="0" borderId="0" xfId="0" applyFont="true" applyBorder="false" applyAlignment="true" applyProtection="false">
      <alignment horizontal="general" vertical="bottom" textRotation="0" wrapText="false" indent="0" shrinkToFit="false"/>
      <protection locked="true" hidden="false"/>
    </xf>
    <xf numFmtId="170" fontId="23" fillId="5" borderId="0" xfId="0" applyFont="true" applyBorder="false" applyAlignment="true" applyProtection="false">
      <alignment horizontal="general" vertical="bottom" textRotation="0" wrapText="false" indent="0" shrinkToFit="false"/>
      <protection locked="true" hidden="false"/>
    </xf>
    <xf numFmtId="169" fontId="23" fillId="5"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general" vertical="bottom" textRotation="0" wrapText="false" indent="0" shrinkToFit="false"/>
      <protection locked="true" hidden="false"/>
    </xf>
    <xf numFmtId="176" fontId="14" fillId="0" borderId="0" xfId="0" applyFont="true" applyBorder="false" applyAlignment="true" applyProtection="false">
      <alignment horizontal="general" vertical="bottom" textRotation="0" wrapText="false" indent="0" shrinkToFit="false"/>
      <protection locked="true" hidden="false"/>
    </xf>
    <xf numFmtId="177"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1" shrinkToFit="false"/>
      <protection locked="true" hidden="false"/>
    </xf>
    <xf numFmtId="178" fontId="5"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7" fontId="10" fillId="6"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4" fontId="10" fillId="4" borderId="0" xfId="0" applyFont="true" applyBorder="fals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general" vertical="top" textRotation="0" wrapText="true" indent="0" shrinkToFit="false"/>
      <protection locked="true" hidden="false"/>
    </xf>
    <xf numFmtId="165" fontId="10" fillId="5" borderId="0" xfId="0" applyFont="true" applyBorder="false" applyAlignment="true" applyProtection="false">
      <alignment horizontal="general" vertical="bottom" textRotation="0" wrapText="false" indent="0" shrinkToFit="false"/>
      <protection locked="true" hidden="false"/>
    </xf>
    <xf numFmtId="170" fontId="10" fillId="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4"/>
    <col collapsed="false" customWidth="true" hidden="false" outlineLevel="0" max="3" min="3" style="1" width="116"/>
    <col collapsed="false" customWidth="true" hidden="false" outlineLevel="0" max="9" min="4" style="1" width="16"/>
  </cols>
  <sheetData>
    <row r="1" customFormat="false" ht="19.5" hidden="false" customHeight="true" outlineLevel="0" collapsed="false">
      <c r="C1" s="2" t="s">
        <v>0</v>
      </c>
    </row>
    <row r="3" customFormat="false" ht="15" hidden="false" customHeight="true" outlineLevel="0" collapsed="false">
      <c r="C3" s="3" t="s">
        <v>1</v>
      </c>
    </row>
    <row r="5" customFormat="false" ht="19.5" hidden="false" customHeight="true" outlineLevel="0" collapsed="false">
      <c r="A5" s="4"/>
      <c r="B5" s="4"/>
      <c r="C5" s="5" t="s">
        <v>2</v>
      </c>
      <c r="D5" s="4"/>
      <c r="E5" s="4"/>
      <c r="F5" s="4"/>
      <c r="G5" s="4"/>
      <c r="H5" s="4"/>
      <c r="I5" s="4"/>
    </row>
    <row r="6" customFormat="false" ht="15" hidden="false" customHeight="true" outlineLevel="0" collapsed="false">
      <c r="C6" s="3" t="s">
        <v>3</v>
      </c>
    </row>
    <row r="7" customFormat="false" ht="15" hidden="false" customHeight="true" outlineLevel="0" collapsed="false">
      <c r="C7" s="3" t="s">
        <v>4</v>
      </c>
    </row>
    <row r="8" customFormat="false" ht="15" hidden="false" customHeight="true" outlineLevel="0" collapsed="false">
      <c r="C8" s="3" t="s">
        <v>5</v>
      </c>
    </row>
    <row r="9" customFormat="false" ht="15" hidden="false" customHeight="true" outlineLevel="0" collapsed="false">
      <c r="C9" s="3" t="s">
        <v>6</v>
      </c>
    </row>
    <row r="11" customFormat="false" ht="19.5" hidden="false" customHeight="true" outlineLevel="0" collapsed="false">
      <c r="A11" s="4"/>
      <c r="B11" s="4"/>
      <c r="C11" s="5" t="s">
        <v>7</v>
      </c>
      <c r="D11" s="4"/>
      <c r="E11" s="4"/>
      <c r="F11" s="4"/>
      <c r="G11" s="4"/>
      <c r="H11" s="4"/>
      <c r="I11" s="4"/>
    </row>
    <row r="12" customFormat="false" ht="15" hidden="false" customHeight="true" outlineLevel="0" collapsed="false">
      <c r="C12" s="6" t="s">
        <v>8</v>
      </c>
    </row>
    <row r="13" customFormat="false" ht="15" hidden="false" customHeight="true" outlineLevel="0" collapsed="false">
      <c r="C13" s="6" t="s">
        <v>9</v>
      </c>
    </row>
    <row r="14" customFormat="false" ht="15" hidden="false" customHeight="true" outlineLevel="0" collapsed="false">
      <c r="C14" s="6" t="s">
        <v>10</v>
      </c>
    </row>
    <row r="15" customFormat="false" ht="15" hidden="false" customHeight="true" outlineLevel="0" collapsed="false">
      <c r="C15" s="6" t="s">
        <v>11</v>
      </c>
    </row>
    <row r="16" customFormat="false" ht="15" hidden="false" customHeight="true" outlineLevel="0" collapsed="false">
      <c r="C16" s="6" t="s">
        <v>12</v>
      </c>
    </row>
    <row r="17" customFormat="false" ht="15" hidden="false" customHeight="true" outlineLevel="0" collapsed="false">
      <c r="C17" s="6" t="s">
        <v>13</v>
      </c>
    </row>
    <row r="18" customFormat="false" ht="15" hidden="false" customHeight="true" outlineLevel="0" collapsed="false">
      <c r="C18" s="6" t="s">
        <v>14</v>
      </c>
    </row>
    <row r="19" customFormat="false" ht="15" hidden="false" customHeight="true" outlineLevel="0" collapsed="false">
      <c r="C19" s="6" t="s">
        <v>15</v>
      </c>
    </row>
    <row r="20" customFormat="false" ht="15" hidden="false" customHeight="true" outlineLevel="0" collapsed="false">
      <c r="C20" s="6" t="s">
        <v>16</v>
      </c>
    </row>
    <row r="21" customFormat="false" ht="15" hidden="false" customHeight="true" outlineLevel="0" collapsed="false">
      <c r="C21" s="6" t="s">
        <v>17</v>
      </c>
    </row>
    <row r="22" customFormat="false" ht="15" hidden="false" customHeight="true" outlineLevel="0" collapsed="false">
      <c r="C22" s="6" t="s">
        <v>18</v>
      </c>
    </row>
    <row r="23" customFormat="false" ht="15" hidden="false" customHeight="true" outlineLevel="0" collapsed="false">
      <c r="C23" s="6" t="s">
        <v>19</v>
      </c>
    </row>
    <row r="25" customFormat="false" ht="19.5" hidden="false" customHeight="true" outlineLevel="0" collapsed="false">
      <c r="A25" s="4"/>
      <c r="B25" s="4"/>
      <c r="C25" s="5" t="s">
        <v>20</v>
      </c>
      <c r="D25" s="4"/>
      <c r="E25" s="4"/>
      <c r="F25" s="4"/>
      <c r="G25" s="4"/>
      <c r="H25" s="4"/>
      <c r="I25" s="4"/>
    </row>
    <row r="26" customFormat="false" ht="15" hidden="false" customHeight="true" outlineLevel="0" collapsed="false">
      <c r="C26" s="3" t="s">
        <v>21</v>
      </c>
    </row>
    <row r="27" customFormat="false" ht="15" hidden="false" customHeight="true" outlineLevel="0" collapsed="false">
      <c r="C27" s="7" t="s">
        <v>22</v>
      </c>
    </row>
    <row r="28" customFormat="false" ht="15" hidden="false" customHeight="true" outlineLevel="0" collapsed="false">
      <c r="C28" s="7" t="s">
        <v>23</v>
      </c>
    </row>
    <row r="29" customFormat="false" ht="15" hidden="false" customHeight="true" outlineLevel="0" collapsed="false">
      <c r="C29" s="7" t="s">
        <v>24</v>
      </c>
    </row>
    <row r="30" customFormat="false" ht="15" hidden="false" customHeight="true" outlineLevel="0" collapsed="false">
      <c r="C30" s="7" t="s">
        <v>25</v>
      </c>
    </row>
    <row r="31" customFormat="false" ht="15" hidden="false" customHeight="true" outlineLevel="0" collapsed="false">
      <c r="C31" s="7" t="s">
        <v>26</v>
      </c>
    </row>
    <row r="32" customFormat="false" ht="15" hidden="false" customHeight="true" outlineLevel="0" collapsed="false">
      <c r="C32" s="7" t="s">
        <v>27</v>
      </c>
    </row>
    <row r="33" customFormat="false" ht="15" hidden="false" customHeight="true" outlineLevel="0" collapsed="false">
      <c r="C33" s="7" t="s">
        <v>28</v>
      </c>
    </row>
    <row r="35" customFormat="false" ht="19.5" hidden="false" customHeight="true" outlineLevel="0" collapsed="false">
      <c r="A35" s="4"/>
      <c r="B35" s="4"/>
      <c r="C35" s="5" t="s">
        <v>29</v>
      </c>
      <c r="D35" s="4"/>
      <c r="E35" s="4"/>
      <c r="F35" s="4"/>
      <c r="G35" s="4"/>
      <c r="H35" s="4"/>
      <c r="I35" s="4"/>
    </row>
    <row r="36" customFormat="false" ht="15" hidden="false" customHeight="true" outlineLevel="0" collapsed="false">
      <c r="C36" s="3" t="s">
        <v>30</v>
      </c>
    </row>
    <row r="37" customFormat="false" ht="15" hidden="false" customHeight="true" outlineLevel="0" collapsed="false">
      <c r="C37" s="3" t="s">
        <v>31</v>
      </c>
    </row>
    <row r="38" customFormat="false" ht="15" hidden="false" customHeight="true" outlineLevel="0" collapsed="false">
      <c r="C38" s="8" t="s">
        <v>32</v>
      </c>
    </row>
    <row r="40" customFormat="false" ht="19.5" hidden="false" customHeight="true" outlineLevel="0" collapsed="false">
      <c r="A40" s="4"/>
      <c r="B40" s="4"/>
      <c r="C40" s="5" t="s">
        <v>33</v>
      </c>
      <c r="D40" s="4"/>
      <c r="E40" s="4"/>
      <c r="F40" s="4"/>
      <c r="G40" s="4"/>
      <c r="H40" s="4"/>
      <c r="I40" s="4"/>
    </row>
    <row r="41" customFormat="false" ht="15" hidden="false" customHeight="true" outlineLevel="0" collapsed="false">
      <c r="C41" s="3" t="s">
        <v>34</v>
      </c>
    </row>
    <row r="42" customFormat="false" ht="15" hidden="false" customHeight="true" outlineLevel="0" collapsed="false">
      <c r="C42" s="3" t="s">
        <v>35</v>
      </c>
    </row>
    <row r="43" customFormat="false" ht="15" hidden="false" customHeight="true" outlineLevel="0" collapsed="false">
      <c r="C43" s="3" t="s">
        <v>36</v>
      </c>
    </row>
    <row r="44" customFormat="false" ht="15" hidden="false" customHeight="true" outlineLevel="0" collapsed="false">
      <c r="C44" s="3" t="s">
        <v>37</v>
      </c>
    </row>
    <row r="46" customFormat="false" ht="19.5" hidden="false" customHeight="true" outlineLevel="0" collapsed="false">
      <c r="A46" s="4"/>
      <c r="B46" s="4"/>
      <c r="C46" s="5" t="s">
        <v>38</v>
      </c>
      <c r="D46" s="4"/>
      <c r="E46" s="4"/>
      <c r="F46" s="4"/>
      <c r="G46" s="4"/>
      <c r="H46" s="4"/>
      <c r="I46" s="4"/>
    </row>
    <row r="47" customFormat="false" ht="15" hidden="false" customHeight="true" outlineLevel="0" collapsed="false">
      <c r="C47" s="3" t="s">
        <v>39</v>
      </c>
    </row>
    <row r="48" customFormat="false" ht="15" hidden="false" customHeight="true" outlineLevel="0" collapsed="false">
      <c r="C48" s="3" t="s">
        <v>40</v>
      </c>
    </row>
    <row r="49" customFormat="false" ht="15" hidden="false" customHeight="true" outlineLevel="0" collapsed="false">
      <c r="C49" s="3" t="s">
        <v>41</v>
      </c>
    </row>
    <row r="50" customFormat="false" ht="15" hidden="false" customHeight="true" outlineLevel="0" collapsed="false">
      <c r="C50" s="3" t="s">
        <v>42</v>
      </c>
    </row>
    <row r="51" customFormat="false" ht="15" hidden="false" customHeight="true" outlineLevel="0" collapsed="false">
      <c r="C51" s="3" t="s">
        <v>43</v>
      </c>
    </row>
    <row r="53" customFormat="false" ht="19.5" hidden="false" customHeight="true" outlineLevel="0" collapsed="false">
      <c r="A53" s="4"/>
      <c r="B53" s="4"/>
      <c r="C53" s="5" t="s">
        <v>44</v>
      </c>
      <c r="D53" s="4"/>
      <c r="E53" s="4"/>
      <c r="F53" s="4"/>
      <c r="G53" s="4"/>
      <c r="H53" s="4"/>
      <c r="I53" s="4"/>
    </row>
    <row r="54" customFormat="false" ht="15" hidden="false" customHeight="true" outlineLevel="0" collapsed="false">
      <c r="C54" s="3" t="s">
        <v>45</v>
      </c>
    </row>
    <row r="55" customFormat="false" ht="15" hidden="false" customHeight="true" outlineLevel="0" collapsed="false">
      <c r="C55" s="3" t="s">
        <v>46</v>
      </c>
    </row>
    <row r="56" customFormat="false" ht="15" hidden="false" customHeight="true" outlineLevel="0" collapsed="false">
      <c r="C56" s="3" t="s">
        <v>47</v>
      </c>
    </row>
    <row r="57" customFormat="false" ht="15" hidden="false" customHeight="true" outlineLevel="0" collapsed="false">
      <c r="C57" s="3" t="s">
        <v>48</v>
      </c>
    </row>
    <row r="58" customFormat="false" ht="15" hidden="false" customHeight="true" outlineLevel="0" collapsed="false">
      <c r="C58" s="3" t="s">
        <v>49</v>
      </c>
    </row>
    <row r="59" customFormat="false" ht="15" hidden="false" customHeight="true" outlineLevel="0" collapsed="false">
      <c r="C59" s="3" t="s">
        <v>50</v>
      </c>
    </row>
    <row r="60" customFormat="false" ht="15" hidden="false" customHeight="true" outlineLevel="0" collapsed="false">
      <c r="C60" s="3" t="s">
        <v>51</v>
      </c>
    </row>
    <row r="62" customFormat="false" ht="15" hidden="false" customHeight="true" outlineLevel="0" collapsed="false">
      <c r="C62" s="9"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4"/>
    <col collapsed="false" customWidth="true" hidden="false" outlineLevel="0" max="3" min="3" style="1" width="116"/>
    <col collapsed="false" customWidth="true" hidden="false" outlineLevel="0" max="9" min="4" style="1" width="16"/>
  </cols>
  <sheetData>
    <row r="1" customFormat="false" ht="19.5" hidden="false" customHeight="true" outlineLevel="0" collapsed="false">
      <c r="C1" s="2" t="s">
        <v>53</v>
      </c>
    </row>
    <row r="3" customFormat="false" ht="19.5" hidden="false" customHeight="true" outlineLevel="0" collapsed="false">
      <c r="A3" s="4"/>
      <c r="B3" s="4"/>
      <c r="C3" s="5" t="s">
        <v>54</v>
      </c>
      <c r="D3" s="4"/>
      <c r="E3" s="4"/>
      <c r="F3" s="4"/>
      <c r="G3" s="4"/>
      <c r="H3" s="4"/>
      <c r="I3" s="4"/>
    </row>
    <row r="4" customFormat="false" ht="15" hidden="false" customHeight="true" outlineLevel="0" collapsed="false">
      <c r="C4" s="10" t="s">
        <v>55</v>
      </c>
    </row>
    <row r="5" customFormat="false" ht="15" hidden="false" customHeight="true" outlineLevel="0" collapsed="false">
      <c r="C5" s="3" t="s">
        <v>56</v>
      </c>
    </row>
    <row r="6" customFormat="false" ht="15" hidden="false" customHeight="true" outlineLevel="0" collapsed="false">
      <c r="C6" s="3" t="s">
        <v>57</v>
      </c>
    </row>
    <row r="8" customFormat="false" ht="19.5" hidden="false" customHeight="true" outlineLevel="0" collapsed="false">
      <c r="A8" s="4"/>
      <c r="B8" s="4"/>
      <c r="C8" s="5" t="s">
        <v>58</v>
      </c>
      <c r="D8" s="4"/>
      <c r="E8" s="4"/>
      <c r="F8" s="4"/>
      <c r="G8" s="4"/>
      <c r="H8" s="4"/>
      <c r="I8" s="4"/>
    </row>
    <row r="9" customFormat="false" ht="15" hidden="false" customHeight="true" outlineLevel="0" collapsed="false">
      <c r="C9" s="11" t="s">
        <v>59</v>
      </c>
      <c r="D9" s="12" t="s">
        <v>60</v>
      </c>
      <c r="E9" s="12" t="s">
        <v>61</v>
      </c>
      <c r="F9" s="12" t="s">
        <v>62</v>
      </c>
      <c r="G9" s="12" t="s">
        <v>61</v>
      </c>
    </row>
    <row r="10" customFormat="false" ht="15" hidden="false" customHeight="true" outlineLevel="0" collapsed="false">
      <c r="C10" s="6" t="s">
        <v>63</v>
      </c>
      <c r="D10" s="13" t="n">
        <f aca="false">Analysis_DM_Exit!$C$115</f>
        <v>2026</v>
      </c>
      <c r="E10" s="14" t="n">
        <f aca="false">Analysis_DM_Exit!$C$116</f>
        <v>44</v>
      </c>
      <c r="F10" s="13" t="n">
        <f aca="false">Analysis_Exit_3rd!$C$115</f>
        <v>2027</v>
      </c>
      <c r="G10" s="14" t="n">
        <f aca="false">Analysis_Exit_3rd!$C$116</f>
        <v>45</v>
      </c>
    </row>
    <row r="11" customFormat="false" ht="15" hidden="false" customHeight="true" outlineLevel="0" collapsed="false">
      <c r="C11" s="6" t="s">
        <v>64</v>
      </c>
      <c r="D11" s="13" t="n">
        <f aca="false">Analysis_DM_Exit!$C$117</f>
        <v>2031</v>
      </c>
      <c r="E11" s="14" t="n">
        <f aca="false">Analysis_DM_Exit!$C$118</f>
        <v>49</v>
      </c>
      <c r="F11" s="13" t="n">
        <f aca="false">Analysis_Exit_3rd!$C$117</f>
        <v>2033</v>
      </c>
      <c r="G11" s="14" t="n">
        <f aca="false">Analysis_Exit_3rd!$C$118</f>
        <v>51</v>
      </c>
    </row>
    <row r="12" customFormat="false" ht="15" hidden="false" customHeight="true" outlineLevel="0" collapsed="false">
      <c r="C12" s="6" t="s">
        <v>65</v>
      </c>
      <c r="D12" s="13" t="n">
        <f aca="false">Analysis_DM_Exit!$C$119</f>
        <v>2033</v>
      </c>
      <c r="E12" s="14" t="n">
        <f aca="false">Analysis_DM_Exit!$C$120</f>
        <v>51</v>
      </c>
      <c r="F12" s="13" t="n">
        <f aca="false">Analysis_Exit_3rd!$C$119</f>
        <v>2044</v>
      </c>
      <c r="G12" s="14" t="n">
        <f aca="false">Analysis_Exit_3rd!$C$120</f>
        <v>62</v>
      </c>
    </row>
    <row r="14" customFormat="false" ht="15" hidden="false" customHeight="true" outlineLevel="0" collapsed="false">
      <c r="C14" s="10" t="s">
        <v>66</v>
      </c>
    </row>
    <row r="15" customFormat="false" ht="15" hidden="false" customHeight="true" outlineLevel="0" collapsed="false">
      <c r="C15" s="3" t="s">
        <v>67</v>
      </c>
    </row>
    <row r="17" customFormat="false" ht="19.5" hidden="false" customHeight="true" outlineLevel="0" collapsed="false">
      <c r="A17" s="4"/>
      <c r="B17" s="4"/>
      <c r="C17" s="5" t="s">
        <v>68</v>
      </c>
      <c r="D17" s="4"/>
      <c r="E17" s="4"/>
      <c r="F17" s="4"/>
      <c r="G17" s="4"/>
      <c r="H17" s="4"/>
      <c r="I17" s="4"/>
    </row>
    <row r="18" customFormat="false" ht="15" hidden="false" customHeight="true" outlineLevel="0" collapsed="false">
      <c r="C18" s="10" t="s">
        <v>69</v>
      </c>
    </row>
    <row r="19" customFormat="false" ht="15" hidden="false" customHeight="true" outlineLevel="0" collapsed="false">
      <c r="C19" s="10" t="s">
        <v>70</v>
      </c>
    </row>
    <row r="20" customFormat="false" ht="15" hidden="false" customHeight="true" outlineLevel="0" collapsed="false">
      <c r="C20" s="10" t="s">
        <v>71</v>
      </c>
    </row>
    <row r="21" customFormat="false" ht="15" hidden="false" customHeight="true" outlineLevel="0" collapsed="false">
      <c r="C21" s="3" t="s">
        <v>72</v>
      </c>
    </row>
    <row r="23" customFormat="false" ht="15" hidden="false" customHeight="true" outlineLevel="0" collapsed="false">
      <c r="C23" s="10" t="s">
        <v>73</v>
      </c>
    </row>
    <row r="24" customFormat="false" ht="15" hidden="false" customHeight="true" outlineLevel="0" collapsed="false">
      <c r="C24" s="7" t="s">
        <v>74</v>
      </c>
    </row>
    <row r="26" customFormat="false" ht="19.5" hidden="false" customHeight="true" outlineLevel="0" collapsed="false">
      <c r="A26" s="4"/>
      <c r="B26" s="4"/>
      <c r="C26" s="5" t="s">
        <v>75</v>
      </c>
      <c r="D26" s="4"/>
      <c r="E26" s="4"/>
      <c r="F26" s="4"/>
      <c r="G26" s="4"/>
      <c r="H26" s="4"/>
      <c r="I26" s="4"/>
    </row>
    <row r="27" customFormat="false" ht="15" hidden="false" customHeight="true" outlineLevel="0" collapsed="false">
      <c r="C27" s="3" t="s">
        <v>76</v>
      </c>
    </row>
    <row r="28" customFormat="false" ht="15" hidden="false" customHeight="true" outlineLevel="0" collapsed="false">
      <c r="C28" s="15" t="s">
        <v>77</v>
      </c>
      <c r="D28" s="15" t="s">
        <v>78</v>
      </c>
      <c r="E28" s="15" t="s">
        <v>79</v>
      </c>
      <c r="F28" s="15" t="s">
        <v>80</v>
      </c>
      <c r="G28" s="15" t="s">
        <v>81</v>
      </c>
      <c r="H28" s="15" t="s">
        <v>82</v>
      </c>
    </row>
    <row r="29" customFormat="false" ht="15" hidden="false" customHeight="true" outlineLevel="0" collapsed="false">
      <c r="C29" s="16" t="s">
        <v>83</v>
      </c>
      <c r="D29" s="17" t="n">
        <f aca="false">Children!$C$20</f>
        <v>121358.182815131</v>
      </c>
      <c r="E29" s="18" t="n">
        <v>2039</v>
      </c>
      <c r="F29" s="19" t="s">
        <v>84</v>
      </c>
      <c r="G29" s="20" t="n">
        <v>36000</v>
      </c>
      <c r="H29" s="17" t="n">
        <f aca="false">Children!$AF$26</f>
        <v>1871.54950240685</v>
      </c>
    </row>
    <row r="30" customFormat="false" ht="15" hidden="false" customHeight="true" outlineLevel="0" collapsed="false">
      <c r="C30" s="16" t="s">
        <v>85</v>
      </c>
      <c r="D30" s="17" t="n">
        <f aca="false">Children!$C$32</f>
        <v>128786.27446888</v>
      </c>
      <c r="E30" s="18" t="n">
        <v>2042</v>
      </c>
      <c r="F30" s="19" t="s">
        <v>86</v>
      </c>
      <c r="G30" s="20" t="n">
        <v>54000</v>
      </c>
      <c r="H30" s="17" t="n">
        <f aca="false">Children!$AF$38</f>
        <v>40395.8428193589</v>
      </c>
    </row>
    <row r="31" customFormat="false" ht="15" hidden="false" customHeight="true" outlineLevel="0" collapsed="false">
      <c r="C31" s="16" t="s">
        <v>87</v>
      </c>
      <c r="D31" s="17" t="n">
        <f aca="false">Children!$C$44</f>
        <v>136669.024756571</v>
      </c>
      <c r="E31" s="18" t="n">
        <v>2045</v>
      </c>
      <c r="F31" s="19" t="s">
        <v>88</v>
      </c>
      <c r="G31" s="20" t="n">
        <v>54000</v>
      </c>
      <c r="H31" s="17" t="n">
        <f aca="false">Children!$AF$50</f>
        <v>40275.8442399827</v>
      </c>
    </row>
    <row r="33" customFormat="false" ht="15" hidden="false" customHeight="true" outlineLevel="0" collapsed="false">
      <c r="C33" s="21" t="s">
        <v>89</v>
      </c>
    </row>
    <row r="34" customFormat="false" ht="15" hidden="false" customHeight="true" outlineLevel="0" collapsed="false">
      <c r="C34" s="3" t="s">
        <v>90</v>
      </c>
    </row>
    <row r="36" customFormat="false" ht="15" hidden="false" customHeight="true" outlineLevel="0" collapsed="false">
      <c r="C36" s="22" t="s">
        <v>91</v>
      </c>
    </row>
    <row r="37" customFormat="false" ht="15" hidden="false" customHeight="true" outlineLevel="0" collapsed="false">
      <c r="C37" s="7" t="s">
        <v>92</v>
      </c>
    </row>
    <row r="38" customFormat="false" ht="15" hidden="false" customHeight="true" outlineLevel="0" collapsed="false">
      <c r="C38" s="7" t="s">
        <v>93</v>
      </c>
    </row>
    <row r="39" customFormat="false" ht="15" hidden="false" customHeight="true" outlineLevel="0" collapsed="false">
      <c r="C39" s="7" t="s">
        <v>94</v>
      </c>
    </row>
    <row r="40" customFormat="false" ht="15" hidden="false" customHeight="true" outlineLevel="0" collapsed="false">
      <c r="C40" s="7" t="s">
        <v>95</v>
      </c>
    </row>
    <row r="41" customFormat="false" ht="15" hidden="false" customHeight="true" outlineLevel="0" collapsed="false">
      <c r="C41" s="7" t="s">
        <v>96</v>
      </c>
    </row>
    <row r="43" customFormat="false" ht="19.5" hidden="false" customHeight="true" outlineLevel="0" collapsed="false">
      <c r="A43" s="4"/>
      <c r="B43" s="4"/>
      <c r="C43" s="5" t="s">
        <v>97</v>
      </c>
      <c r="D43" s="4"/>
      <c r="E43" s="4"/>
      <c r="F43" s="4"/>
      <c r="G43" s="4"/>
      <c r="H43" s="4"/>
      <c r="I43" s="4"/>
    </row>
    <row r="44" customFormat="false" ht="15" hidden="false" customHeight="true" outlineLevel="0" collapsed="false">
      <c r="C44" s="10" t="s">
        <v>98</v>
      </c>
    </row>
    <row r="45" customFormat="false" ht="15" hidden="false" customHeight="true" outlineLevel="0" collapsed="false">
      <c r="C45" s="3" t="s">
        <v>99</v>
      </c>
    </row>
    <row r="47" customFormat="false" ht="15" hidden="false" customHeight="true" outlineLevel="0" collapsed="false">
      <c r="C47" s="8" t="s">
        <v>100</v>
      </c>
    </row>
    <row r="48" customFormat="false" ht="15" hidden="false" customHeight="true" outlineLevel="0" collapsed="false">
      <c r="C48" s="15" t="s">
        <v>101</v>
      </c>
      <c r="D48" s="15" t="s">
        <v>102</v>
      </c>
      <c r="E48" s="15" t="s">
        <v>103</v>
      </c>
      <c r="F48" s="15" t="s">
        <v>104</v>
      </c>
      <c r="G48" s="15" t="s">
        <v>105</v>
      </c>
      <c r="H48" s="15" t="s">
        <v>106</v>
      </c>
    </row>
    <row r="49" customFormat="false" ht="15" hidden="false" customHeight="true" outlineLevel="0" collapsed="false">
      <c r="C49" s="23" t="n">
        <v>2027</v>
      </c>
      <c r="D49" s="17" t="n">
        <f aca="false">Scen_3rd_Child!D$36</f>
        <v>39608.6</v>
      </c>
      <c r="E49" s="17" t="n">
        <f aca="false">Scen_3rd_Child!D$38</f>
        <v>64452</v>
      </c>
      <c r="F49" s="17" t="n">
        <f aca="false">Scen_3rd_Child!D$41+Scen_3rd_Child!D$42</f>
        <v>49510.75</v>
      </c>
      <c r="G49" s="17" t="n">
        <f aca="false">Scen_3rd_Child!D$38-Scen_3rd_Child!D$41-Scen_3rd_Child!D$42</f>
        <v>14941.25</v>
      </c>
      <c r="H49" s="17" t="n">
        <f aca="false">Scen_3rd_Child!D$58</f>
        <v>15045.5648854962</v>
      </c>
    </row>
    <row r="50" customFormat="false" ht="15" hidden="false" customHeight="true" outlineLevel="0" collapsed="false">
      <c r="C50" s="23" t="n">
        <v>2028</v>
      </c>
      <c r="D50" s="17" t="n">
        <f aca="false">Scen_3rd_Child!E$36</f>
        <v>28520.652</v>
      </c>
      <c r="E50" s="17" t="n">
        <f aca="false">Scen_3rd_Child!E$38</f>
        <v>62230.08</v>
      </c>
      <c r="F50" s="17" t="n">
        <f aca="false">Scen_3rd_Child!E$41+Scen_3rd_Child!E$42</f>
        <v>35650.815</v>
      </c>
      <c r="G50" s="17" t="n">
        <f aca="false">Scen_3rd_Child!E$38-Scen_3rd_Child!E$41-Scen_3rd_Child!E$42</f>
        <v>26579.265</v>
      </c>
      <c r="H50" s="17" t="n">
        <f aca="false">Scen_3rd_Child!E$58</f>
        <v>9663.93212447743</v>
      </c>
    </row>
    <row r="51" customFormat="false" ht="15" hidden="false" customHeight="true" outlineLevel="0" collapsed="false">
      <c r="C51" s="23" t="n">
        <v>2029</v>
      </c>
      <c r="D51" s="17" t="n">
        <f aca="false">Scen_3rd_Child!F$36</f>
        <v>46053.35904</v>
      </c>
      <c r="E51" s="17" t="n">
        <f aca="false">Scen_3rd_Child!F$38</f>
        <v>61074.6816</v>
      </c>
      <c r="F51" s="17" t="n">
        <f aca="false">Scen_3rd_Child!F$41+Scen_3rd_Child!F$42</f>
        <v>57566.6988</v>
      </c>
      <c r="G51" s="17" t="n">
        <f aca="false">Scen_3rd_Child!F$38-Scen_3rd_Child!F$41-Scen_3rd_Child!F$42</f>
        <v>3507.98280000002</v>
      </c>
      <c r="H51" s="17" t="n">
        <f aca="false">Scen_3rd_Child!F$58</f>
        <v>14391.6747</v>
      </c>
    </row>
    <row r="53" customFormat="false" ht="15" hidden="false" customHeight="true" outlineLevel="0" collapsed="false">
      <c r="C53" s="3" t="s">
        <v>107</v>
      </c>
    </row>
    <row r="55" customFormat="false" ht="19.5" hidden="false" customHeight="true" outlineLevel="0" collapsed="false">
      <c r="A55" s="4"/>
      <c r="B55" s="4"/>
      <c r="C55" s="5" t="s">
        <v>108</v>
      </c>
      <c r="D55" s="4"/>
      <c r="E55" s="4"/>
      <c r="F55" s="4"/>
      <c r="G55" s="4"/>
      <c r="H55" s="4"/>
      <c r="I55" s="4"/>
    </row>
    <row r="56" customFormat="false" ht="15" hidden="false" customHeight="true" outlineLevel="0" collapsed="false">
      <c r="C56" s="11" t="s">
        <v>109</v>
      </c>
      <c r="D56" s="24" t="n">
        <v>2026</v>
      </c>
      <c r="E56" s="24" t="n">
        <v>2031</v>
      </c>
      <c r="F56" s="24" t="n">
        <v>2033</v>
      </c>
      <c r="G56" s="24" t="n">
        <v>2040</v>
      </c>
      <c r="H56" s="24" t="n">
        <v>2048</v>
      </c>
      <c r="I56" s="24" t="n">
        <v>2055</v>
      </c>
    </row>
    <row r="57" customFormat="false" ht="15" hidden="false" customHeight="true" outlineLevel="0" collapsed="false">
      <c r="C57" s="16" t="s">
        <v>110</v>
      </c>
      <c r="D57" s="17" t="n">
        <f aca="false">Household_Base!C$10</f>
        <v>201942.8</v>
      </c>
      <c r="E57" s="17" t="n">
        <f aca="false">Household_Base!H$10</f>
        <v>228522.856300416</v>
      </c>
      <c r="F57" s="17" t="n">
        <f aca="false">Household_Base!J$10</f>
        <v>237755.179694953</v>
      </c>
      <c r="G57" s="17" t="n">
        <f aca="false">Household_Base!Q$10</f>
        <v>273105.967324971</v>
      </c>
      <c r="H57" s="17" t="n">
        <f aca="false">Household_Base!Y$10</f>
        <v>319987.168624001</v>
      </c>
      <c r="I57" s="17" t="n">
        <f aca="false">Household_Base!AF$10</f>
        <v>367564.674430064</v>
      </c>
    </row>
    <row r="58" customFormat="false" ht="15" hidden="false" customHeight="true" outlineLevel="0" collapsed="false">
      <c r="C58" s="16" t="s">
        <v>111</v>
      </c>
      <c r="D58" s="17" t="n">
        <f aca="false">Household_Base!C$22</f>
        <v>125400</v>
      </c>
      <c r="E58" s="17" t="n">
        <f aca="false">Household_Base!H$22</f>
        <v>106745.6392704</v>
      </c>
      <c r="F58" s="17" t="n">
        <f aca="false">Household_Base!J$22</f>
        <v>111058.163096924</v>
      </c>
      <c r="G58" s="17" t="n">
        <f aca="false">Household_Base!Q$22</f>
        <v>102879.774374914</v>
      </c>
      <c r="H58" s="17" t="n">
        <f aca="false">Household_Base!Y$22</f>
        <v>82931.5563000937</v>
      </c>
      <c r="I58" s="17" t="n">
        <f aca="false">Household_Base!AF$22</f>
        <v>95262.290117767</v>
      </c>
    </row>
    <row r="59" customFormat="false" ht="15" hidden="false" customHeight="true" outlineLevel="0" collapsed="false">
      <c r="C59" s="6" t="s">
        <v>112</v>
      </c>
      <c r="D59" s="17" t="n">
        <f aca="false">Household_Base!C$23</f>
        <v>125400</v>
      </c>
      <c r="E59" s="17" t="n">
        <f aca="false">Household_Base!H$23</f>
        <v>93000</v>
      </c>
      <c r="F59" s="17" t="n">
        <f aca="false">Household_Base!J$23</f>
        <v>93000</v>
      </c>
      <c r="G59" s="17" t="n">
        <f aca="false">Household_Base!Q$23</f>
        <v>75000</v>
      </c>
      <c r="H59" s="17" t="n">
        <f aca="false">Household_Base!Y$23</f>
        <v>51600</v>
      </c>
      <c r="I59" s="17" t="n">
        <f aca="false">Household_Base!AF$23</f>
        <v>51600</v>
      </c>
    </row>
    <row r="60" customFormat="false" ht="15" hidden="false" customHeight="true" outlineLevel="0" collapsed="false">
      <c r="C60" s="16" t="s">
        <v>113</v>
      </c>
      <c r="D60" s="17" t="n">
        <f aca="false">Household_Base!C$46</f>
        <v>120000</v>
      </c>
      <c r="E60" s="17" t="n">
        <f aca="false">Household_Base!H$46</f>
        <v>122400</v>
      </c>
      <c r="F60" s="17" t="n">
        <f aca="false">Household_Base!J$46</f>
        <v>127344.96</v>
      </c>
      <c r="G60" s="17" t="n">
        <f aca="false">Household_Base!Q$46</f>
        <v>146279.330399371</v>
      </c>
      <c r="H60" s="17" t="n">
        <f aca="false">Household_Base!Y$46</f>
        <v>171389.549709153</v>
      </c>
      <c r="I60" s="17" t="n">
        <f aca="false">Household_Base!AF$46</f>
        <v>196872.719335768</v>
      </c>
    </row>
    <row r="61" customFormat="false" ht="15" hidden="false" customHeight="true" outlineLevel="0" collapsed="false">
      <c r="C61" s="16" t="s">
        <v>114</v>
      </c>
      <c r="D61" s="17" t="n">
        <f aca="false">Household_Base!C$47</f>
        <v>21423.8</v>
      </c>
      <c r="E61" s="17" t="n">
        <f aca="false">Household_Base!H$47</f>
        <v>40800</v>
      </c>
      <c r="F61" s="17" t="n">
        <f aca="false">Household_Base!J$47</f>
        <v>42448.32</v>
      </c>
      <c r="G61" s="17" t="n">
        <f aca="false">Household_Base!Q$47</f>
        <v>48759.7767997903</v>
      </c>
      <c r="H61" s="17" t="n">
        <f aca="false">Household_Base!Y$47</f>
        <v>57129.8499030509</v>
      </c>
      <c r="I61" s="17" t="n">
        <f aca="false">Household_Base!AF$47</f>
        <v>65624.2397785892</v>
      </c>
    </row>
    <row r="62" customFormat="false" ht="15" hidden="false" customHeight="true" outlineLevel="0" collapsed="false">
      <c r="C62" s="16" t="s">
        <v>115</v>
      </c>
      <c r="D62" s="17" t="n">
        <f aca="false">Household_Base!C$48</f>
        <v>18000</v>
      </c>
      <c r="E62" s="17" t="n">
        <f aca="false">Household_Base!H$48</f>
        <v>9000</v>
      </c>
      <c r="F62" s="17" t="n">
        <f aca="false">Household_Base!J$48</f>
        <v>0</v>
      </c>
      <c r="G62" s="17" t="n">
        <f aca="false">Household_Base!Q$48</f>
        <v>0</v>
      </c>
      <c r="H62" s="17" t="n">
        <f aca="false">Household_Base!Y$48</f>
        <v>0</v>
      </c>
      <c r="I62" s="17" t="n">
        <f aca="false">Household_Base!AF$48</f>
        <v>0</v>
      </c>
    </row>
    <row r="63" customFormat="false" ht="15" hidden="false" customHeight="true" outlineLevel="0" collapsed="false">
      <c r="C63" s="16" t="s">
        <v>116</v>
      </c>
      <c r="D63" s="17" t="n">
        <f aca="false">Household_Base!C$44</f>
        <v>0</v>
      </c>
      <c r="E63" s="17" t="n">
        <f aca="false">Household_Base!H$44</f>
        <v>38375.462724864</v>
      </c>
      <c r="F63" s="17" t="n">
        <f aca="false">Household_Base!J$44</f>
        <v>49289.4314189486</v>
      </c>
      <c r="G63" s="17" t="n">
        <f aca="false">Household_Base!Q$44</f>
        <v>81309.2092875076</v>
      </c>
      <c r="H63" s="17" t="n">
        <f aca="false">Household_Base!Y$44</f>
        <v>132875.194285255</v>
      </c>
      <c r="I63" s="17" t="n">
        <f aca="false">Household_Base!AF$44</f>
        <v>152631.831261586</v>
      </c>
    </row>
    <row r="64" customFormat="false" ht="15" hidden="false" customHeight="true" outlineLevel="0" collapsed="false">
      <c r="C64" s="16" t="s">
        <v>117</v>
      </c>
      <c r="D64" s="17" t="n">
        <f aca="false">Household_Base!C$65</f>
        <v>302223.8</v>
      </c>
      <c r="E64" s="17" t="n">
        <f aca="false">Household_Base!H$65</f>
        <v>766849.014135688</v>
      </c>
      <c r="F64" s="17" t="n">
        <f aca="false">Household_Base!J$65</f>
        <v>1079132.80196828</v>
      </c>
      <c r="G64" s="17" t="n">
        <f aca="false">Household_Base!Q$65</f>
        <v>2813841.83265884</v>
      </c>
      <c r="H64" s="17" t="n">
        <f aca="false">Household_Base!Y$65</f>
        <v>5656937.83927048</v>
      </c>
      <c r="I64" s="17" t="n">
        <f aca="false">Household_Base!AF$65</f>
        <v>8364525.93638784</v>
      </c>
    </row>
    <row r="65" customFormat="false" ht="15" hidden="false" customHeight="true" outlineLevel="0" collapsed="false">
      <c r="C65" s="16" t="s">
        <v>118</v>
      </c>
      <c r="D65" s="17" t="n">
        <f aca="false">Household_Base!C$64</f>
        <v>1459200</v>
      </c>
      <c r="E65" s="17" t="n">
        <f aca="false">Household_Base!H$64</f>
        <v>2850435.64486656</v>
      </c>
      <c r="F65" s="17" t="n">
        <f aca="false">Household_Base!J$64</f>
        <v>3581404.15223478</v>
      </c>
      <c r="G65" s="17" t="n">
        <f aca="false">Household_Base!Q$64</f>
        <v>7000311.47598703</v>
      </c>
      <c r="H65" s="17" t="n">
        <f aca="false">Household_Base!Y$64</f>
        <v>12322228.5032948</v>
      </c>
      <c r="I65" s="17" t="n">
        <f aca="false">Household_Base!AF$64</f>
        <v>17166514.1161601</v>
      </c>
    </row>
    <row r="66" customFormat="false" ht="15" hidden="false" customHeight="true" outlineLevel="0" collapsed="false">
      <c r="C66" s="16" t="s">
        <v>119</v>
      </c>
      <c r="D66" s="17" t="n">
        <f aca="false">Household_Base!C$66</f>
        <v>1761423.8</v>
      </c>
      <c r="E66" s="17" t="n">
        <f aca="false">Household_Base!H$66</f>
        <v>3617284.65900225</v>
      </c>
      <c r="F66" s="17" t="n">
        <f aca="false">Household_Base!J$66</f>
        <v>4660536.95420307</v>
      </c>
      <c r="G66" s="17" t="n">
        <f aca="false">Household_Base!Q$66</f>
        <v>9814153.30864587</v>
      </c>
      <c r="H66" s="17" t="n">
        <f aca="false">Household_Base!Y$66</f>
        <v>17979166.3425652</v>
      </c>
      <c r="I66" s="17" t="n">
        <f aca="false">Household_Base!AF$66</f>
        <v>25531040.0525479</v>
      </c>
    </row>
    <row r="67" customFormat="false" ht="15" hidden="false" customHeight="true" outlineLevel="0" collapsed="false">
      <c r="C67" s="6" t="s">
        <v>120</v>
      </c>
      <c r="D67" s="17" t="n">
        <f aca="false">Household_Base!C$67</f>
        <v>1761423.8</v>
      </c>
      <c r="E67" s="17" t="n">
        <f aca="false">Household_Base!H$67</f>
        <v>3151486.80158303</v>
      </c>
      <c r="F67" s="17" t="n">
        <f aca="false">Household_Base!J$67</f>
        <v>3902729.20652052</v>
      </c>
      <c r="G67" s="17" t="n">
        <f aca="false">Household_Base!Q$67</f>
        <v>7154579.24184486</v>
      </c>
      <c r="H67" s="17" t="n">
        <f aca="false">Household_Base!Y$67</f>
        <v>11186634.1916861</v>
      </c>
      <c r="I67" s="17" t="n">
        <f aca="false">Household_Base!AF$67</f>
        <v>13829204.2431779</v>
      </c>
    </row>
    <row r="68" customFormat="false" ht="15" hidden="false" customHeight="true" outlineLevel="0" collapsed="false">
      <c r="C68" s="16" t="s">
        <v>121</v>
      </c>
      <c r="D68" s="25" t="n">
        <f aca="false">Analysis_DM_Exit!C$8</f>
        <v>0.68365690376569</v>
      </c>
      <c r="E68" s="25" t="n">
        <f aca="false">Analysis_DM_Exit!H$8</f>
        <v>0.956970439597428</v>
      </c>
      <c r="F68" s="25" t="n">
        <f aca="false">Analysis_DM_Exit!J$8</f>
        <v>1.03765508409667</v>
      </c>
      <c r="G68" s="25" t="n">
        <f aca="false">Analysis_DM_Exit!Q$8</f>
        <v>1.28669230427987</v>
      </c>
      <c r="H68" s="25" t="n">
        <f aca="false">Analysis_DM_Exit!Y$8</f>
        <v>1.87019230273237</v>
      </c>
      <c r="I68" s="25" t="n">
        <f aca="false">Analysis_DM_Exit!AF$8</f>
        <v>1.87019230273238</v>
      </c>
    </row>
    <row r="70" customFormat="false" ht="19.5" hidden="false" customHeight="true" outlineLevel="0" collapsed="false">
      <c r="A70" s="4"/>
      <c r="B70" s="4"/>
      <c r="C70" s="5" t="s">
        <v>122</v>
      </c>
      <c r="D70" s="4"/>
      <c r="E70" s="4"/>
      <c r="F70" s="4"/>
      <c r="G70" s="4"/>
      <c r="H70" s="4"/>
      <c r="I70" s="4"/>
    </row>
    <row r="71" customFormat="false" ht="15" hidden="false" customHeight="true" outlineLevel="0" collapsed="false">
      <c r="C71" s="3" t="s">
        <v>123</v>
      </c>
    </row>
    <row r="72" customFormat="false" ht="15" hidden="false" customHeight="true" outlineLevel="0" collapsed="false">
      <c r="C72" s="26" t="s">
        <v>124</v>
      </c>
    </row>
    <row r="73" customFormat="false" ht="15" hidden="false" customHeight="true" outlineLevel="0" collapsed="false">
      <c r="C73" s="26" t="s">
        <v>125</v>
      </c>
    </row>
    <row r="74" customFormat="false" ht="15" hidden="false" customHeight="true" outlineLevel="0" collapsed="false">
      <c r="C74" s="27" t="s">
        <v>126</v>
      </c>
    </row>
    <row r="75" customFormat="false" ht="15" hidden="false" customHeight="true" outlineLevel="0" collapsed="false">
      <c r="C75" s="27" t="s">
        <v>127</v>
      </c>
    </row>
    <row r="77" customFormat="false" ht="19.5" hidden="false" customHeight="true" outlineLevel="0" collapsed="false">
      <c r="A77" s="4"/>
      <c r="B77" s="4"/>
      <c r="C77" s="5" t="s">
        <v>128</v>
      </c>
      <c r="D77" s="4"/>
      <c r="E77" s="4"/>
      <c r="F77" s="4"/>
      <c r="G77" s="4"/>
      <c r="H77" s="4"/>
      <c r="I77" s="4"/>
    </row>
    <row r="78" customFormat="false" ht="15" hidden="false" customHeight="true" outlineLevel="0" collapsed="false">
      <c r="C78" s="3" t="s">
        <v>129</v>
      </c>
    </row>
    <row r="79" customFormat="false" ht="15" hidden="false" customHeight="true" outlineLevel="0" collapsed="false">
      <c r="C79" s="3" t="s">
        <v>130</v>
      </c>
    </row>
    <row r="80" customFormat="false" ht="15" hidden="false" customHeight="true" outlineLevel="0" collapsed="false">
      <c r="C80" s="3" t="s">
        <v>131</v>
      </c>
    </row>
    <row r="81" customFormat="false" ht="15" hidden="false" customHeight="true" outlineLevel="0" collapsed="false">
      <c r="C81" s="3" t="s">
        <v>132</v>
      </c>
    </row>
    <row r="82" customFormat="false" ht="15" hidden="false" customHeight="true" outlineLevel="0" collapsed="false">
      <c r="C82" s="3" t="s">
        <v>133</v>
      </c>
    </row>
    <row r="84" customFormat="false" ht="19.5" hidden="false" customHeight="true" outlineLevel="0" collapsed="false">
      <c r="A84" s="4"/>
      <c r="B84" s="4"/>
      <c r="C84" s="5" t="s">
        <v>134</v>
      </c>
      <c r="D84" s="4"/>
      <c r="E84" s="4"/>
      <c r="F84" s="4"/>
      <c r="G84" s="4"/>
      <c r="H84" s="4"/>
      <c r="I84" s="4"/>
    </row>
    <row r="85" customFormat="false" ht="15" hidden="false" customHeight="true" outlineLevel="0" collapsed="false">
      <c r="C85" s="3" t="s">
        <v>135</v>
      </c>
    </row>
    <row r="86" customFormat="false" ht="15" hidden="false" customHeight="true" outlineLevel="0" collapsed="false">
      <c r="C86" s="3" t="s">
        <v>136</v>
      </c>
    </row>
    <row r="87" customFormat="false" ht="15" hidden="false" customHeight="true" outlineLevel="0" collapsed="false">
      <c r="C87" s="3" t="s">
        <v>137</v>
      </c>
    </row>
    <row r="88" customFormat="false" ht="15" hidden="false" customHeight="true" outlineLevel="0" collapsed="false">
      <c r="C88" s="3" t="s">
        <v>138</v>
      </c>
    </row>
    <row r="89" customFormat="false" ht="15" hidden="false" customHeight="true" outlineLevel="0" collapsed="false">
      <c r="C89" s="3" t="s">
        <v>139</v>
      </c>
    </row>
    <row r="90" customFormat="false" ht="15" hidden="false" customHeight="true" outlineLevel="0" collapsed="false">
      <c r="C90" s="3" t="s">
        <v>140</v>
      </c>
    </row>
    <row r="92" customFormat="false" ht="15" hidden="false" customHeight="true" outlineLevel="0" collapsed="false">
      <c r="C92" s="9"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4"/>
    <col collapsed="false" customWidth="true" hidden="false" outlineLevel="0" max="32" min="3" style="1" width="11"/>
  </cols>
  <sheetData>
    <row r="1" customFormat="false" ht="17.25" hidden="false" customHeight="true" outlineLevel="0" collapsed="false">
      <c r="A1" s="28" t="s">
        <v>142</v>
      </c>
    </row>
    <row r="2" customFormat="false" ht="15" hidden="false" customHeight="true" outlineLevel="0" collapsed="false">
      <c r="A2" s="29" t="s">
        <v>143</v>
      </c>
    </row>
    <row r="3" customFormat="false" ht="15" hidden="false" customHeight="true" outlineLevel="0" collapsed="false">
      <c r="A3" s="29" t="s">
        <v>144</v>
      </c>
    </row>
    <row r="5" customFormat="false" ht="15" hidden="false" customHeight="true" outlineLevel="0" collapsed="false">
      <c r="A5" s="30" t="s">
        <v>145</v>
      </c>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row>
    <row r="6" customFormat="false" ht="15" hidden="false" customHeight="true" outlineLevel="0" collapsed="false">
      <c r="B6" s="16" t="s">
        <v>101</v>
      </c>
      <c r="C6" s="31" t="n">
        <v>2026</v>
      </c>
      <c r="D6" s="31" t="n">
        <v>2027</v>
      </c>
      <c r="E6" s="31" t="n">
        <v>2028</v>
      </c>
      <c r="F6" s="31" t="n">
        <v>2029</v>
      </c>
      <c r="G6" s="31" t="n">
        <v>2030</v>
      </c>
      <c r="H6" s="31" t="n">
        <v>2031</v>
      </c>
      <c r="I6" s="31" t="n">
        <v>2032</v>
      </c>
      <c r="J6" s="31" t="n">
        <v>2033</v>
      </c>
      <c r="K6" s="31" t="n">
        <v>2034</v>
      </c>
      <c r="L6" s="31" t="n">
        <v>2035</v>
      </c>
      <c r="M6" s="31" t="n">
        <v>2036</v>
      </c>
      <c r="N6" s="31" t="n">
        <v>2037</v>
      </c>
      <c r="O6" s="31" t="n">
        <v>2038</v>
      </c>
      <c r="P6" s="31" t="n">
        <v>2039</v>
      </c>
      <c r="Q6" s="31" t="n">
        <v>2040</v>
      </c>
      <c r="R6" s="31" t="n">
        <v>2041</v>
      </c>
      <c r="S6" s="31" t="n">
        <v>2042</v>
      </c>
      <c r="T6" s="31" t="n">
        <v>2043</v>
      </c>
      <c r="U6" s="31" t="n">
        <v>2044</v>
      </c>
      <c r="V6" s="31" t="n">
        <v>2045</v>
      </c>
      <c r="W6" s="31" t="n">
        <v>2046</v>
      </c>
      <c r="X6" s="31" t="n">
        <v>2047</v>
      </c>
      <c r="Y6" s="31" t="n">
        <v>2048</v>
      </c>
      <c r="Z6" s="31" t="n">
        <v>2049</v>
      </c>
      <c r="AA6" s="31" t="n">
        <v>2050</v>
      </c>
      <c r="AB6" s="31" t="n">
        <v>2051</v>
      </c>
      <c r="AC6" s="31" t="n">
        <v>2052</v>
      </c>
      <c r="AD6" s="31" t="n">
        <v>2053</v>
      </c>
      <c r="AE6" s="31" t="n">
        <v>2054</v>
      </c>
      <c r="AF6" s="31" t="n">
        <v>2055</v>
      </c>
    </row>
    <row r="7" customFormat="false" ht="15" hidden="false" customHeight="true" outlineLevel="0" collapsed="false">
      <c r="B7" s="6" t="s">
        <v>146</v>
      </c>
      <c r="C7" s="32" t="n">
        <v>1</v>
      </c>
      <c r="D7" s="32" t="n">
        <f aca="false">C7+1</f>
        <v>2</v>
      </c>
      <c r="E7" s="32" t="n">
        <f aca="false">D7+1</f>
        <v>3</v>
      </c>
      <c r="F7" s="32" t="n">
        <f aca="false">E7+1</f>
        <v>4</v>
      </c>
      <c r="G7" s="32" t="n">
        <f aca="false">F7+1</f>
        <v>5</v>
      </c>
      <c r="H7" s="32" t="n">
        <f aca="false">G7+1</f>
        <v>6</v>
      </c>
      <c r="I7" s="32" t="n">
        <f aca="false">H7+1</f>
        <v>7</v>
      </c>
      <c r="J7" s="32" t="n">
        <f aca="false">I7+1</f>
        <v>8</v>
      </c>
      <c r="K7" s="32" t="n">
        <f aca="false">J7+1</f>
        <v>9</v>
      </c>
      <c r="L7" s="32" t="n">
        <f aca="false">K7+1</f>
        <v>10</v>
      </c>
      <c r="M7" s="32" t="n">
        <f aca="false">L7+1</f>
        <v>11</v>
      </c>
      <c r="N7" s="32" t="n">
        <f aca="false">M7+1</f>
        <v>12</v>
      </c>
      <c r="O7" s="32" t="n">
        <f aca="false">N7+1</f>
        <v>13</v>
      </c>
      <c r="P7" s="32" t="n">
        <f aca="false">O7+1</f>
        <v>14</v>
      </c>
      <c r="Q7" s="32" t="n">
        <f aca="false">P7+1</f>
        <v>15</v>
      </c>
      <c r="R7" s="32" t="n">
        <f aca="false">Q7+1</f>
        <v>16</v>
      </c>
      <c r="S7" s="32" t="n">
        <f aca="false">R7+1</f>
        <v>17</v>
      </c>
      <c r="T7" s="32" t="n">
        <f aca="false">S7+1</f>
        <v>18</v>
      </c>
      <c r="U7" s="32" t="n">
        <f aca="false">T7+1</f>
        <v>19</v>
      </c>
      <c r="V7" s="32" t="n">
        <f aca="false">U7+1</f>
        <v>20</v>
      </c>
      <c r="W7" s="32" t="n">
        <f aca="false">V7+1</f>
        <v>21</v>
      </c>
      <c r="X7" s="32" t="n">
        <f aca="false">W7+1</f>
        <v>22</v>
      </c>
      <c r="Y7" s="32" t="n">
        <f aca="false">X7+1</f>
        <v>23</v>
      </c>
      <c r="Z7" s="32" t="n">
        <f aca="false">Y7+1</f>
        <v>24</v>
      </c>
      <c r="AA7" s="32" t="n">
        <f aca="false">Z7+1</f>
        <v>25</v>
      </c>
      <c r="AB7" s="32" t="n">
        <f aca="false">AA7+1</f>
        <v>26</v>
      </c>
      <c r="AC7" s="32" t="n">
        <f aca="false">AB7+1</f>
        <v>27</v>
      </c>
      <c r="AD7" s="32" t="n">
        <f aca="false">AC7+1</f>
        <v>28</v>
      </c>
      <c r="AE7" s="32" t="n">
        <f aca="false">AD7+1</f>
        <v>29</v>
      </c>
      <c r="AF7" s="32" t="n">
        <f aca="false">AE7+1</f>
        <v>30</v>
      </c>
    </row>
    <row r="8" customFormat="false" ht="15" hidden="false" customHeight="true" outlineLevel="0" collapsed="false">
      <c r="B8" s="6" t="s">
        <v>147</v>
      </c>
      <c r="C8" s="33" t="n">
        <v>0</v>
      </c>
      <c r="D8" s="33" t="n">
        <v>0.04</v>
      </c>
      <c r="E8" s="33" t="n">
        <v>0.04</v>
      </c>
      <c r="F8" s="33" t="n">
        <v>0.02</v>
      </c>
      <c r="G8" s="33" t="n">
        <v>0.02</v>
      </c>
      <c r="H8" s="33" t="n">
        <v>0.02</v>
      </c>
      <c r="I8" s="33" t="n">
        <v>0.02</v>
      </c>
      <c r="J8" s="33" t="n">
        <v>0.02</v>
      </c>
      <c r="K8" s="33" t="n">
        <v>0.02</v>
      </c>
      <c r="L8" s="33" t="n">
        <v>0.02</v>
      </c>
      <c r="M8" s="33" t="n">
        <v>0.02</v>
      </c>
      <c r="N8" s="33" t="n">
        <v>0.02</v>
      </c>
      <c r="O8" s="33" t="n">
        <v>0.02</v>
      </c>
      <c r="P8" s="33" t="n">
        <v>0.02</v>
      </c>
      <c r="Q8" s="33" t="n">
        <v>0.02</v>
      </c>
      <c r="R8" s="33" t="n">
        <v>0.02</v>
      </c>
      <c r="S8" s="33" t="n">
        <v>0.02</v>
      </c>
      <c r="T8" s="33" t="n">
        <v>0.02</v>
      </c>
      <c r="U8" s="33" t="n">
        <v>0.02</v>
      </c>
      <c r="V8" s="33" t="n">
        <v>0.02</v>
      </c>
      <c r="W8" s="33" t="n">
        <v>0.02</v>
      </c>
      <c r="X8" s="33" t="n">
        <v>0.02</v>
      </c>
      <c r="Y8" s="33" t="n">
        <v>0.02</v>
      </c>
      <c r="Z8" s="33" t="n">
        <v>0.02</v>
      </c>
      <c r="AA8" s="33" t="n">
        <v>0.02</v>
      </c>
      <c r="AB8" s="33" t="n">
        <v>0.02</v>
      </c>
      <c r="AC8" s="33" t="n">
        <v>0.02</v>
      </c>
      <c r="AD8" s="33" t="n">
        <v>0.02</v>
      </c>
      <c r="AE8" s="33" t="n">
        <v>0.02</v>
      </c>
      <c r="AF8" s="33" t="n">
        <v>0.02</v>
      </c>
      <c r="AI8" s="34" t="s">
        <v>148</v>
      </c>
    </row>
    <row r="9" customFormat="false" ht="15" hidden="false" customHeight="true" outlineLevel="0" collapsed="false">
      <c r="B9" s="16" t="s">
        <v>149</v>
      </c>
      <c r="C9" s="35" t="n">
        <v>1</v>
      </c>
      <c r="D9" s="35" t="n">
        <f aca="false">C9*(1+D8)</f>
        <v>1.04</v>
      </c>
      <c r="E9" s="35" t="n">
        <f aca="false">D9*(1+E8)</f>
        <v>1.0816</v>
      </c>
      <c r="F9" s="35" t="n">
        <f aca="false">E9*(1+F8)</f>
        <v>1.103232</v>
      </c>
      <c r="G9" s="35" t="n">
        <f aca="false">F9*(1+G8)</f>
        <v>1.12529664</v>
      </c>
      <c r="H9" s="35" t="n">
        <f aca="false">G9*(1+H8)</f>
        <v>1.1478025728</v>
      </c>
      <c r="I9" s="35" t="n">
        <f aca="false">H9*(1+I8)</f>
        <v>1.170758624256</v>
      </c>
      <c r="J9" s="35" t="n">
        <f aca="false">I9*(1+J8)</f>
        <v>1.19417379674112</v>
      </c>
      <c r="K9" s="35" t="n">
        <f aca="false">J9*(1+K8)</f>
        <v>1.21805727267594</v>
      </c>
      <c r="L9" s="35" t="n">
        <f aca="false">K9*(1+L8)</f>
        <v>1.24241841812946</v>
      </c>
      <c r="M9" s="35" t="n">
        <f aca="false">L9*(1+M8)</f>
        <v>1.26726678649205</v>
      </c>
      <c r="N9" s="35" t="n">
        <f aca="false">M9*(1+N8)</f>
        <v>1.29261212222189</v>
      </c>
      <c r="O9" s="35" t="n">
        <f aca="false">N9*(1+O8)</f>
        <v>1.31846436466633</v>
      </c>
      <c r="P9" s="35" t="n">
        <f aca="false">O9*(1+P8)</f>
        <v>1.34483365195966</v>
      </c>
      <c r="Q9" s="35" t="n">
        <f aca="false">P9*(1+Q8)</f>
        <v>1.37173032499885</v>
      </c>
      <c r="R9" s="35" t="n">
        <f aca="false">Q9*(1+R8)</f>
        <v>1.39916493149883</v>
      </c>
      <c r="S9" s="35" t="n">
        <f aca="false">R9*(1+S8)</f>
        <v>1.4271482301288</v>
      </c>
      <c r="T9" s="35" t="n">
        <f aca="false">S9*(1+T8)</f>
        <v>1.45569119473138</v>
      </c>
      <c r="U9" s="35" t="n">
        <f aca="false">T9*(1+U8)</f>
        <v>1.48480501862601</v>
      </c>
      <c r="V9" s="35" t="n">
        <f aca="false">U9*(1+V8)</f>
        <v>1.51450111899853</v>
      </c>
      <c r="W9" s="35" t="n">
        <f aca="false">V9*(1+W8)</f>
        <v>1.5447911413785</v>
      </c>
      <c r="X9" s="35" t="n">
        <f aca="false">W9*(1+X8)</f>
        <v>1.57568696420607</v>
      </c>
      <c r="Y9" s="35" t="n">
        <f aca="false">X9*(1+Y8)</f>
        <v>1.60720070349019</v>
      </c>
      <c r="Z9" s="35" t="n">
        <f aca="false">Y9*(1+Z8)</f>
        <v>1.63934471755999</v>
      </c>
      <c r="AA9" s="35" t="n">
        <f aca="false">Z9*(1+AA8)</f>
        <v>1.67213161191119</v>
      </c>
      <c r="AB9" s="35" t="n">
        <f aca="false">AA9*(1+AB8)</f>
        <v>1.70557424414942</v>
      </c>
      <c r="AC9" s="35" t="n">
        <f aca="false">AB9*(1+AC8)</f>
        <v>1.7396857290324</v>
      </c>
      <c r="AD9" s="35" t="n">
        <f aca="false">AC9*(1+AD8)</f>
        <v>1.77447944361305</v>
      </c>
      <c r="AE9" s="35" t="n">
        <f aca="false">AD9*(1+AE8)</f>
        <v>1.80996903248531</v>
      </c>
      <c r="AF9" s="35" t="n">
        <f aca="false">AE9*(1+AF8)</f>
        <v>1.84616841313502</v>
      </c>
    </row>
    <row r="10" customFormat="false" ht="15" hidden="false" customHeight="true" outlineLevel="0" collapsed="false">
      <c r="B10" s="6" t="s">
        <v>150</v>
      </c>
      <c r="C10" s="36" t="n">
        <v>0</v>
      </c>
      <c r="D10" s="36" t="n">
        <v>0</v>
      </c>
      <c r="E10" s="36" t="n">
        <v>0</v>
      </c>
      <c r="F10" s="36" t="n">
        <v>0</v>
      </c>
      <c r="G10" s="36" t="n">
        <v>0</v>
      </c>
      <c r="H10" s="36" t="n">
        <f aca="false">H8</f>
        <v>0.02</v>
      </c>
      <c r="I10" s="36" t="n">
        <f aca="false">I8</f>
        <v>0.02</v>
      </c>
      <c r="J10" s="36" t="n">
        <f aca="false">J8</f>
        <v>0.02</v>
      </c>
      <c r="K10" s="36" t="n">
        <f aca="false">K8</f>
        <v>0.02</v>
      </c>
      <c r="L10" s="36" t="n">
        <f aca="false">L8</f>
        <v>0.02</v>
      </c>
      <c r="M10" s="36" t="n">
        <f aca="false">M8</f>
        <v>0.02</v>
      </c>
      <c r="N10" s="36" t="n">
        <f aca="false">N8</f>
        <v>0.02</v>
      </c>
      <c r="O10" s="36" t="n">
        <f aca="false">O8</f>
        <v>0.02</v>
      </c>
      <c r="P10" s="36" t="n">
        <f aca="false">P8</f>
        <v>0.02</v>
      </c>
      <c r="Q10" s="36" t="n">
        <f aca="false">Q8</f>
        <v>0.02</v>
      </c>
      <c r="R10" s="36" t="n">
        <f aca="false">R8</f>
        <v>0.02</v>
      </c>
      <c r="S10" s="36" t="n">
        <f aca="false">S8</f>
        <v>0.02</v>
      </c>
      <c r="T10" s="36" t="n">
        <f aca="false">T8</f>
        <v>0.02</v>
      </c>
      <c r="U10" s="36" t="n">
        <f aca="false">U8</f>
        <v>0.02</v>
      </c>
      <c r="V10" s="36" t="n">
        <f aca="false">V8</f>
        <v>0.02</v>
      </c>
      <c r="W10" s="36" t="n">
        <f aca="false">W8</f>
        <v>0.02</v>
      </c>
      <c r="X10" s="36" t="n">
        <f aca="false">X8</f>
        <v>0.02</v>
      </c>
      <c r="Y10" s="36" t="n">
        <f aca="false">Y8</f>
        <v>0.02</v>
      </c>
      <c r="Z10" s="36" t="n">
        <f aca="false">Z8</f>
        <v>0.02</v>
      </c>
      <c r="AA10" s="36" t="n">
        <f aca="false">AA8</f>
        <v>0.02</v>
      </c>
      <c r="AB10" s="36" t="n">
        <f aca="false">AB8</f>
        <v>0.02</v>
      </c>
      <c r="AC10" s="36" t="n">
        <f aca="false">AC8</f>
        <v>0.02</v>
      </c>
      <c r="AD10" s="36" t="n">
        <f aca="false">AD8</f>
        <v>0.02</v>
      </c>
      <c r="AE10" s="36" t="n">
        <f aca="false">AE8</f>
        <v>0.02</v>
      </c>
      <c r="AF10" s="36" t="n">
        <f aca="false">AF8</f>
        <v>0.02</v>
      </c>
      <c r="AI10" s="34" t="s">
        <v>151</v>
      </c>
    </row>
    <row r="11" customFormat="false" ht="15" hidden="false" customHeight="true" outlineLevel="0" collapsed="false">
      <c r="B11" s="6" t="s">
        <v>152</v>
      </c>
      <c r="C11" s="37" t="n">
        <v>1</v>
      </c>
      <c r="D11" s="37" t="n">
        <f aca="false">C11*(1+D10)</f>
        <v>1</v>
      </c>
      <c r="E11" s="37" t="n">
        <f aca="false">D11*(1+E10)</f>
        <v>1</v>
      </c>
      <c r="F11" s="37" t="n">
        <f aca="false">E11*(1+F10)</f>
        <v>1</v>
      </c>
      <c r="G11" s="37" t="n">
        <f aca="false">F11*(1+G10)</f>
        <v>1</v>
      </c>
      <c r="H11" s="37" t="n">
        <f aca="false">G11*(1+H10)</f>
        <v>1.02</v>
      </c>
      <c r="I11" s="37" t="n">
        <f aca="false">H11*(1+I10)</f>
        <v>1.0404</v>
      </c>
      <c r="J11" s="37" t="n">
        <f aca="false">I11*(1+J10)</f>
        <v>1.061208</v>
      </c>
      <c r="K11" s="37" t="n">
        <f aca="false">J11*(1+K10)</f>
        <v>1.08243216</v>
      </c>
      <c r="L11" s="37" t="n">
        <f aca="false">K11*(1+L10)</f>
        <v>1.1040808032</v>
      </c>
      <c r="M11" s="37" t="n">
        <f aca="false">L11*(1+M10)</f>
        <v>1.126162419264</v>
      </c>
      <c r="N11" s="37" t="n">
        <f aca="false">M11*(1+N10)</f>
        <v>1.14868566764928</v>
      </c>
      <c r="O11" s="37" t="n">
        <f aca="false">N11*(1+O10)</f>
        <v>1.17165938100227</v>
      </c>
      <c r="P11" s="37" t="n">
        <f aca="false">O11*(1+P10)</f>
        <v>1.19509256862231</v>
      </c>
      <c r="Q11" s="37" t="n">
        <f aca="false">P11*(1+Q10)</f>
        <v>1.21899441999476</v>
      </c>
      <c r="R11" s="37" t="n">
        <f aca="false">Q11*(1+R10)</f>
        <v>1.24337430839465</v>
      </c>
      <c r="S11" s="37" t="n">
        <f aca="false">R11*(1+S10)</f>
        <v>1.26824179456255</v>
      </c>
      <c r="T11" s="37" t="n">
        <f aca="false">S11*(1+T10)</f>
        <v>1.2936066304538</v>
      </c>
      <c r="U11" s="37" t="n">
        <f aca="false">T11*(1+U10)</f>
        <v>1.31947876306287</v>
      </c>
      <c r="V11" s="37" t="n">
        <f aca="false">U11*(1+V10)</f>
        <v>1.34586833832413</v>
      </c>
      <c r="W11" s="37" t="n">
        <f aca="false">V11*(1+W10)</f>
        <v>1.37278570509061</v>
      </c>
      <c r="X11" s="37" t="n">
        <f aca="false">W11*(1+X10)</f>
        <v>1.40024141919242</v>
      </c>
      <c r="Y11" s="37" t="n">
        <f aca="false">X11*(1+Y10)</f>
        <v>1.42824624757627</v>
      </c>
      <c r="Z11" s="37" t="n">
        <f aca="false">Y11*(1+Z10)</f>
        <v>1.4568111725278</v>
      </c>
      <c r="AA11" s="37" t="n">
        <f aca="false">Z11*(1+AA10)</f>
        <v>1.48594739597836</v>
      </c>
      <c r="AB11" s="37" t="n">
        <f aca="false">AA11*(1+AB10)</f>
        <v>1.51566634389792</v>
      </c>
      <c r="AC11" s="37" t="n">
        <f aca="false">AB11*(1+AC10)</f>
        <v>1.54597967077588</v>
      </c>
      <c r="AD11" s="37" t="n">
        <f aca="false">AC11*(1+AD10)</f>
        <v>1.5768992641914</v>
      </c>
      <c r="AE11" s="37" t="n">
        <f aca="false">AD11*(1+AE10)</f>
        <v>1.60843724947523</v>
      </c>
      <c r="AF11" s="37" t="n">
        <f aca="false">AE11*(1+AF10)</f>
        <v>1.64060599446473</v>
      </c>
    </row>
    <row r="12" customFormat="false" ht="15" hidden="false" customHeight="true" outlineLevel="0" collapsed="false">
      <c r="B12" s="6" t="s">
        <v>153</v>
      </c>
      <c r="C12" s="32" t="n">
        <v>35</v>
      </c>
      <c r="D12" s="32" t="n">
        <f aca="false">C12+1</f>
        <v>36</v>
      </c>
      <c r="E12" s="32" t="n">
        <f aca="false">D12+1</f>
        <v>37</v>
      </c>
      <c r="F12" s="32" t="n">
        <f aca="false">E12+1</f>
        <v>38</v>
      </c>
      <c r="G12" s="32" t="n">
        <f aca="false">F12+1</f>
        <v>39</v>
      </c>
      <c r="H12" s="32" t="n">
        <f aca="false">G12+1</f>
        <v>40</v>
      </c>
      <c r="I12" s="32" t="n">
        <f aca="false">H12+1</f>
        <v>41</v>
      </c>
      <c r="J12" s="32" t="n">
        <f aca="false">I12+1</f>
        <v>42</v>
      </c>
      <c r="K12" s="32" t="n">
        <f aca="false">J12+1</f>
        <v>43</v>
      </c>
      <c r="L12" s="32" t="n">
        <f aca="false">K12+1</f>
        <v>44</v>
      </c>
      <c r="M12" s="32" t="n">
        <f aca="false">L12+1</f>
        <v>45</v>
      </c>
      <c r="N12" s="32" t="n">
        <f aca="false">M12+1</f>
        <v>46</v>
      </c>
      <c r="O12" s="32" t="n">
        <f aca="false">N12+1</f>
        <v>47</v>
      </c>
      <c r="P12" s="32" t="n">
        <f aca="false">O12+1</f>
        <v>48</v>
      </c>
      <c r="Q12" s="32" t="n">
        <f aca="false">P12+1</f>
        <v>49</v>
      </c>
      <c r="R12" s="32" t="n">
        <f aca="false">Q12+1</f>
        <v>50</v>
      </c>
      <c r="S12" s="32" t="n">
        <f aca="false">R12+1</f>
        <v>51</v>
      </c>
      <c r="T12" s="32" t="n">
        <f aca="false">S12+1</f>
        <v>52</v>
      </c>
      <c r="U12" s="32" t="n">
        <f aca="false">T12+1</f>
        <v>53</v>
      </c>
      <c r="V12" s="32" t="n">
        <f aca="false">U12+1</f>
        <v>54</v>
      </c>
      <c r="W12" s="32" t="n">
        <f aca="false">V12+1</f>
        <v>55</v>
      </c>
      <c r="X12" s="32" t="n">
        <f aca="false">W12+1</f>
        <v>56</v>
      </c>
      <c r="Y12" s="32" t="n">
        <f aca="false">X12+1</f>
        <v>57</v>
      </c>
      <c r="Z12" s="32" t="n">
        <f aca="false">Y12+1</f>
        <v>58</v>
      </c>
      <c r="AA12" s="32" t="n">
        <f aca="false">Z12+1</f>
        <v>59</v>
      </c>
      <c r="AB12" s="32" t="n">
        <f aca="false">AA12+1</f>
        <v>60</v>
      </c>
      <c r="AC12" s="32" t="n">
        <f aca="false">AB12+1</f>
        <v>61</v>
      </c>
      <c r="AD12" s="32" t="n">
        <f aca="false">AC12+1</f>
        <v>62</v>
      </c>
      <c r="AE12" s="32" t="n">
        <f aca="false">AD12+1</f>
        <v>63</v>
      </c>
      <c r="AF12" s="32" t="n">
        <f aca="false">AE12+1</f>
        <v>64</v>
      </c>
    </row>
    <row r="13" customFormat="false" ht="15" hidden="false" customHeight="true" outlineLevel="0" collapsed="false">
      <c r="B13" s="6" t="s">
        <v>154</v>
      </c>
      <c r="C13" s="32" t="n">
        <v>44</v>
      </c>
      <c r="D13" s="32" t="n">
        <f aca="false">C13+1</f>
        <v>45</v>
      </c>
      <c r="E13" s="32" t="n">
        <f aca="false">D13+1</f>
        <v>46</v>
      </c>
      <c r="F13" s="32" t="n">
        <f aca="false">E13+1</f>
        <v>47</v>
      </c>
      <c r="G13" s="32" t="n">
        <f aca="false">F13+1</f>
        <v>48</v>
      </c>
      <c r="H13" s="32" t="n">
        <f aca="false">G13+1</f>
        <v>49</v>
      </c>
      <c r="I13" s="32" t="n">
        <f aca="false">H13+1</f>
        <v>50</v>
      </c>
      <c r="J13" s="32" t="n">
        <f aca="false">I13+1</f>
        <v>51</v>
      </c>
      <c r="K13" s="32" t="n">
        <f aca="false">J13+1</f>
        <v>52</v>
      </c>
      <c r="L13" s="32" t="n">
        <f aca="false">K13+1</f>
        <v>53</v>
      </c>
      <c r="M13" s="32" t="n">
        <f aca="false">L13+1</f>
        <v>54</v>
      </c>
      <c r="N13" s="32" t="n">
        <f aca="false">M13+1</f>
        <v>55</v>
      </c>
      <c r="O13" s="32" t="n">
        <f aca="false">N13+1</f>
        <v>56</v>
      </c>
      <c r="P13" s="32" t="n">
        <f aca="false">O13+1</f>
        <v>57</v>
      </c>
      <c r="Q13" s="32" t="n">
        <f aca="false">P13+1</f>
        <v>58</v>
      </c>
      <c r="R13" s="32" t="n">
        <f aca="false">Q13+1</f>
        <v>59</v>
      </c>
      <c r="S13" s="32" t="n">
        <f aca="false">R13+1</f>
        <v>60</v>
      </c>
      <c r="T13" s="32" t="n">
        <f aca="false">S13+1</f>
        <v>61</v>
      </c>
      <c r="U13" s="32" t="n">
        <f aca="false">T13+1</f>
        <v>62</v>
      </c>
      <c r="V13" s="32" t="n">
        <f aca="false">U13+1</f>
        <v>63</v>
      </c>
      <c r="W13" s="32" t="n">
        <f aca="false">V13+1</f>
        <v>64</v>
      </c>
      <c r="X13" s="32" t="n">
        <f aca="false">W13+1</f>
        <v>65</v>
      </c>
      <c r="Y13" s="32" t="n">
        <f aca="false">X13+1</f>
        <v>66</v>
      </c>
      <c r="Z13" s="32" t="n">
        <f aca="false">Y13+1</f>
        <v>67</v>
      </c>
      <c r="AA13" s="32" t="n">
        <f aca="false">Z13+1</f>
        <v>68</v>
      </c>
      <c r="AB13" s="32" t="n">
        <f aca="false">AA13+1</f>
        <v>69</v>
      </c>
      <c r="AC13" s="32" t="n">
        <f aca="false">AB13+1</f>
        <v>70</v>
      </c>
      <c r="AD13" s="32" t="n">
        <f aca="false">AC13+1</f>
        <v>71</v>
      </c>
      <c r="AE13" s="32" t="n">
        <f aca="false">AD13+1</f>
        <v>72</v>
      </c>
      <c r="AF13" s="32" t="n">
        <f aca="false">AE13+1</f>
        <v>73</v>
      </c>
    </row>
    <row r="14" customFormat="false" ht="15" hidden="false" customHeight="true" outlineLevel="0" collapsed="false">
      <c r="B14" s="6" t="s">
        <v>155</v>
      </c>
      <c r="C14" s="38" t="n">
        <f aca="false">(C12+C13)/2</f>
        <v>39.5</v>
      </c>
      <c r="D14" s="38" t="n">
        <f aca="false">(D12+D13)/2</f>
        <v>40.5</v>
      </c>
      <c r="E14" s="38" t="n">
        <f aca="false">(E12+E13)/2</f>
        <v>41.5</v>
      </c>
      <c r="F14" s="38" t="n">
        <f aca="false">(F12+F13)/2</f>
        <v>42.5</v>
      </c>
      <c r="G14" s="38" t="n">
        <f aca="false">(G12+G13)/2</f>
        <v>43.5</v>
      </c>
      <c r="H14" s="38" t="n">
        <f aca="false">(H12+H13)/2</f>
        <v>44.5</v>
      </c>
      <c r="I14" s="38" t="n">
        <f aca="false">(I12+I13)/2</f>
        <v>45.5</v>
      </c>
      <c r="J14" s="38" t="n">
        <f aca="false">(J12+J13)/2</f>
        <v>46.5</v>
      </c>
      <c r="K14" s="38" t="n">
        <f aca="false">(K12+K13)/2</f>
        <v>47.5</v>
      </c>
      <c r="L14" s="38" t="n">
        <f aca="false">(L12+L13)/2</f>
        <v>48.5</v>
      </c>
      <c r="M14" s="38" t="n">
        <f aca="false">(M12+M13)/2</f>
        <v>49.5</v>
      </c>
      <c r="N14" s="38" t="n">
        <f aca="false">(N12+N13)/2</f>
        <v>50.5</v>
      </c>
      <c r="O14" s="38" t="n">
        <f aca="false">(O12+O13)/2</f>
        <v>51.5</v>
      </c>
      <c r="P14" s="38" t="n">
        <f aca="false">(P12+P13)/2</f>
        <v>52.5</v>
      </c>
      <c r="Q14" s="38" t="n">
        <f aca="false">(Q12+Q13)/2</f>
        <v>53.5</v>
      </c>
      <c r="R14" s="38" t="n">
        <f aca="false">(R12+R13)/2</f>
        <v>54.5</v>
      </c>
      <c r="S14" s="38" t="n">
        <f aca="false">(S12+S13)/2</f>
        <v>55.5</v>
      </c>
      <c r="T14" s="38" t="n">
        <f aca="false">(T12+T13)/2</f>
        <v>56.5</v>
      </c>
      <c r="U14" s="38" t="n">
        <f aca="false">(U12+U13)/2</f>
        <v>57.5</v>
      </c>
      <c r="V14" s="38" t="n">
        <f aca="false">(V12+V13)/2</f>
        <v>58.5</v>
      </c>
      <c r="W14" s="38" t="n">
        <f aca="false">(W12+W13)/2</f>
        <v>59.5</v>
      </c>
      <c r="X14" s="38" t="n">
        <f aca="false">(X12+X13)/2</f>
        <v>60.5</v>
      </c>
      <c r="Y14" s="38" t="n">
        <f aca="false">(Y12+Y13)/2</f>
        <v>61.5</v>
      </c>
      <c r="Z14" s="38" t="n">
        <f aca="false">(Z12+Z13)/2</f>
        <v>62.5</v>
      </c>
      <c r="AA14" s="38" t="n">
        <f aca="false">(AA12+AA13)/2</f>
        <v>63.5</v>
      </c>
      <c r="AB14" s="38" t="n">
        <f aca="false">(AB12+AB13)/2</f>
        <v>64.5</v>
      </c>
      <c r="AC14" s="38" t="n">
        <f aca="false">(AC12+AC13)/2</f>
        <v>65.5</v>
      </c>
      <c r="AD14" s="38" t="n">
        <f aca="false">(AD12+AD13)/2</f>
        <v>66.5</v>
      </c>
      <c r="AE14" s="38" t="n">
        <f aca="false">(AE12+AE13)/2</f>
        <v>67.5</v>
      </c>
      <c r="AF14" s="38" t="n">
        <f aca="false">(AF12+AF13)/2</f>
        <v>68.5</v>
      </c>
    </row>
    <row r="15" customFormat="false" ht="15" hidden="false" customHeight="true" outlineLevel="0" collapsed="false">
      <c r="B15" s="6" t="s">
        <v>156</v>
      </c>
      <c r="C15" s="32" t="n">
        <v>6</v>
      </c>
      <c r="D15" s="32" t="n">
        <f aca="false">C15+1</f>
        <v>7</v>
      </c>
      <c r="E15" s="32" t="n">
        <f aca="false">D15+1</f>
        <v>8</v>
      </c>
      <c r="F15" s="32" t="n">
        <f aca="false">E15+1</f>
        <v>9</v>
      </c>
      <c r="G15" s="32" t="n">
        <f aca="false">F15+1</f>
        <v>10</v>
      </c>
      <c r="H15" s="32" t="n">
        <f aca="false">G15+1</f>
        <v>11</v>
      </c>
      <c r="I15" s="32" t="n">
        <f aca="false">H15+1</f>
        <v>12</v>
      </c>
      <c r="J15" s="32" t="n">
        <f aca="false">I15+1</f>
        <v>13</v>
      </c>
      <c r="K15" s="32" t="n">
        <f aca="false">J15+1</f>
        <v>14</v>
      </c>
      <c r="L15" s="32" t="n">
        <f aca="false">K15+1</f>
        <v>15</v>
      </c>
      <c r="M15" s="32" t="n">
        <f aca="false">L15+1</f>
        <v>16</v>
      </c>
      <c r="N15" s="32" t="n">
        <f aca="false">M15+1</f>
        <v>17</v>
      </c>
      <c r="O15" s="32" t="n">
        <f aca="false">N15+1</f>
        <v>18</v>
      </c>
      <c r="P15" s="32" t="n">
        <f aca="false">O15+1</f>
        <v>19</v>
      </c>
      <c r="Q15" s="32" t="n">
        <f aca="false">P15+1</f>
        <v>20</v>
      </c>
      <c r="R15" s="32" t="n">
        <f aca="false">Q15+1</f>
        <v>21</v>
      </c>
      <c r="S15" s="32" t="n">
        <f aca="false">R15+1</f>
        <v>22</v>
      </c>
      <c r="T15" s="32" t="n">
        <f aca="false">S15+1</f>
        <v>23</v>
      </c>
      <c r="U15" s="32" t="n">
        <f aca="false">T15+1</f>
        <v>24</v>
      </c>
      <c r="V15" s="32" t="n">
        <f aca="false">U15+1</f>
        <v>25</v>
      </c>
      <c r="W15" s="32" t="n">
        <f aca="false">V15+1</f>
        <v>26</v>
      </c>
      <c r="X15" s="32" t="n">
        <f aca="false">W15+1</f>
        <v>27</v>
      </c>
      <c r="Y15" s="32" t="n">
        <f aca="false">X15+1</f>
        <v>28</v>
      </c>
      <c r="Z15" s="32" t="n">
        <f aca="false">Y15+1</f>
        <v>29</v>
      </c>
      <c r="AA15" s="32" t="n">
        <f aca="false">Z15+1</f>
        <v>30</v>
      </c>
      <c r="AB15" s="32" t="n">
        <f aca="false">AA15+1</f>
        <v>31</v>
      </c>
      <c r="AC15" s="32" t="n">
        <f aca="false">AB15+1</f>
        <v>32</v>
      </c>
      <c r="AD15" s="32" t="n">
        <f aca="false">AC15+1</f>
        <v>33</v>
      </c>
      <c r="AE15" s="32" t="n">
        <f aca="false">AD15+1</f>
        <v>34</v>
      </c>
      <c r="AF15" s="32" t="n">
        <f aca="false">AE15+1</f>
        <v>35</v>
      </c>
    </row>
    <row r="16" customFormat="false" ht="15" hidden="false" customHeight="true" outlineLevel="0" collapsed="false">
      <c r="B16" s="6" t="s">
        <v>157</v>
      </c>
      <c r="C16" s="32" t="n">
        <v>3</v>
      </c>
      <c r="D16" s="32" t="n">
        <f aca="false">C16+1</f>
        <v>4</v>
      </c>
      <c r="E16" s="32" t="n">
        <f aca="false">D16+1</f>
        <v>5</v>
      </c>
      <c r="F16" s="32" t="n">
        <f aca="false">E16+1</f>
        <v>6</v>
      </c>
      <c r="G16" s="32" t="n">
        <f aca="false">F16+1</f>
        <v>7</v>
      </c>
      <c r="H16" s="32" t="n">
        <f aca="false">G16+1</f>
        <v>8</v>
      </c>
      <c r="I16" s="32" t="n">
        <f aca="false">H16+1</f>
        <v>9</v>
      </c>
      <c r="J16" s="32" t="n">
        <f aca="false">I16+1</f>
        <v>10</v>
      </c>
      <c r="K16" s="32" t="n">
        <f aca="false">J16+1</f>
        <v>11</v>
      </c>
      <c r="L16" s="32" t="n">
        <f aca="false">K16+1</f>
        <v>12</v>
      </c>
      <c r="M16" s="32" t="n">
        <f aca="false">L16+1</f>
        <v>13</v>
      </c>
      <c r="N16" s="32" t="n">
        <f aca="false">M16+1</f>
        <v>14</v>
      </c>
      <c r="O16" s="32" t="n">
        <f aca="false">N16+1</f>
        <v>15</v>
      </c>
      <c r="P16" s="32" t="n">
        <f aca="false">O16+1</f>
        <v>16</v>
      </c>
      <c r="Q16" s="32" t="n">
        <f aca="false">P16+1</f>
        <v>17</v>
      </c>
      <c r="R16" s="32" t="n">
        <f aca="false">Q16+1</f>
        <v>18</v>
      </c>
      <c r="S16" s="32" t="n">
        <f aca="false">R16+1</f>
        <v>19</v>
      </c>
      <c r="T16" s="32" t="n">
        <f aca="false">S16+1</f>
        <v>20</v>
      </c>
      <c r="U16" s="32" t="n">
        <f aca="false">T16+1</f>
        <v>21</v>
      </c>
      <c r="V16" s="32" t="n">
        <f aca="false">U16+1</f>
        <v>22</v>
      </c>
      <c r="W16" s="32" t="n">
        <f aca="false">V16+1</f>
        <v>23</v>
      </c>
      <c r="X16" s="32" t="n">
        <f aca="false">W16+1</f>
        <v>24</v>
      </c>
      <c r="Y16" s="32" t="n">
        <f aca="false">X16+1</f>
        <v>25</v>
      </c>
      <c r="Z16" s="32" t="n">
        <f aca="false">Y16+1</f>
        <v>26</v>
      </c>
      <c r="AA16" s="32" t="n">
        <f aca="false">Z16+1</f>
        <v>27</v>
      </c>
      <c r="AB16" s="32" t="n">
        <f aca="false">AA16+1</f>
        <v>28</v>
      </c>
      <c r="AC16" s="32" t="n">
        <f aca="false">AB16+1</f>
        <v>29</v>
      </c>
      <c r="AD16" s="32" t="n">
        <f aca="false">AC16+1</f>
        <v>30</v>
      </c>
      <c r="AE16" s="32" t="n">
        <f aca="false">AD16+1</f>
        <v>31</v>
      </c>
      <c r="AF16" s="32" t="n">
        <f aca="false">AE16+1</f>
        <v>32</v>
      </c>
    </row>
    <row r="17" customFormat="false" ht="15" hidden="false" customHeight="true" outlineLevel="0" collapsed="false">
      <c r="B17" s="6" t="s">
        <v>158</v>
      </c>
      <c r="C17" s="32" t="str">
        <f aca="false">IF(C6&lt;2027,"",C6-2027)</f>
        <v/>
      </c>
      <c r="D17" s="32" t="n">
        <f aca="false">IF(D6&lt;2027,"",D6-2027)</f>
        <v>0</v>
      </c>
      <c r="E17" s="32" t="n">
        <f aca="false">IF(E6&lt;2027,"",E6-2027)</f>
        <v>1</v>
      </c>
      <c r="F17" s="32" t="n">
        <f aca="false">IF(F6&lt;2027,"",F6-2027)</f>
        <v>2</v>
      </c>
      <c r="G17" s="32" t="n">
        <f aca="false">IF(G6&lt;2027,"",G6-2027)</f>
        <v>3</v>
      </c>
      <c r="H17" s="32" t="n">
        <f aca="false">IF(H6&lt;2027,"",H6-2027)</f>
        <v>4</v>
      </c>
      <c r="I17" s="32" t="n">
        <f aca="false">IF(I6&lt;2027,"",I6-2027)</f>
        <v>5</v>
      </c>
      <c r="J17" s="32" t="n">
        <f aca="false">IF(J6&lt;2027,"",J6-2027)</f>
        <v>6</v>
      </c>
      <c r="K17" s="32" t="n">
        <f aca="false">IF(K6&lt;2027,"",K6-2027)</f>
        <v>7</v>
      </c>
      <c r="L17" s="32" t="n">
        <f aca="false">IF(L6&lt;2027,"",L6-2027)</f>
        <v>8</v>
      </c>
      <c r="M17" s="32" t="n">
        <f aca="false">IF(M6&lt;2027,"",M6-2027)</f>
        <v>9</v>
      </c>
      <c r="N17" s="32" t="n">
        <f aca="false">IF(N6&lt;2027,"",N6-2027)</f>
        <v>10</v>
      </c>
      <c r="O17" s="32" t="n">
        <f aca="false">IF(O6&lt;2027,"",O6-2027)</f>
        <v>11</v>
      </c>
      <c r="P17" s="32" t="n">
        <f aca="false">IF(P6&lt;2027,"",P6-2027)</f>
        <v>12</v>
      </c>
      <c r="Q17" s="32" t="n">
        <f aca="false">IF(Q6&lt;2027,"",Q6-2027)</f>
        <v>13</v>
      </c>
      <c r="R17" s="32" t="n">
        <f aca="false">IF(R6&lt;2027,"",R6-2027)</f>
        <v>14</v>
      </c>
      <c r="S17" s="32" t="n">
        <f aca="false">IF(S6&lt;2027,"",S6-2027)</f>
        <v>15</v>
      </c>
      <c r="T17" s="32" t="n">
        <f aca="false">IF(T6&lt;2027,"",T6-2027)</f>
        <v>16</v>
      </c>
      <c r="U17" s="32" t="n">
        <f aca="false">IF(U6&lt;2027,"",U6-2027)</f>
        <v>17</v>
      </c>
      <c r="V17" s="32" t="n">
        <f aca="false">IF(V6&lt;2027,"",V6-2027)</f>
        <v>18</v>
      </c>
      <c r="W17" s="32" t="n">
        <f aca="false">IF(W6&lt;2027,"",W6-2027)</f>
        <v>19</v>
      </c>
      <c r="X17" s="32" t="n">
        <f aca="false">IF(X6&lt;2027,"",X6-2027)</f>
        <v>20</v>
      </c>
      <c r="Y17" s="32" t="n">
        <f aca="false">IF(Y6&lt;2027,"",Y6-2027)</f>
        <v>21</v>
      </c>
      <c r="Z17" s="32" t="n">
        <f aca="false">IF(Z6&lt;2027,"",Z6-2027)</f>
        <v>22</v>
      </c>
      <c r="AA17" s="32" t="n">
        <f aca="false">IF(AA6&lt;2027,"",AA6-2027)</f>
        <v>23</v>
      </c>
      <c r="AB17" s="32" t="n">
        <f aca="false">IF(AB6&lt;2027,"",AB6-2027)</f>
        <v>24</v>
      </c>
      <c r="AC17" s="32" t="n">
        <f aca="false">IF(AC6&lt;2027,"",AC6-2027)</f>
        <v>25</v>
      </c>
      <c r="AD17" s="32" t="n">
        <f aca="false">IF(AD6&lt;2027,"",AD6-2027)</f>
        <v>26</v>
      </c>
      <c r="AE17" s="32" t="n">
        <f aca="false">IF(AE6&lt;2027,"",AE6-2027)</f>
        <v>27</v>
      </c>
      <c r="AF17" s="32" t="n">
        <f aca="false">IF(AF6&lt;2027,"",AF6-2027)</f>
        <v>28</v>
      </c>
    </row>
    <row r="19" customFormat="false" ht="15" hidden="false" customHeight="true" outlineLevel="0" collapsed="false">
      <c r="A19" s="30" t="s">
        <v>159</v>
      </c>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row>
    <row r="20" customFormat="false" ht="15" hidden="false" customHeight="true" outlineLevel="0" collapsed="false">
      <c r="C20" s="15" t="s">
        <v>160</v>
      </c>
      <c r="D20" s="15" t="s">
        <v>161</v>
      </c>
      <c r="E20" s="15" t="s">
        <v>162</v>
      </c>
    </row>
    <row r="21" customFormat="false" ht="15" hidden="false" customHeight="true" outlineLevel="0" collapsed="false">
      <c r="B21" s="6" t="s">
        <v>163</v>
      </c>
      <c r="C21" s="39" t="n">
        <v>170000</v>
      </c>
      <c r="D21" s="39" t="n">
        <v>190000</v>
      </c>
      <c r="E21" s="34" t="s">
        <v>164</v>
      </c>
    </row>
    <row r="22" customFormat="false" ht="15" hidden="false" customHeight="true" outlineLevel="0" collapsed="false">
      <c r="B22" s="6" t="s">
        <v>165</v>
      </c>
      <c r="C22" s="39" t="n">
        <v>100000</v>
      </c>
      <c r="D22" s="39" t="n">
        <v>130000</v>
      </c>
      <c r="E22" s="34" t="s">
        <v>166</v>
      </c>
    </row>
    <row r="23" customFormat="false" ht="15" hidden="false" customHeight="true" outlineLevel="0" collapsed="false">
      <c r="B23" s="6" t="s">
        <v>167</v>
      </c>
      <c r="C23" s="39" t="n">
        <v>110000</v>
      </c>
      <c r="D23" s="39" t="n">
        <v>0</v>
      </c>
      <c r="E23" s="34" t="s">
        <v>168</v>
      </c>
    </row>
    <row r="24" customFormat="false" ht="15" hidden="false" customHeight="true" outlineLevel="0" collapsed="false">
      <c r="B24" s="6" t="s">
        <v>169</v>
      </c>
      <c r="C24" s="40" t="n">
        <v>35</v>
      </c>
      <c r="D24" s="40" t="n">
        <v>44</v>
      </c>
      <c r="E24" s="34" t="s">
        <v>164</v>
      </c>
    </row>
    <row r="25" customFormat="false" ht="15" hidden="false" customHeight="true" outlineLevel="0" collapsed="false">
      <c r="B25" s="6" t="s">
        <v>170</v>
      </c>
      <c r="C25" s="39" t="n">
        <v>80000</v>
      </c>
      <c r="D25" s="39" t="n">
        <v>180000</v>
      </c>
      <c r="E25" s="34" t="s">
        <v>171</v>
      </c>
    </row>
    <row r="26" customFormat="false" ht="15" hidden="false" customHeight="true" outlineLevel="0" collapsed="false">
      <c r="B26" s="6" t="s">
        <v>172</v>
      </c>
      <c r="C26" s="39" t="n">
        <v>480000</v>
      </c>
      <c r="D26" s="39" t="n">
        <v>760000</v>
      </c>
      <c r="E26" s="34" t="s">
        <v>164</v>
      </c>
    </row>
    <row r="27" customFormat="false" ht="15" hidden="false" customHeight="true" outlineLevel="0" collapsed="false">
      <c r="B27" s="6" t="s">
        <v>173</v>
      </c>
      <c r="C27" s="39" t="n">
        <v>1000</v>
      </c>
      <c r="D27" s="39" t="n">
        <v>800</v>
      </c>
      <c r="E27" s="34" t="s">
        <v>164</v>
      </c>
    </row>
    <row r="28" customFormat="false" ht="15" hidden="false" customHeight="true" outlineLevel="0" collapsed="false">
      <c r="B28" s="6" t="s">
        <v>174</v>
      </c>
      <c r="C28" s="36" t="n">
        <v>0.07</v>
      </c>
      <c r="D28" s="36" t="n">
        <v>0.12</v>
      </c>
      <c r="E28" s="34" t="s">
        <v>164</v>
      </c>
    </row>
    <row r="29" customFormat="false" ht="15" hidden="false" customHeight="true" outlineLevel="0" collapsed="false">
      <c r="B29" s="6" t="s">
        <v>175</v>
      </c>
      <c r="C29" s="36" t="n">
        <v>0.14</v>
      </c>
      <c r="D29" s="36" t="n">
        <v>0.12</v>
      </c>
      <c r="E29" s="34" t="s">
        <v>176</v>
      </c>
    </row>
    <row r="31" customFormat="false" ht="15" hidden="false" customHeight="true" outlineLevel="0" collapsed="false">
      <c r="A31" s="30" t="s">
        <v>177</v>
      </c>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row>
    <row r="32" customFormat="false" ht="15" hidden="false" customHeight="true" outlineLevel="0" collapsed="false">
      <c r="B32" s="6" t="s">
        <v>178</v>
      </c>
      <c r="C32" s="33" t="n">
        <v>0.08</v>
      </c>
      <c r="E32" s="34" t="s">
        <v>179</v>
      </c>
    </row>
    <row r="33" customFormat="false" ht="15" hidden="false" customHeight="true" outlineLevel="0" collapsed="false">
      <c r="B33" s="6" t="s">
        <v>180</v>
      </c>
      <c r="C33" s="33" t="n">
        <v>0.08</v>
      </c>
      <c r="E33" s="34" t="s">
        <v>181</v>
      </c>
    </row>
    <row r="34" customFormat="false" ht="15" hidden="false" customHeight="true" outlineLevel="0" collapsed="false">
      <c r="B34" s="6" t="s">
        <v>182</v>
      </c>
      <c r="C34" s="40" t="n">
        <v>50</v>
      </c>
      <c r="E34" s="34" t="s">
        <v>183</v>
      </c>
    </row>
    <row r="35" customFormat="false" ht="15" hidden="false" customHeight="true" outlineLevel="0" collapsed="false">
      <c r="B35" s="6" t="s">
        <v>184</v>
      </c>
      <c r="C35" s="33" t="n">
        <v>0.02</v>
      </c>
      <c r="E35" s="34" t="s">
        <v>183</v>
      </c>
    </row>
    <row r="36" customFormat="false" ht="15" hidden="false" customHeight="true" outlineLevel="0" collapsed="false">
      <c r="B36" s="6" t="s">
        <v>185</v>
      </c>
      <c r="C36" s="40" t="n">
        <v>70</v>
      </c>
      <c r="E36" s="34" t="s">
        <v>183</v>
      </c>
    </row>
    <row r="37" customFormat="false" ht="15" hidden="false" customHeight="true" outlineLevel="0" collapsed="false">
      <c r="B37" s="6" t="s">
        <v>186</v>
      </c>
      <c r="C37" s="36" t="n">
        <v>0.015</v>
      </c>
      <c r="E37" s="34" t="s">
        <v>187</v>
      </c>
    </row>
    <row r="38" customFormat="false" ht="15" hidden="false" customHeight="true" outlineLevel="0" collapsed="false">
      <c r="B38" s="6" t="s">
        <v>188</v>
      </c>
      <c r="C38" s="36" t="n">
        <v>0.005</v>
      </c>
      <c r="E38" s="34" t="s">
        <v>189</v>
      </c>
    </row>
    <row r="39" customFormat="false" ht="15" hidden="false" customHeight="true" outlineLevel="0" collapsed="false">
      <c r="B39" s="6" t="s">
        <v>190</v>
      </c>
      <c r="C39" s="41" t="n">
        <v>1</v>
      </c>
      <c r="E39" s="34" t="s">
        <v>191</v>
      </c>
    </row>
    <row r="41" customFormat="false" ht="15" hidden="false" customHeight="true" outlineLevel="0" collapsed="false">
      <c r="A41" s="30" t="s">
        <v>192</v>
      </c>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customFormat="false" ht="15" hidden="false" customHeight="true" outlineLevel="0" collapsed="false">
      <c r="B42" s="6" t="s">
        <v>193</v>
      </c>
      <c r="C42" s="39" t="n">
        <v>60000</v>
      </c>
      <c r="E42" s="34" t="s">
        <v>194</v>
      </c>
    </row>
    <row r="43" customFormat="false" ht="15" hidden="false" customHeight="true" outlineLevel="0" collapsed="false">
      <c r="B43" s="6" t="s">
        <v>195</v>
      </c>
      <c r="C43" s="39" t="n">
        <v>20000</v>
      </c>
      <c r="E43" s="34" t="s">
        <v>196</v>
      </c>
    </row>
    <row r="44" customFormat="false" ht="15" hidden="false" customHeight="true" outlineLevel="0" collapsed="false">
      <c r="B44" s="6" t="s">
        <v>197</v>
      </c>
      <c r="C44" s="39" t="n">
        <v>9000</v>
      </c>
      <c r="E44" s="34" t="s">
        <v>198</v>
      </c>
    </row>
    <row r="45" customFormat="false" ht="15" hidden="false" customHeight="true" outlineLevel="0" collapsed="false">
      <c r="B45" s="6" t="s">
        <v>199</v>
      </c>
      <c r="C45" s="39" t="n">
        <v>260000</v>
      </c>
      <c r="E45" s="34" t="s">
        <v>200</v>
      </c>
    </row>
    <row r="46" customFormat="false" ht="15" hidden="false" customHeight="true" outlineLevel="0" collapsed="false">
      <c r="B46" s="6" t="s">
        <v>201</v>
      </c>
      <c r="C46" s="39" t="n">
        <v>10000</v>
      </c>
      <c r="E46" s="34" t="s">
        <v>202</v>
      </c>
    </row>
    <row r="48" customFormat="false" ht="15" hidden="false" customHeight="true" outlineLevel="0" collapsed="false">
      <c r="A48" s="30" t="s">
        <v>203</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customFormat="false" ht="15" hidden="false" customHeight="true" outlineLevel="0" collapsed="false">
      <c r="B49" s="6" t="s">
        <v>204</v>
      </c>
      <c r="C49" s="39" t="n">
        <v>12570</v>
      </c>
      <c r="E49" s="34" t="s">
        <v>205</v>
      </c>
    </row>
    <row r="50" customFormat="false" ht="15" hidden="false" customHeight="true" outlineLevel="0" collapsed="false">
      <c r="B50" s="6" t="s">
        <v>206</v>
      </c>
      <c r="C50" s="39" t="n">
        <v>100000</v>
      </c>
    </row>
    <row r="51" customFormat="false" ht="15" hidden="false" customHeight="true" outlineLevel="0" collapsed="false">
      <c r="B51" s="6" t="s">
        <v>207</v>
      </c>
      <c r="C51" s="39" t="n">
        <v>37700</v>
      </c>
    </row>
    <row r="52" customFormat="false" ht="15" hidden="false" customHeight="true" outlineLevel="0" collapsed="false">
      <c r="B52" s="6" t="s">
        <v>208</v>
      </c>
      <c r="C52" s="39" t="n">
        <v>125140</v>
      </c>
    </row>
    <row r="53" customFormat="false" ht="15" hidden="false" customHeight="true" outlineLevel="0" collapsed="false">
      <c r="B53" s="6" t="s">
        <v>209</v>
      </c>
      <c r="C53" s="36" t="n">
        <v>0.2</v>
      </c>
      <c r="E53" s="34" t="s">
        <v>210</v>
      </c>
    </row>
    <row r="54" customFormat="false" ht="15" hidden="false" customHeight="true" outlineLevel="0" collapsed="false">
      <c r="B54" s="6" t="s">
        <v>211</v>
      </c>
      <c r="C54" s="36" t="n">
        <v>0.4</v>
      </c>
    </row>
    <row r="55" customFormat="false" ht="15" hidden="false" customHeight="true" outlineLevel="0" collapsed="false">
      <c r="B55" s="6" t="s">
        <v>212</v>
      </c>
      <c r="C55" s="36" t="n">
        <v>0.45</v>
      </c>
    </row>
    <row r="56" customFormat="false" ht="15" hidden="false" customHeight="true" outlineLevel="0" collapsed="false">
      <c r="B56" s="6" t="s">
        <v>213</v>
      </c>
      <c r="C56" s="39" t="n">
        <v>12570</v>
      </c>
    </row>
    <row r="57" customFormat="false" ht="15" hidden="false" customHeight="true" outlineLevel="0" collapsed="false">
      <c r="B57" s="6" t="s">
        <v>214</v>
      </c>
      <c r="C57" s="39" t="n">
        <v>50270</v>
      </c>
    </row>
    <row r="58" customFormat="false" ht="15" hidden="false" customHeight="true" outlineLevel="0" collapsed="false">
      <c r="B58" s="6" t="s">
        <v>215</v>
      </c>
      <c r="C58" s="36" t="n">
        <v>0.08</v>
      </c>
    </row>
    <row r="59" customFormat="false" ht="15" hidden="false" customHeight="true" outlineLevel="0" collapsed="false">
      <c r="B59" s="6" t="s">
        <v>216</v>
      </c>
      <c r="C59" s="36" t="n">
        <v>0.02</v>
      </c>
    </row>
    <row r="61" customFormat="false" ht="15" hidden="false" customHeight="true" outlineLevel="0" collapsed="false">
      <c r="A61" s="30" t="s">
        <v>217</v>
      </c>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customFormat="false" ht="15" hidden="false" customHeight="true" outlineLevel="0" collapsed="false">
      <c r="B62" s="6" t="s">
        <v>218</v>
      </c>
      <c r="C62" s="39" t="n">
        <v>1950</v>
      </c>
      <c r="E62" s="34" t="s">
        <v>164</v>
      </c>
    </row>
    <row r="63" customFormat="false" ht="15" hidden="false" customHeight="true" outlineLevel="0" collapsed="false">
      <c r="B63" s="6" t="s">
        <v>219</v>
      </c>
      <c r="C63" s="40" t="n">
        <v>19</v>
      </c>
      <c r="E63" s="34" t="s">
        <v>164</v>
      </c>
    </row>
    <row r="64" customFormat="false" ht="15" hidden="false" customHeight="true" outlineLevel="0" collapsed="false">
      <c r="B64" s="6" t="s">
        <v>220</v>
      </c>
      <c r="C64" s="18" t="n">
        <f aca="false">$C$6+$C$63-1</f>
        <v>2044</v>
      </c>
      <c r="E64" s="34" t="s">
        <v>221</v>
      </c>
    </row>
    <row r="65" customFormat="false" ht="15" hidden="false" customHeight="true" outlineLevel="0" collapsed="false">
      <c r="B65" s="6" t="s">
        <v>222</v>
      </c>
      <c r="C65" s="39" t="n">
        <v>2000</v>
      </c>
      <c r="E65" s="34" t="s">
        <v>164</v>
      </c>
    </row>
    <row r="66" customFormat="false" ht="15" hidden="false" customHeight="true" outlineLevel="0" collapsed="false">
      <c r="B66" s="6" t="s">
        <v>223</v>
      </c>
      <c r="C66" s="39" t="n">
        <v>1500</v>
      </c>
      <c r="E66" s="34" t="s">
        <v>164</v>
      </c>
    </row>
    <row r="67" customFormat="false" ht="15" hidden="false" customHeight="true" outlineLevel="0" collapsed="false">
      <c r="B67" s="6" t="s">
        <v>224</v>
      </c>
      <c r="C67" s="42" t="n">
        <v>2033</v>
      </c>
      <c r="E67" s="34" t="s">
        <v>225</v>
      </c>
    </row>
    <row r="68" customFormat="false" ht="15" hidden="false" customHeight="true" outlineLevel="0" collapsed="false">
      <c r="B68" s="6" t="s">
        <v>226</v>
      </c>
      <c r="C68" s="39" t="n">
        <v>2700</v>
      </c>
      <c r="E68" s="34" t="s">
        <v>164</v>
      </c>
    </row>
    <row r="69" customFormat="false" ht="15" hidden="false" customHeight="true" outlineLevel="0" collapsed="false">
      <c r="B69" s="6" t="s">
        <v>227</v>
      </c>
      <c r="C69" s="39" t="n">
        <v>3000</v>
      </c>
      <c r="E69" s="34" t="s">
        <v>228</v>
      </c>
    </row>
    <row r="70" customFormat="false" ht="15" hidden="false" customHeight="true" outlineLevel="0" collapsed="false">
      <c r="B70" s="6" t="s">
        <v>229</v>
      </c>
      <c r="C70" s="39" t="n">
        <v>1000</v>
      </c>
      <c r="E70" s="34" t="s">
        <v>228</v>
      </c>
    </row>
    <row r="71" customFormat="false" ht="15" hidden="false" customHeight="true" outlineLevel="0" collapsed="false">
      <c r="B71" s="6" t="s">
        <v>230</v>
      </c>
      <c r="C71" s="39" t="n">
        <v>2000</v>
      </c>
      <c r="E71" s="34" t="s">
        <v>228</v>
      </c>
    </row>
    <row r="72" customFormat="false" ht="15" hidden="false" customHeight="true" outlineLevel="0" collapsed="false">
      <c r="B72" s="6" t="s">
        <v>231</v>
      </c>
      <c r="C72" s="39" t="n">
        <v>500</v>
      </c>
      <c r="E72" s="34" t="s">
        <v>232</v>
      </c>
    </row>
    <row r="74" customFormat="false" ht="15" hidden="false" customHeight="true" outlineLevel="0" collapsed="false">
      <c r="A74" s="30" t="s">
        <v>233</v>
      </c>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row>
    <row r="75" customFormat="false" ht="15" hidden="false" customHeight="true" outlineLevel="0" collapsed="false">
      <c r="B75" s="6" t="s">
        <v>234</v>
      </c>
      <c r="C75" s="39" t="n">
        <v>9790</v>
      </c>
      <c r="E75" s="34" t="s">
        <v>235</v>
      </c>
    </row>
    <row r="76" customFormat="false" ht="15" hidden="false" customHeight="true" outlineLevel="0" collapsed="false">
      <c r="B76" s="6" t="s">
        <v>236</v>
      </c>
      <c r="C76" s="39" t="n">
        <v>15660</v>
      </c>
      <c r="E76" s="34" t="s">
        <v>237</v>
      </c>
    </row>
    <row r="77" customFormat="false" ht="15" hidden="false" customHeight="true" outlineLevel="0" collapsed="false">
      <c r="B77" s="6" t="s">
        <v>238</v>
      </c>
      <c r="C77" s="40" t="n">
        <v>3</v>
      </c>
      <c r="E77" s="34" t="s">
        <v>239</v>
      </c>
    </row>
    <row r="78" customFormat="false" ht="15" hidden="false" customHeight="true" outlineLevel="0" collapsed="false">
      <c r="B78" s="6" t="s">
        <v>240</v>
      </c>
      <c r="C78" s="43" t="n">
        <v>30000</v>
      </c>
      <c r="E78" s="34" t="s">
        <v>241</v>
      </c>
    </row>
    <row r="80" customFormat="false" ht="15" hidden="false" customHeight="true" outlineLevel="0" collapsed="false">
      <c r="A80" s="30" t="s">
        <v>242</v>
      </c>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row>
    <row r="81" customFormat="false" ht="15" hidden="false" customHeight="true" outlineLevel="0" collapsed="false">
      <c r="C81" s="15" t="s">
        <v>243</v>
      </c>
      <c r="D81" s="15" t="s">
        <v>244</v>
      </c>
      <c r="E81" s="15" t="s">
        <v>87</v>
      </c>
      <c r="F81" s="15" t="s">
        <v>245</v>
      </c>
    </row>
    <row r="82" customFormat="false" ht="15" hidden="false" customHeight="true" outlineLevel="0" collapsed="false">
      <c r="B82" s="6" t="s">
        <v>246</v>
      </c>
      <c r="C82" s="44" t="s">
        <v>247</v>
      </c>
      <c r="D82" s="44" t="s">
        <v>248</v>
      </c>
      <c r="E82" s="44" t="s">
        <v>249</v>
      </c>
      <c r="F82" s="34" t="s">
        <v>250</v>
      </c>
    </row>
    <row r="83" customFormat="false" ht="15" hidden="false" customHeight="true" outlineLevel="0" collapsed="false">
      <c r="B83" s="6" t="s">
        <v>251</v>
      </c>
      <c r="C83" s="42" t="n">
        <v>2025</v>
      </c>
      <c r="D83" s="42" t="n">
        <v>2028</v>
      </c>
      <c r="E83" s="42" t="n">
        <v>2031</v>
      </c>
      <c r="F83" s="34" t="s">
        <v>252</v>
      </c>
    </row>
    <row r="84" customFormat="false" ht="15" hidden="false" customHeight="true" outlineLevel="0" collapsed="false">
      <c r="B84" s="6" t="s">
        <v>253</v>
      </c>
      <c r="C84" s="42" t="n">
        <v>0</v>
      </c>
      <c r="D84" s="42" t="n">
        <v>2026</v>
      </c>
      <c r="E84" s="42" t="n">
        <v>2028</v>
      </c>
      <c r="F84" s="34" t="s">
        <v>254</v>
      </c>
    </row>
    <row r="85" customFormat="false" ht="15" hidden="false" customHeight="true" outlineLevel="0" collapsed="false">
      <c r="B85" s="6" t="s">
        <v>255</v>
      </c>
      <c r="C85" s="45" t="n">
        <v>0</v>
      </c>
      <c r="D85" s="45" t="n">
        <v>12</v>
      </c>
      <c r="E85" s="45" t="n">
        <v>4</v>
      </c>
      <c r="F85" s="34" t="s">
        <v>256</v>
      </c>
    </row>
    <row r="86" customFormat="false" ht="15" hidden="false" customHeight="true" outlineLevel="0" collapsed="false">
      <c r="B86" s="6" t="s">
        <v>257</v>
      </c>
      <c r="C86" s="42" t="n">
        <v>0</v>
      </c>
      <c r="D86" s="42" t="n">
        <v>2028</v>
      </c>
      <c r="E86" s="42" t="n">
        <v>2031</v>
      </c>
      <c r="F86" s="34" t="s">
        <v>258</v>
      </c>
    </row>
    <row r="87" customFormat="false" ht="15" hidden="false" customHeight="true" outlineLevel="0" collapsed="false">
      <c r="B87" s="6" t="s">
        <v>259</v>
      </c>
      <c r="C87" s="45" t="n">
        <v>0</v>
      </c>
      <c r="D87" s="45" t="n">
        <v>8</v>
      </c>
      <c r="E87" s="45" t="n">
        <v>8</v>
      </c>
      <c r="F87" s="34" t="s">
        <v>260</v>
      </c>
    </row>
    <row r="88" customFormat="false" ht="15" hidden="false" customHeight="true" outlineLevel="0" collapsed="false">
      <c r="B88" s="6" t="s">
        <v>261</v>
      </c>
      <c r="C88" s="42" t="n">
        <v>2038</v>
      </c>
      <c r="D88" s="42" t="n">
        <v>2042</v>
      </c>
      <c r="E88" s="42" t="n">
        <v>2045</v>
      </c>
      <c r="F88" s="34" t="s">
        <v>262</v>
      </c>
    </row>
    <row r="89" customFormat="false" ht="15" hidden="false" customHeight="true" outlineLevel="0" collapsed="false">
      <c r="B89" s="6" t="s">
        <v>263</v>
      </c>
      <c r="C89" s="42" t="n">
        <v>2039</v>
      </c>
      <c r="D89" s="42" t="n">
        <v>2042</v>
      </c>
      <c r="E89" s="42" t="n">
        <v>2045</v>
      </c>
      <c r="F89" s="34" t="s">
        <v>264</v>
      </c>
    </row>
    <row r="90" customFormat="false" ht="15" hidden="false" customHeight="true" outlineLevel="0" collapsed="false">
      <c r="B90" s="6" t="s">
        <v>265</v>
      </c>
      <c r="C90" s="42" t="n">
        <v>2042</v>
      </c>
      <c r="D90" s="42" t="n">
        <v>2045</v>
      </c>
      <c r="E90" s="42" t="n">
        <v>2048</v>
      </c>
      <c r="F90" s="34" t="s">
        <v>266</v>
      </c>
    </row>
    <row r="91" customFormat="false" ht="15" hidden="false" customHeight="true" outlineLevel="0" collapsed="false">
      <c r="B91" s="6" t="s">
        <v>267</v>
      </c>
      <c r="C91" s="39" t="n">
        <v>15000</v>
      </c>
      <c r="D91" s="39" t="n">
        <v>0</v>
      </c>
      <c r="E91" s="39" t="n">
        <v>0</v>
      </c>
      <c r="F91" s="34" t="s">
        <v>164</v>
      </c>
    </row>
    <row r="92" customFormat="false" ht="15" hidden="false" customHeight="true" outlineLevel="0" collapsed="false">
      <c r="B92" s="6" t="s">
        <v>268</v>
      </c>
      <c r="C92" s="39" t="n">
        <v>9000</v>
      </c>
      <c r="D92" s="39" t="n">
        <v>9000</v>
      </c>
      <c r="E92" s="39" t="n">
        <v>9000</v>
      </c>
      <c r="F92" s="34" t="s">
        <v>269</v>
      </c>
    </row>
    <row r="93" customFormat="false" ht="15" hidden="false" customHeight="true" outlineLevel="0" collapsed="false">
      <c r="B93" s="6" t="s">
        <v>270</v>
      </c>
      <c r="C93" s="42" t="n">
        <v>2026</v>
      </c>
      <c r="D93" s="42" t="n">
        <v>2026</v>
      </c>
      <c r="E93" s="42" t="n">
        <v>2028</v>
      </c>
      <c r="F93" s="34" t="s">
        <v>271</v>
      </c>
    </row>
    <row r="94" customFormat="false" ht="15" hidden="false" customHeight="true" outlineLevel="0" collapsed="false">
      <c r="B94" s="6" t="s">
        <v>272</v>
      </c>
      <c r="C94" s="42" t="n">
        <v>2038</v>
      </c>
      <c r="D94" s="42" t="n">
        <v>2041</v>
      </c>
      <c r="E94" s="42" t="n">
        <v>2044</v>
      </c>
      <c r="F94" s="34" t="s">
        <v>273</v>
      </c>
    </row>
    <row r="96" customFormat="false" ht="15" hidden="false" customHeight="true" outlineLevel="0" collapsed="false">
      <c r="A96" s="30" t="s">
        <v>274</v>
      </c>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customFormat="false" ht="15" hidden="false" customHeight="true" outlineLevel="0" collapsed="false">
      <c r="B97" s="6" t="s">
        <v>275</v>
      </c>
      <c r="C97" s="40" t="n">
        <v>9</v>
      </c>
      <c r="E97" s="34" t="s">
        <v>164</v>
      </c>
    </row>
    <row r="98" customFormat="false" ht="15" hidden="false" customHeight="true" outlineLevel="0" collapsed="false">
      <c r="B98" s="6" t="s">
        <v>276</v>
      </c>
      <c r="C98" s="42" t="n">
        <v>2027</v>
      </c>
      <c r="E98" s="34" t="s">
        <v>277</v>
      </c>
    </row>
    <row r="99" customFormat="false" ht="15" hidden="false" customHeight="true" outlineLevel="0" collapsed="false">
      <c r="B99" s="6" t="s">
        <v>278</v>
      </c>
      <c r="C99" s="40" t="n">
        <v>7</v>
      </c>
      <c r="E99" s="34" t="s">
        <v>279</v>
      </c>
    </row>
    <row r="100" customFormat="false" ht="15" hidden="false" customHeight="true" outlineLevel="0" collapsed="false">
      <c r="B100" s="6" t="s">
        <v>280</v>
      </c>
      <c r="C100" s="40" t="n">
        <v>6</v>
      </c>
      <c r="E100" s="34" t="s">
        <v>281</v>
      </c>
    </row>
    <row r="101" customFormat="false" ht="15" hidden="false" customHeight="true" outlineLevel="0" collapsed="false">
      <c r="B101" s="6" t="s">
        <v>282</v>
      </c>
      <c r="C101" s="39" t="n">
        <v>110000</v>
      </c>
      <c r="E101" s="34" t="s">
        <v>283</v>
      </c>
    </row>
    <row r="102" customFormat="false" ht="15" hidden="false" customHeight="true" outlineLevel="0" collapsed="false">
      <c r="B102" s="6" t="s">
        <v>284</v>
      </c>
      <c r="C102" s="40" t="n">
        <v>3</v>
      </c>
      <c r="E102" s="34" t="s">
        <v>164</v>
      </c>
    </row>
    <row r="103" customFormat="false" ht="15" hidden="false" customHeight="true" outlineLevel="0" collapsed="false">
      <c r="B103" s="6" t="s">
        <v>285</v>
      </c>
      <c r="C103" s="39" t="n">
        <v>180000</v>
      </c>
      <c r="E103" s="34" t="s">
        <v>286</v>
      </c>
    </row>
    <row r="104" customFormat="false" ht="15" hidden="false" customHeight="true" outlineLevel="0" collapsed="false">
      <c r="B104" s="6" t="s">
        <v>287</v>
      </c>
      <c r="C104" s="42" t="n">
        <v>2028</v>
      </c>
      <c r="E104" s="34" t="s">
        <v>288</v>
      </c>
    </row>
    <row r="105" customFormat="false" ht="15" hidden="false" customHeight="true" outlineLevel="0" collapsed="false">
      <c r="B105" s="6" t="s">
        <v>289</v>
      </c>
      <c r="C105" s="40" t="n">
        <v>9</v>
      </c>
      <c r="E105" s="34" t="s">
        <v>290</v>
      </c>
    </row>
    <row r="107" customFormat="false" ht="15" hidden="false" customHeight="true" outlineLevel="0" collapsed="false">
      <c r="A107" s="30" t="s">
        <v>291</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customFormat="false" ht="15" hidden="false" customHeight="true" outlineLevel="0" collapsed="false">
      <c r="B108" s="6" t="s">
        <v>292</v>
      </c>
      <c r="C108" s="40" t="n">
        <v>57</v>
      </c>
      <c r="E108" s="34" t="s">
        <v>293</v>
      </c>
    </row>
    <row r="109" customFormat="false" ht="15" hidden="false" customHeight="true" outlineLevel="0" collapsed="false">
      <c r="B109" s="6" t="s">
        <v>294</v>
      </c>
      <c r="C109" s="18" t="n">
        <f aca="false">$C$6+($C$108-$C$24)</f>
        <v>2048</v>
      </c>
      <c r="E109" s="34" t="s">
        <v>295</v>
      </c>
    </row>
    <row r="110" customFormat="false" ht="15" hidden="false" customHeight="true" outlineLevel="0" collapsed="false">
      <c r="B110" s="6" t="s">
        <v>296</v>
      </c>
      <c r="C110" s="18" t="n">
        <f aca="false">$C$6+($C$108-$D$24)</f>
        <v>2039</v>
      </c>
      <c r="E110" s="34" t="s">
        <v>297</v>
      </c>
    </row>
    <row r="111" customFormat="false" ht="15" hidden="false" customHeight="true" outlineLevel="0" collapsed="false">
      <c r="B111" s="6" t="s">
        <v>298</v>
      </c>
      <c r="C111" s="46" t="n">
        <v>12</v>
      </c>
      <c r="E111" s="34" t="s">
        <v>299</v>
      </c>
    </row>
    <row r="112" customFormat="false" ht="15" hidden="false" customHeight="true" outlineLevel="0" collapsed="false">
      <c r="B112" s="6" t="s">
        <v>300</v>
      </c>
      <c r="C112" s="43" t="n">
        <v>100000</v>
      </c>
      <c r="E112" s="34" t="s">
        <v>301</v>
      </c>
    </row>
    <row r="113" customFormat="false" ht="15" hidden="false" customHeight="true" outlineLevel="0" collapsed="false">
      <c r="B113" s="6" t="s">
        <v>302</v>
      </c>
      <c r="C113" s="33" t="n">
        <v>0.04</v>
      </c>
      <c r="E113" s="34" t="s">
        <v>303</v>
      </c>
    </row>
    <row r="114" customFormat="false" ht="15" hidden="false" customHeight="true" outlineLevel="0" collapsed="false">
      <c r="B114" s="6" t="s">
        <v>304</v>
      </c>
      <c r="C114" s="33" t="n">
        <v>0.25</v>
      </c>
      <c r="E114" s="34" t="s">
        <v>305</v>
      </c>
    </row>
    <row r="115" customFormat="false" ht="15" hidden="false" customHeight="true" outlineLevel="0" collapsed="false">
      <c r="B115" s="6" t="s">
        <v>306</v>
      </c>
      <c r="C115" s="47" t="n">
        <v>1.2</v>
      </c>
      <c r="E115" s="34"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308</v>
      </c>
    </row>
    <row r="2" customFormat="false" ht="15" hidden="false" customHeight="true" outlineLevel="0" collapsed="false">
      <c r="A2" s="29" t="s">
        <v>309</v>
      </c>
    </row>
    <row r="4" customFormat="false" ht="15" hidden="false" customHeight="true" outlineLevel="0" collapsed="false">
      <c r="A4" s="30" t="s">
        <v>310</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311</v>
      </c>
      <c r="C6" s="48" t="n">
        <f aca="false">Assumptions!C$11</f>
        <v>1</v>
      </c>
      <c r="D6" s="48" t="n">
        <f aca="false">Assumptions!D$11</f>
        <v>1</v>
      </c>
      <c r="E6" s="48" t="n">
        <f aca="false">Assumptions!E$11</f>
        <v>1</v>
      </c>
      <c r="F6" s="48" t="n">
        <f aca="false">Assumptions!F$11</f>
        <v>1</v>
      </c>
      <c r="G6" s="48" t="n">
        <f aca="false">Assumptions!G$11</f>
        <v>1</v>
      </c>
      <c r="H6" s="48" t="n">
        <f aca="false">Assumptions!H$11</f>
        <v>1.02</v>
      </c>
      <c r="I6" s="48" t="n">
        <f aca="false">Assumptions!I$11</f>
        <v>1.0404</v>
      </c>
      <c r="J6" s="48" t="n">
        <f aca="false">Assumptions!J$11</f>
        <v>1.061208</v>
      </c>
      <c r="K6" s="48" t="n">
        <f aca="false">Assumptions!K$11</f>
        <v>1.08243216</v>
      </c>
      <c r="L6" s="48" t="n">
        <f aca="false">Assumptions!L$11</f>
        <v>1.1040808032</v>
      </c>
      <c r="M6" s="48" t="n">
        <f aca="false">Assumptions!M$11</f>
        <v>1.126162419264</v>
      </c>
      <c r="N6" s="48" t="n">
        <f aca="false">Assumptions!N$11</f>
        <v>1.14868566764928</v>
      </c>
      <c r="O6" s="48" t="n">
        <f aca="false">Assumptions!O$11</f>
        <v>1.17165938100227</v>
      </c>
      <c r="P6" s="48" t="n">
        <f aca="false">Assumptions!P$11</f>
        <v>1.19509256862231</v>
      </c>
      <c r="Q6" s="48" t="n">
        <f aca="false">Assumptions!Q$11</f>
        <v>1.21899441999476</v>
      </c>
      <c r="R6" s="48" t="n">
        <f aca="false">Assumptions!R$11</f>
        <v>1.24337430839465</v>
      </c>
      <c r="S6" s="48" t="n">
        <f aca="false">Assumptions!S$11</f>
        <v>1.26824179456255</v>
      </c>
      <c r="T6" s="48" t="n">
        <f aca="false">Assumptions!T$11</f>
        <v>1.2936066304538</v>
      </c>
      <c r="U6" s="48" t="n">
        <f aca="false">Assumptions!U$11</f>
        <v>1.31947876306287</v>
      </c>
      <c r="V6" s="48" t="n">
        <f aca="false">Assumptions!V$11</f>
        <v>1.34586833832413</v>
      </c>
      <c r="W6" s="48" t="n">
        <f aca="false">Assumptions!W$11</f>
        <v>1.37278570509061</v>
      </c>
      <c r="X6" s="48" t="n">
        <f aca="false">Assumptions!X$11</f>
        <v>1.40024141919242</v>
      </c>
      <c r="Y6" s="48" t="n">
        <f aca="false">Assumptions!Y$11</f>
        <v>1.42824624757627</v>
      </c>
      <c r="Z6" s="48" t="n">
        <f aca="false">Assumptions!Z$11</f>
        <v>1.4568111725278</v>
      </c>
      <c r="AA6" s="48" t="n">
        <f aca="false">Assumptions!AA$11</f>
        <v>1.48594739597836</v>
      </c>
      <c r="AB6" s="48" t="n">
        <f aca="false">Assumptions!AB$11</f>
        <v>1.51566634389792</v>
      </c>
      <c r="AC6" s="48" t="n">
        <f aca="false">Assumptions!AC$11</f>
        <v>1.54597967077588</v>
      </c>
      <c r="AD6" s="48" t="n">
        <f aca="false">Assumptions!AD$11</f>
        <v>1.5768992641914</v>
      </c>
      <c r="AE6" s="48" t="n">
        <f aca="false">Assumptions!AE$11</f>
        <v>1.60843724947523</v>
      </c>
      <c r="AF6" s="48" t="n">
        <f aca="false">Assumptions!AF$11</f>
        <v>1.64060599446473</v>
      </c>
    </row>
    <row r="7" customFormat="false" ht="15" hidden="false" customHeight="true" outlineLevel="0" collapsed="false">
      <c r="B7" s="6" t="s">
        <v>204</v>
      </c>
      <c r="C7" s="20" t="n">
        <f aca="false">Assumptions!$C$49*C$6</f>
        <v>12570</v>
      </c>
      <c r="D7" s="20" t="n">
        <f aca="false">Assumptions!$C$49*D$6</f>
        <v>12570</v>
      </c>
      <c r="E7" s="20" t="n">
        <f aca="false">Assumptions!$C$49*E$6</f>
        <v>12570</v>
      </c>
      <c r="F7" s="20" t="n">
        <f aca="false">Assumptions!$C$49*F$6</f>
        <v>12570</v>
      </c>
      <c r="G7" s="20" t="n">
        <f aca="false">Assumptions!$C$49*G$6</f>
        <v>12570</v>
      </c>
      <c r="H7" s="20" t="n">
        <f aca="false">Assumptions!$C$49*H$6</f>
        <v>12821.4</v>
      </c>
      <c r="I7" s="20" t="n">
        <f aca="false">Assumptions!$C$49*I$6</f>
        <v>13077.828</v>
      </c>
      <c r="J7" s="20" t="n">
        <f aca="false">Assumptions!$C$49*J$6</f>
        <v>13339.38456</v>
      </c>
      <c r="K7" s="20" t="n">
        <f aca="false">Assumptions!$C$49*K$6</f>
        <v>13606.1722512</v>
      </c>
      <c r="L7" s="20" t="n">
        <f aca="false">Assumptions!$C$49*L$6</f>
        <v>13878.295696224</v>
      </c>
      <c r="M7" s="20" t="n">
        <f aca="false">Assumptions!$C$49*M$6</f>
        <v>14155.8616101485</v>
      </c>
      <c r="N7" s="20" t="n">
        <f aca="false">Assumptions!$C$49*N$6</f>
        <v>14438.9788423515</v>
      </c>
      <c r="O7" s="20" t="n">
        <f aca="false">Assumptions!$C$49*O$6</f>
        <v>14727.7584191985</v>
      </c>
      <c r="P7" s="20" t="n">
        <f aca="false">Assumptions!$C$49*P$6</f>
        <v>15022.3135875825</v>
      </c>
      <c r="Q7" s="20" t="n">
        <f aca="false">Assumptions!$C$49*Q$6</f>
        <v>15322.7598593341</v>
      </c>
      <c r="R7" s="20" t="n">
        <f aca="false">Assumptions!$C$49*R$6</f>
        <v>15629.2150565208</v>
      </c>
      <c r="S7" s="20" t="n">
        <f aca="false">Assumptions!$C$49*S$6</f>
        <v>15941.7993576512</v>
      </c>
      <c r="T7" s="20" t="n">
        <f aca="false">Assumptions!$C$49*T$6</f>
        <v>16260.6353448042</v>
      </c>
      <c r="U7" s="20" t="n">
        <f aca="false">Assumptions!$C$49*U$6</f>
        <v>16585.8480517003</v>
      </c>
      <c r="V7" s="20" t="n">
        <f aca="false">Assumptions!$C$49*V$6</f>
        <v>16917.5650127343</v>
      </c>
      <c r="W7" s="20" t="n">
        <f aca="false">Assumptions!$C$49*W$6</f>
        <v>17255.916312989</v>
      </c>
      <c r="X7" s="20" t="n">
        <f aca="false">Assumptions!$C$49*X$6</f>
        <v>17601.0346392488</v>
      </c>
      <c r="Y7" s="20" t="n">
        <f aca="false">Assumptions!$C$49*Y$6</f>
        <v>17953.0553320338</v>
      </c>
      <c r="Z7" s="20" t="n">
        <f aca="false">Assumptions!$C$49*Z$6</f>
        <v>18312.1164386744</v>
      </c>
      <c r="AA7" s="20" t="n">
        <f aca="false">Assumptions!$C$49*AA$6</f>
        <v>18678.3587674479</v>
      </c>
      <c r="AB7" s="20" t="n">
        <f aca="false">Assumptions!$C$49*AB$6</f>
        <v>19051.9259427969</v>
      </c>
      <c r="AC7" s="20" t="n">
        <f aca="false">Assumptions!$C$49*AC$6</f>
        <v>19432.9644616528</v>
      </c>
      <c r="AD7" s="20" t="n">
        <f aca="false">Assumptions!$C$49*AD$6</f>
        <v>19821.6237508859</v>
      </c>
      <c r="AE7" s="20" t="n">
        <f aca="false">Assumptions!$C$49*AE$6</f>
        <v>20218.0562259036</v>
      </c>
      <c r="AF7" s="20" t="n">
        <f aca="false">Assumptions!$C$49*AF$6</f>
        <v>20622.4173504217</v>
      </c>
    </row>
    <row r="8" customFormat="false" ht="15" hidden="false" customHeight="true" outlineLevel="0" collapsed="false">
      <c r="B8" s="6" t="s">
        <v>206</v>
      </c>
      <c r="C8" s="20" t="n">
        <f aca="false">Assumptions!$C$50*C$6</f>
        <v>100000</v>
      </c>
      <c r="D8" s="20" t="n">
        <f aca="false">Assumptions!$C$50*D$6</f>
        <v>100000</v>
      </c>
      <c r="E8" s="20" t="n">
        <f aca="false">Assumptions!$C$50*E$6</f>
        <v>100000</v>
      </c>
      <c r="F8" s="20" t="n">
        <f aca="false">Assumptions!$C$50*F$6</f>
        <v>100000</v>
      </c>
      <c r="G8" s="20" t="n">
        <f aca="false">Assumptions!$C$50*G$6</f>
        <v>100000</v>
      </c>
      <c r="H8" s="20" t="n">
        <f aca="false">Assumptions!$C$50*H$6</f>
        <v>102000</v>
      </c>
      <c r="I8" s="20" t="n">
        <f aca="false">Assumptions!$C$50*I$6</f>
        <v>104040</v>
      </c>
      <c r="J8" s="20" t="n">
        <f aca="false">Assumptions!$C$50*J$6</f>
        <v>106120.8</v>
      </c>
      <c r="K8" s="20" t="n">
        <f aca="false">Assumptions!$C$50*K$6</f>
        <v>108243.216</v>
      </c>
      <c r="L8" s="20" t="n">
        <f aca="false">Assumptions!$C$50*L$6</f>
        <v>110408.08032</v>
      </c>
      <c r="M8" s="20" t="n">
        <f aca="false">Assumptions!$C$50*M$6</f>
        <v>112616.2419264</v>
      </c>
      <c r="N8" s="20" t="n">
        <f aca="false">Assumptions!$C$50*N$6</f>
        <v>114868.566764928</v>
      </c>
      <c r="O8" s="20" t="n">
        <f aca="false">Assumptions!$C$50*O$6</f>
        <v>117165.938100227</v>
      </c>
      <c r="P8" s="20" t="n">
        <f aca="false">Assumptions!$C$50*P$6</f>
        <v>119509.256862231</v>
      </c>
      <c r="Q8" s="20" t="n">
        <f aca="false">Assumptions!$C$50*Q$6</f>
        <v>121899.441999476</v>
      </c>
      <c r="R8" s="20" t="n">
        <f aca="false">Assumptions!$C$50*R$6</f>
        <v>124337.430839465</v>
      </c>
      <c r="S8" s="20" t="n">
        <f aca="false">Assumptions!$C$50*S$6</f>
        <v>126824.179456255</v>
      </c>
      <c r="T8" s="20" t="n">
        <f aca="false">Assumptions!$C$50*T$6</f>
        <v>129360.66304538</v>
      </c>
      <c r="U8" s="20" t="n">
        <f aca="false">Assumptions!$C$50*U$6</f>
        <v>131947.876306287</v>
      </c>
      <c r="V8" s="20" t="n">
        <f aca="false">Assumptions!$C$50*V$6</f>
        <v>134586.833832413</v>
      </c>
      <c r="W8" s="20" t="n">
        <f aca="false">Assumptions!$C$50*W$6</f>
        <v>137278.570509061</v>
      </c>
      <c r="X8" s="20" t="n">
        <f aca="false">Assumptions!$C$50*X$6</f>
        <v>140024.141919242</v>
      </c>
      <c r="Y8" s="20" t="n">
        <f aca="false">Assumptions!$C$50*Y$6</f>
        <v>142824.624757627</v>
      </c>
      <c r="Z8" s="20" t="n">
        <f aca="false">Assumptions!$C$50*Z$6</f>
        <v>145681.11725278</v>
      </c>
      <c r="AA8" s="20" t="n">
        <f aca="false">Assumptions!$C$50*AA$6</f>
        <v>148594.739597836</v>
      </c>
      <c r="AB8" s="20" t="n">
        <f aca="false">Assumptions!$C$50*AB$6</f>
        <v>151566.634389792</v>
      </c>
      <c r="AC8" s="20" t="n">
        <f aca="false">Assumptions!$C$50*AC$6</f>
        <v>154597.967077588</v>
      </c>
      <c r="AD8" s="20" t="n">
        <f aca="false">Assumptions!$C$50*AD$6</f>
        <v>157689.92641914</v>
      </c>
      <c r="AE8" s="20" t="n">
        <f aca="false">Assumptions!$C$50*AE$6</f>
        <v>160843.724947523</v>
      </c>
      <c r="AF8" s="20" t="n">
        <f aca="false">Assumptions!$C$50*AF$6</f>
        <v>164060.599446473</v>
      </c>
    </row>
    <row r="9" customFormat="false" ht="15" hidden="false" customHeight="true" outlineLevel="0" collapsed="false">
      <c r="B9" s="6" t="s">
        <v>207</v>
      </c>
      <c r="C9" s="20" t="n">
        <f aca="false">Assumptions!$C$51*C$6</f>
        <v>37700</v>
      </c>
      <c r="D9" s="20" t="n">
        <f aca="false">Assumptions!$C$51*D$6</f>
        <v>37700</v>
      </c>
      <c r="E9" s="20" t="n">
        <f aca="false">Assumptions!$C$51*E$6</f>
        <v>37700</v>
      </c>
      <c r="F9" s="20" t="n">
        <f aca="false">Assumptions!$C$51*F$6</f>
        <v>37700</v>
      </c>
      <c r="G9" s="20" t="n">
        <f aca="false">Assumptions!$C$51*G$6</f>
        <v>37700</v>
      </c>
      <c r="H9" s="20" t="n">
        <f aca="false">Assumptions!$C$51*H$6</f>
        <v>38454</v>
      </c>
      <c r="I9" s="20" t="n">
        <f aca="false">Assumptions!$C$51*I$6</f>
        <v>39223.08</v>
      </c>
      <c r="J9" s="20" t="n">
        <f aca="false">Assumptions!$C$51*J$6</f>
        <v>40007.5416</v>
      </c>
      <c r="K9" s="20" t="n">
        <f aca="false">Assumptions!$C$51*K$6</f>
        <v>40807.692432</v>
      </c>
      <c r="L9" s="20" t="n">
        <f aca="false">Assumptions!$C$51*L$6</f>
        <v>41623.84628064</v>
      </c>
      <c r="M9" s="20" t="n">
        <f aca="false">Assumptions!$C$51*M$6</f>
        <v>42456.3232062528</v>
      </c>
      <c r="N9" s="20" t="n">
        <f aca="false">Assumptions!$C$51*N$6</f>
        <v>43305.4496703779</v>
      </c>
      <c r="O9" s="20" t="n">
        <f aca="false">Assumptions!$C$51*O$6</f>
        <v>44171.5586637854</v>
      </c>
      <c r="P9" s="20" t="n">
        <f aca="false">Assumptions!$C$51*P$6</f>
        <v>45054.9898370611</v>
      </c>
      <c r="Q9" s="20" t="n">
        <f aca="false">Assumptions!$C$51*Q$6</f>
        <v>45956.0896338024</v>
      </c>
      <c r="R9" s="20" t="n">
        <f aca="false">Assumptions!$C$51*R$6</f>
        <v>46875.2114264784</v>
      </c>
      <c r="S9" s="20" t="n">
        <f aca="false">Assumptions!$C$51*S$6</f>
        <v>47812.715655008</v>
      </c>
      <c r="T9" s="20" t="n">
        <f aca="false">Assumptions!$C$51*T$6</f>
        <v>48768.9699681081</v>
      </c>
      <c r="U9" s="20" t="n">
        <f aca="false">Assumptions!$C$51*U$6</f>
        <v>49744.3493674703</v>
      </c>
      <c r="V9" s="20" t="n">
        <f aca="false">Assumptions!$C$51*V$6</f>
        <v>50739.2363548197</v>
      </c>
      <c r="W9" s="20" t="n">
        <f aca="false">Assumptions!$C$51*W$6</f>
        <v>51754.0210819161</v>
      </c>
      <c r="X9" s="20" t="n">
        <f aca="false">Assumptions!$C$51*X$6</f>
        <v>52789.1015035544</v>
      </c>
      <c r="Y9" s="20" t="n">
        <f aca="false">Assumptions!$C$51*Y$6</f>
        <v>53844.8835336255</v>
      </c>
      <c r="Z9" s="20" t="n">
        <f aca="false">Assumptions!$C$51*Z$6</f>
        <v>54921.781204298</v>
      </c>
      <c r="AA9" s="20" t="n">
        <f aca="false">Assumptions!$C$51*AA$6</f>
        <v>56020.216828384</v>
      </c>
      <c r="AB9" s="20" t="n">
        <f aca="false">Assumptions!$C$51*AB$6</f>
        <v>57140.6211649517</v>
      </c>
      <c r="AC9" s="20" t="n">
        <f aca="false">Assumptions!$C$51*AC$6</f>
        <v>58283.4335882507</v>
      </c>
      <c r="AD9" s="20" t="n">
        <f aca="false">Assumptions!$C$51*AD$6</f>
        <v>59449.1022600157</v>
      </c>
      <c r="AE9" s="20" t="n">
        <f aca="false">Assumptions!$C$51*AE$6</f>
        <v>60638.084305216</v>
      </c>
      <c r="AF9" s="20" t="n">
        <f aca="false">Assumptions!$C$51*AF$6</f>
        <v>61850.8459913204</v>
      </c>
    </row>
    <row r="10" customFormat="false" ht="15" hidden="false" customHeight="true" outlineLevel="0" collapsed="false">
      <c r="B10" s="6" t="s">
        <v>208</v>
      </c>
      <c r="C10" s="20" t="n">
        <f aca="false">Assumptions!$C$52*C$6</f>
        <v>125140</v>
      </c>
      <c r="D10" s="20" t="n">
        <f aca="false">Assumptions!$C$52*D$6</f>
        <v>125140</v>
      </c>
      <c r="E10" s="20" t="n">
        <f aca="false">Assumptions!$C$52*E$6</f>
        <v>125140</v>
      </c>
      <c r="F10" s="20" t="n">
        <f aca="false">Assumptions!$C$52*F$6</f>
        <v>125140</v>
      </c>
      <c r="G10" s="20" t="n">
        <f aca="false">Assumptions!$C$52*G$6</f>
        <v>125140</v>
      </c>
      <c r="H10" s="20" t="n">
        <f aca="false">Assumptions!$C$52*H$6</f>
        <v>127642.8</v>
      </c>
      <c r="I10" s="20" t="n">
        <f aca="false">Assumptions!$C$52*I$6</f>
        <v>130195.656</v>
      </c>
      <c r="J10" s="20" t="n">
        <f aca="false">Assumptions!$C$52*J$6</f>
        <v>132799.56912</v>
      </c>
      <c r="K10" s="20" t="n">
        <f aca="false">Assumptions!$C$52*K$6</f>
        <v>135455.5605024</v>
      </c>
      <c r="L10" s="20" t="n">
        <f aca="false">Assumptions!$C$52*L$6</f>
        <v>138164.671712448</v>
      </c>
      <c r="M10" s="20" t="n">
        <f aca="false">Assumptions!$C$52*M$6</f>
        <v>140927.965146697</v>
      </c>
      <c r="N10" s="20" t="n">
        <f aca="false">Assumptions!$C$52*N$6</f>
        <v>143746.524449631</v>
      </c>
      <c r="O10" s="20" t="n">
        <f aca="false">Assumptions!$C$52*O$6</f>
        <v>146621.454938624</v>
      </c>
      <c r="P10" s="20" t="n">
        <f aca="false">Assumptions!$C$52*P$6</f>
        <v>149553.884037396</v>
      </c>
      <c r="Q10" s="20" t="n">
        <f aca="false">Assumptions!$C$52*Q$6</f>
        <v>152544.961718144</v>
      </c>
      <c r="R10" s="20" t="n">
        <f aca="false">Assumptions!$C$52*R$6</f>
        <v>155595.860952507</v>
      </c>
      <c r="S10" s="20" t="n">
        <f aca="false">Assumptions!$C$52*S$6</f>
        <v>158707.778171557</v>
      </c>
      <c r="T10" s="20" t="n">
        <f aca="false">Assumptions!$C$52*T$6</f>
        <v>161881.933734988</v>
      </c>
      <c r="U10" s="20" t="n">
        <f aca="false">Assumptions!$C$52*U$6</f>
        <v>165119.572409688</v>
      </c>
      <c r="V10" s="20" t="n">
        <f aca="false">Assumptions!$C$52*V$6</f>
        <v>168421.963857882</v>
      </c>
      <c r="W10" s="20" t="n">
        <f aca="false">Assumptions!$C$52*W$6</f>
        <v>171790.403135039</v>
      </c>
      <c r="X10" s="20" t="n">
        <f aca="false">Assumptions!$C$52*X$6</f>
        <v>175226.21119774</v>
      </c>
      <c r="Y10" s="20" t="n">
        <f aca="false">Assumptions!$C$52*Y$6</f>
        <v>178730.735421695</v>
      </c>
      <c r="Z10" s="20" t="n">
        <f aca="false">Assumptions!$C$52*Z$6</f>
        <v>182305.350130129</v>
      </c>
      <c r="AA10" s="20" t="n">
        <f aca="false">Assumptions!$C$52*AA$6</f>
        <v>185951.457132731</v>
      </c>
      <c r="AB10" s="20" t="n">
        <f aca="false">Assumptions!$C$52*AB$6</f>
        <v>189670.486275386</v>
      </c>
      <c r="AC10" s="20" t="n">
        <f aca="false">Assumptions!$C$52*AC$6</f>
        <v>193463.896000894</v>
      </c>
      <c r="AD10" s="20" t="n">
        <f aca="false">Assumptions!$C$52*AD$6</f>
        <v>197333.173920912</v>
      </c>
      <c r="AE10" s="20" t="n">
        <f aca="false">Assumptions!$C$52*AE$6</f>
        <v>201279.83739933</v>
      </c>
      <c r="AF10" s="20" t="n">
        <f aca="false">Assumptions!$C$52*AF$6</f>
        <v>205305.434147316</v>
      </c>
    </row>
    <row r="11" customFormat="false" ht="15" hidden="false" customHeight="true" outlineLevel="0" collapsed="false">
      <c r="B11" s="6" t="s">
        <v>213</v>
      </c>
      <c r="C11" s="20" t="n">
        <f aca="false">Assumptions!$C$56*C$6</f>
        <v>12570</v>
      </c>
      <c r="D11" s="20" t="n">
        <f aca="false">Assumptions!$C$56*D$6</f>
        <v>12570</v>
      </c>
      <c r="E11" s="20" t="n">
        <f aca="false">Assumptions!$C$56*E$6</f>
        <v>12570</v>
      </c>
      <c r="F11" s="20" t="n">
        <f aca="false">Assumptions!$C$56*F$6</f>
        <v>12570</v>
      </c>
      <c r="G11" s="20" t="n">
        <f aca="false">Assumptions!$C$56*G$6</f>
        <v>12570</v>
      </c>
      <c r="H11" s="20" t="n">
        <f aca="false">Assumptions!$C$56*H$6</f>
        <v>12821.4</v>
      </c>
      <c r="I11" s="20" t="n">
        <f aca="false">Assumptions!$C$56*I$6</f>
        <v>13077.828</v>
      </c>
      <c r="J11" s="20" t="n">
        <f aca="false">Assumptions!$C$56*J$6</f>
        <v>13339.38456</v>
      </c>
      <c r="K11" s="20" t="n">
        <f aca="false">Assumptions!$C$56*K$6</f>
        <v>13606.1722512</v>
      </c>
      <c r="L11" s="20" t="n">
        <f aca="false">Assumptions!$C$56*L$6</f>
        <v>13878.295696224</v>
      </c>
      <c r="M11" s="20" t="n">
        <f aca="false">Assumptions!$C$56*M$6</f>
        <v>14155.8616101485</v>
      </c>
      <c r="N11" s="20" t="n">
        <f aca="false">Assumptions!$C$56*N$6</f>
        <v>14438.9788423515</v>
      </c>
      <c r="O11" s="20" t="n">
        <f aca="false">Assumptions!$C$56*O$6</f>
        <v>14727.7584191985</v>
      </c>
      <c r="P11" s="20" t="n">
        <f aca="false">Assumptions!$C$56*P$6</f>
        <v>15022.3135875825</v>
      </c>
      <c r="Q11" s="20" t="n">
        <f aca="false">Assumptions!$C$56*Q$6</f>
        <v>15322.7598593341</v>
      </c>
      <c r="R11" s="20" t="n">
        <f aca="false">Assumptions!$C$56*R$6</f>
        <v>15629.2150565208</v>
      </c>
      <c r="S11" s="20" t="n">
        <f aca="false">Assumptions!$C$56*S$6</f>
        <v>15941.7993576512</v>
      </c>
      <c r="T11" s="20" t="n">
        <f aca="false">Assumptions!$C$56*T$6</f>
        <v>16260.6353448042</v>
      </c>
      <c r="U11" s="20" t="n">
        <f aca="false">Assumptions!$C$56*U$6</f>
        <v>16585.8480517003</v>
      </c>
      <c r="V11" s="20" t="n">
        <f aca="false">Assumptions!$C$56*V$6</f>
        <v>16917.5650127343</v>
      </c>
      <c r="W11" s="20" t="n">
        <f aca="false">Assumptions!$C$56*W$6</f>
        <v>17255.916312989</v>
      </c>
      <c r="X11" s="20" t="n">
        <f aca="false">Assumptions!$C$56*X$6</f>
        <v>17601.0346392488</v>
      </c>
      <c r="Y11" s="20" t="n">
        <f aca="false">Assumptions!$C$56*Y$6</f>
        <v>17953.0553320338</v>
      </c>
      <c r="Z11" s="20" t="n">
        <f aca="false">Assumptions!$C$56*Z$6</f>
        <v>18312.1164386744</v>
      </c>
      <c r="AA11" s="20" t="n">
        <f aca="false">Assumptions!$C$56*AA$6</f>
        <v>18678.3587674479</v>
      </c>
      <c r="AB11" s="20" t="n">
        <f aca="false">Assumptions!$C$56*AB$6</f>
        <v>19051.9259427969</v>
      </c>
      <c r="AC11" s="20" t="n">
        <f aca="false">Assumptions!$C$56*AC$6</f>
        <v>19432.9644616528</v>
      </c>
      <c r="AD11" s="20" t="n">
        <f aca="false">Assumptions!$C$56*AD$6</f>
        <v>19821.6237508859</v>
      </c>
      <c r="AE11" s="20" t="n">
        <f aca="false">Assumptions!$C$56*AE$6</f>
        <v>20218.0562259036</v>
      </c>
      <c r="AF11" s="20" t="n">
        <f aca="false">Assumptions!$C$56*AF$6</f>
        <v>20622.4173504217</v>
      </c>
    </row>
    <row r="12" customFormat="false" ht="15" hidden="false" customHeight="true" outlineLevel="0" collapsed="false">
      <c r="B12" s="6" t="s">
        <v>214</v>
      </c>
      <c r="C12" s="20" t="n">
        <f aca="false">Assumptions!$C$57*C$6</f>
        <v>50270</v>
      </c>
      <c r="D12" s="20" t="n">
        <f aca="false">Assumptions!$C$57*D$6</f>
        <v>50270</v>
      </c>
      <c r="E12" s="20" t="n">
        <f aca="false">Assumptions!$C$57*E$6</f>
        <v>50270</v>
      </c>
      <c r="F12" s="20" t="n">
        <f aca="false">Assumptions!$C$57*F$6</f>
        <v>50270</v>
      </c>
      <c r="G12" s="20" t="n">
        <f aca="false">Assumptions!$C$57*G$6</f>
        <v>50270</v>
      </c>
      <c r="H12" s="20" t="n">
        <f aca="false">Assumptions!$C$57*H$6</f>
        <v>51275.4</v>
      </c>
      <c r="I12" s="20" t="n">
        <f aca="false">Assumptions!$C$57*I$6</f>
        <v>52300.908</v>
      </c>
      <c r="J12" s="20" t="n">
        <f aca="false">Assumptions!$C$57*J$6</f>
        <v>53346.92616</v>
      </c>
      <c r="K12" s="20" t="n">
        <f aca="false">Assumptions!$C$57*K$6</f>
        <v>54413.8646832</v>
      </c>
      <c r="L12" s="20" t="n">
        <f aca="false">Assumptions!$C$57*L$6</f>
        <v>55502.141976864</v>
      </c>
      <c r="M12" s="20" t="n">
        <f aca="false">Assumptions!$C$57*M$6</f>
        <v>56612.1848164013</v>
      </c>
      <c r="N12" s="20" t="n">
        <f aca="false">Assumptions!$C$57*N$6</f>
        <v>57744.4285127293</v>
      </c>
      <c r="O12" s="20" t="n">
        <f aca="false">Assumptions!$C$57*O$6</f>
        <v>58899.3170829839</v>
      </c>
      <c r="P12" s="20" t="n">
        <f aca="false">Assumptions!$C$57*P$6</f>
        <v>60077.3034246436</v>
      </c>
      <c r="Q12" s="20" t="n">
        <f aca="false">Assumptions!$C$57*Q$6</f>
        <v>61278.8494931365</v>
      </c>
      <c r="R12" s="20" t="n">
        <f aca="false">Assumptions!$C$57*R$6</f>
        <v>62504.4264829992</v>
      </c>
      <c r="S12" s="20" t="n">
        <f aca="false">Assumptions!$C$57*S$6</f>
        <v>63754.5150126592</v>
      </c>
      <c r="T12" s="20" t="n">
        <f aca="false">Assumptions!$C$57*T$6</f>
        <v>65029.6053129123</v>
      </c>
      <c r="U12" s="20" t="n">
        <f aca="false">Assumptions!$C$57*U$6</f>
        <v>66330.1974191706</v>
      </c>
      <c r="V12" s="20" t="n">
        <f aca="false">Assumptions!$C$57*V$6</f>
        <v>67656.801367554</v>
      </c>
      <c r="W12" s="20" t="n">
        <f aca="false">Assumptions!$C$57*W$6</f>
        <v>69009.9373949051</v>
      </c>
      <c r="X12" s="20" t="n">
        <f aca="false">Assumptions!$C$57*X$6</f>
        <v>70390.1361428032</v>
      </c>
      <c r="Y12" s="20" t="n">
        <f aca="false">Assumptions!$C$57*Y$6</f>
        <v>71797.9388656593</v>
      </c>
      <c r="Z12" s="20" t="n">
        <f aca="false">Assumptions!$C$57*Z$6</f>
        <v>73233.8976429724</v>
      </c>
      <c r="AA12" s="20" t="n">
        <f aca="false">Assumptions!$C$57*AA$6</f>
        <v>74698.5755958319</v>
      </c>
      <c r="AB12" s="20" t="n">
        <f aca="false">Assumptions!$C$57*AB$6</f>
        <v>76192.5471077485</v>
      </c>
      <c r="AC12" s="20" t="n">
        <f aca="false">Assumptions!$C$57*AC$6</f>
        <v>77716.3980499035</v>
      </c>
      <c r="AD12" s="20" t="n">
        <f aca="false">Assumptions!$C$57*AD$6</f>
        <v>79270.7260109016</v>
      </c>
      <c r="AE12" s="20" t="n">
        <f aca="false">Assumptions!$C$57*AE$6</f>
        <v>80856.1405311196</v>
      </c>
      <c r="AF12" s="20" t="n">
        <f aca="false">Assumptions!$C$57*AF$6</f>
        <v>82473.263341742</v>
      </c>
    </row>
    <row r="13" customFormat="false" ht="15" hidden="false" customHeight="true" outlineLevel="0" collapsed="false">
      <c r="B13" s="6" t="s">
        <v>193</v>
      </c>
      <c r="C13" s="20" t="n">
        <f aca="false">Assumptions!$C$42*C$6</f>
        <v>60000</v>
      </c>
      <c r="D13" s="20" t="n">
        <f aca="false">Assumptions!$C$42*D$6</f>
        <v>60000</v>
      </c>
      <c r="E13" s="20" t="n">
        <f aca="false">Assumptions!$C$42*E$6</f>
        <v>60000</v>
      </c>
      <c r="F13" s="20" t="n">
        <f aca="false">Assumptions!$C$42*F$6</f>
        <v>60000</v>
      </c>
      <c r="G13" s="20" t="n">
        <f aca="false">Assumptions!$C$42*G$6</f>
        <v>60000</v>
      </c>
      <c r="H13" s="20" t="n">
        <f aca="false">Assumptions!$C$42*H$6</f>
        <v>61200</v>
      </c>
      <c r="I13" s="20" t="n">
        <f aca="false">Assumptions!$C$42*I$6</f>
        <v>62424</v>
      </c>
      <c r="J13" s="20" t="n">
        <f aca="false">Assumptions!$C$42*J$6</f>
        <v>63672.48</v>
      </c>
      <c r="K13" s="20" t="n">
        <f aca="false">Assumptions!$C$42*K$6</f>
        <v>64945.9296</v>
      </c>
      <c r="L13" s="20" t="n">
        <f aca="false">Assumptions!$C$42*L$6</f>
        <v>66244.848192</v>
      </c>
      <c r="M13" s="20" t="n">
        <f aca="false">Assumptions!$C$42*M$6</f>
        <v>67569.74515584</v>
      </c>
      <c r="N13" s="20" t="n">
        <f aca="false">Assumptions!$C$42*N$6</f>
        <v>68921.1400589568</v>
      </c>
      <c r="O13" s="20" t="n">
        <f aca="false">Assumptions!$C$42*O$6</f>
        <v>70299.562860136</v>
      </c>
      <c r="P13" s="20" t="n">
        <f aca="false">Assumptions!$C$42*P$6</f>
        <v>71705.5541173387</v>
      </c>
      <c r="Q13" s="20" t="n">
        <f aca="false">Assumptions!$C$42*Q$6</f>
        <v>73139.6651996854</v>
      </c>
      <c r="R13" s="20" t="n">
        <f aca="false">Assumptions!$C$42*R$6</f>
        <v>74602.4585036792</v>
      </c>
      <c r="S13" s="20" t="n">
        <f aca="false">Assumptions!$C$42*S$6</f>
        <v>76094.5076737527</v>
      </c>
      <c r="T13" s="20" t="n">
        <f aca="false">Assumptions!$C$42*T$6</f>
        <v>77616.3978272278</v>
      </c>
      <c r="U13" s="20" t="n">
        <f aca="false">Assumptions!$C$42*U$6</f>
        <v>79168.7257837723</v>
      </c>
      <c r="V13" s="20" t="n">
        <f aca="false">Assumptions!$C$42*V$6</f>
        <v>80752.1002994478</v>
      </c>
      <c r="W13" s="20" t="n">
        <f aca="false">Assumptions!$C$42*W$6</f>
        <v>82367.1423054368</v>
      </c>
      <c r="X13" s="20" t="n">
        <f aca="false">Assumptions!$C$42*X$6</f>
        <v>84014.4851515455</v>
      </c>
      <c r="Y13" s="20" t="n">
        <f aca="false">Assumptions!$C$42*Y$6</f>
        <v>85694.7748545764</v>
      </c>
      <c r="Z13" s="20" t="n">
        <f aca="false">Assumptions!$C$42*Z$6</f>
        <v>87408.6703516679</v>
      </c>
      <c r="AA13" s="20" t="n">
        <f aca="false">Assumptions!$C$42*AA$6</f>
        <v>89156.8437587013</v>
      </c>
      <c r="AB13" s="20" t="n">
        <f aca="false">Assumptions!$C$42*AB$6</f>
        <v>90939.9806338753</v>
      </c>
      <c r="AC13" s="20" t="n">
        <f aca="false">Assumptions!$C$42*AC$6</f>
        <v>92758.7802465528</v>
      </c>
      <c r="AD13" s="20" t="n">
        <f aca="false">Assumptions!$C$42*AD$6</f>
        <v>94613.9558514839</v>
      </c>
      <c r="AE13" s="20" t="n">
        <f aca="false">Assumptions!$C$42*AE$6</f>
        <v>96506.2349685136</v>
      </c>
      <c r="AF13" s="20" t="n">
        <f aca="false">Assumptions!$C$42*AF$6</f>
        <v>98436.3596678838</v>
      </c>
    </row>
    <row r="14" customFormat="false" ht="15" hidden="false" customHeight="true" outlineLevel="0" collapsed="false">
      <c r="B14" s="6" t="s">
        <v>199</v>
      </c>
      <c r="C14" s="20" t="n">
        <f aca="false">Assumptions!$C$45*C$6</f>
        <v>260000</v>
      </c>
      <c r="D14" s="20" t="n">
        <f aca="false">Assumptions!$C$45*D$6</f>
        <v>260000</v>
      </c>
      <c r="E14" s="20" t="n">
        <f aca="false">Assumptions!$C$45*E$6</f>
        <v>260000</v>
      </c>
      <c r="F14" s="20" t="n">
        <f aca="false">Assumptions!$C$45*F$6</f>
        <v>260000</v>
      </c>
      <c r="G14" s="20" t="n">
        <f aca="false">Assumptions!$C$45*G$6</f>
        <v>260000</v>
      </c>
      <c r="H14" s="20" t="n">
        <f aca="false">Assumptions!$C$45*H$6</f>
        <v>265200</v>
      </c>
      <c r="I14" s="20" t="n">
        <f aca="false">Assumptions!$C$45*I$6</f>
        <v>270504</v>
      </c>
      <c r="J14" s="20" t="n">
        <f aca="false">Assumptions!$C$45*J$6</f>
        <v>275914.08</v>
      </c>
      <c r="K14" s="20" t="n">
        <f aca="false">Assumptions!$C$45*K$6</f>
        <v>281432.3616</v>
      </c>
      <c r="L14" s="20" t="n">
        <f aca="false">Assumptions!$C$45*L$6</f>
        <v>287061.008832</v>
      </c>
      <c r="M14" s="20" t="n">
        <f aca="false">Assumptions!$C$45*M$6</f>
        <v>292802.22900864</v>
      </c>
      <c r="N14" s="20" t="n">
        <f aca="false">Assumptions!$C$45*N$6</f>
        <v>298658.273588813</v>
      </c>
      <c r="O14" s="20" t="n">
        <f aca="false">Assumptions!$C$45*O$6</f>
        <v>304631.439060589</v>
      </c>
      <c r="P14" s="20" t="n">
        <f aca="false">Assumptions!$C$45*P$6</f>
        <v>310724.067841801</v>
      </c>
      <c r="Q14" s="20" t="n">
        <f aca="false">Assumptions!$C$45*Q$6</f>
        <v>316938.549198637</v>
      </c>
      <c r="R14" s="20" t="n">
        <f aca="false">Assumptions!$C$45*R$6</f>
        <v>323277.32018261</v>
      </c>
      <c r="S14" s="20" t="n">
        <f aca="false">Assumptions!$C$45*S$6</f>
        <v>329742.866586262</v>
      </c>
      <c r="T14" s="20" t="n">
        <f aca="false">Assumptions!$C$45*T$6</f>
        <v>336337.723917987</v>
      </c>
      <c r="U14" s="20" t="n">
        <f aca="false">Assumptions!$C$45*U$6</f>
        <v>343064.478396347</v>
      </c>
      <c r="V14" s="20" t="n">
        <f aca="false">Assumptions!$C$45*V$6</f>
        <v>349925.767964274</v>
      </c>
      <c r="W14" s="20" t="n">
        <f aca="false">Assumptions!$C$45*W$6</f>
        <v>356924.283323559</v>
      </c>
      <c r="X14" s="20" t="n">
        <f aca="false">Assumptions!$C$45*X$6</f>
        <v>364062.76899003</v>
      </c>
      <c r="Y14" s="20" t="n">
        <f aca="false">Assumptions!$C$45*Y$6</f>
        <v>371344.024369831</v>
      </c>
      <c r="Z14" s="20" t="n">
        <f aca="false">Assumptions!$C$45*Z$6</f>
        <v>378770.904857228</v>
      </c>
      <c r="AA14" s="20" t="n">
        <f aca="false">Assumptions!$C$45*AA$6</f>
        <v>386346.322954372</v>
      </c>
      <c r="AB14" s="20" t="n">
        <f aca="false">Assumptions!$C$45*AB$6</f>
        <v>394073.24941346</v>
      </c>
      <c r="AC14" s="20" t="n">
        <f aca="false">Assumptions!$C$45*AC$6</f>
        <v>401954.714401729</v>
      </c>
      <c r="AD14" s="20" t="n">
        <f aca="false">Assumptions!$C$45*AD$6</f>
        <v>409993.808689764</v>
      </c>
      <c r="AE14" s="20" t="n">
        <f aca="false">Assumptions!$C$45*AE$6</f>
        <v>418193.684863559</v>
      </c>
      <c r="AF14" s="20" t="n">
        <f aca="false">Assumptions!$C$45*AF$6</f>
        <v>426557.55856083</v>
      </c>
    </row>
    <row r="15" customFormat="false" ht="15" hidden="false" customHeight="true" outlineLevel="0" collapsed="false">
      <c r="B15" s="6" t="s">
        <v>201</v>
      </c>
      <c r="C15" s="20" t="n">
        <f aca="false">Assumptions!$C$46*C$6</f>
        <v>10000</v>
      </c>
      <c r="D15" s="20" t="n">
        <f aca="false">Assumptions!$C$46*D$6</f>
        <v>10000</v>
      </c>
      <c r="E15" s="20" t="n">
        <f aca="false">Assumptions!$C$46*E$6</f>
        <v>10000</v>
      </c>
      <c r="F15" s="20" t="n">
        <f aca="false">Assumptions!$C$46*F$6</f>
        <v>10000</v>
      </c>
      <c r="G15" s="20" t="n">
        <f aca="false">Assumptions!$C$46*G$6</f>
        <v>10000</v>
      </c>
      <c r="H15" s="20" t="n">
        <f aca="false">Assumptions!$C$46*H$6</f>
        <v>10200</v>
      </c>
      <c r="I15" s="20" t="n">
        <f aca="false">Assumptions!$C$46*I$6</f>
        <v>10404</v>
      </c>
      <c r="J15" s="20" t="n">
        <f aca="false">Assumptions!$C$46*J$6</f>
        <v>10612.08</v>
      </c>
      <c r="K15" s="20" t="n">
        <f aca="false">Assumptions!$C$46*K$6</f>
        <v>10824.3216</v>
      </c>
      <c r="L15" s="20" t="n">
        <f aca="false">Assumptions!$C$46*L$6</f>
        <v>11040.808032</v>
      </c>
      <c r="M15" s="20" t="n">
        <f aca="false">Assumptions!$C$46*M$6</f>
        <v>11261.62419264</v>
      </c>
      <c r="N15" s="20" t="n">
        <f aca="false">Assumptions!$C$46*N$6</f>
        <v>11486.8566764928</v>
      </c>
      <c r="O15" s="20" t="n">
        <f aca="false">Assumptions!$C$46*O$6</f>
        <v>11716.5938100227</v>
      </c>
      <c r="P15" s="20" t="n">
        <f aca="false">Assumptions!$C$46*P$6</f>
        <v>11950.9256862231</v>
      </c>
      <c r="Q15" s="20" t="n">
        <f aca="false">Assumptions!$C$46*Q$6</f>
        <v>12189.9441999476</v>
      </c>
      <c r="R15" s="20" t="n">
        <f aca="false">Assumptions!$C$46*R$6</f>
        <v>12433.7430839465</v>
      </c>
      <c r="S15" s="20" t="n">
        <f aca="false">Assumptions!$C$46*S$6</f>
        <v>12682.4179456255</v>
      </c>
      <c r="T15" s="20" t="n">
        <f aca="false">Assumptions!$C$46*T$6</f>
        <v>12936.066304538</v>
      </c>
      <c r="U15" s="20" t="n">
        <f aca="false">Assumptions!$C$46*U$6</f>
        <v>13194.7876306287</v>
      </c>
      <c r="V15" s="20" t="n">
        <f aca="false">Assumptions!$C$46*V$6</f>
        <v>13458.6833832413</v>
      </c>
      <c r="W15" s="20" t="n">
        <f aca="false">Assumptions!$C$46*W$6</f>
        <v>13727.8570509061</v>
      </c>
      <c r="X15" s="20" t="n">
        <f aca="false">Assumptions!$C$46*X$6</f>
        <v>14002.4141919242</v>
      </c>
      <c r="Y15" s="20" t="n">
        <f aca="false">Assumptions!$C$46*Y$6</f>
        <v>14282.4624757627</v>
      </c>
      <c r="Z15" s="20" t="n">
        <f aca="false">Assumptions!$C$46*Z$6</f>
        <v>14568.111725278</v>
      </c>
      <c r="AA15" s="20" t="n">
        <f aca="false">Assumptions!$C$46*AA$6</f>
        <v>14859.4739597835</v>
      </c>
      <c r="AB15" s="20" t="n">
        <f aca="false">Assumptions!$C$46*AB$6</f>
        <v>15156.6634389792</v>
      </c>
      <c r="AC15" s="20" t="n">
        <f aca="false">Assumptions!$C$46*AC$6</f>
        <v>15459.7967077588</v>
      </c>
      <c r="AD15" s="20" t="n">
        <f aca="false">Assumptions!$C$46*AD$6</f>
        <v>15768.992641914</v>
      </c>
      <c r="AE15" s="20" t="n">
        <f aca="false">Assumptions!$C$46*AE$6</f>
        <v>16084.3724947523</v>
      </c>
      <c r="AF15" s="20" t="n">
        <f aca="false">Assumptions!$C$46*AF$6</f>
        <v>16406.0599446473</v>
      </c>
    </row>
    <row r="16" customFormat="false" ht="15" hidden="false" customHeight="true" outlineLevel="0" collapsed="false">
      <c r="B16" s="6" t="s">
        <v>195</v>
      </c>
      <c r="C16" s="20" t="n">
        <f aca="false">Assumptions!$C$43*C$6</f>
        <v>20000</v>
      </c>
      <c r="D16" s="20" t="n">
        <f aca="false">Assumptions!$C$43*D$6</f>
        <v>20000</v>
      </c>
      <c r="E16" s="20" t="n">
        <f aca="false">Assumptions!$C$43*E$6</f>
        <v>20000</v>
      </c>
      <c r="F16" s="20" t="n">
        <f aca="false">Assumptions!$C$43*F$6</f>
        <v>20000</v>
      </c>
      <c r="G16" s="20" t="n">
        <f aca="false">Assumptions!$C$43*G$6</f>
        <v>20000</v>
      </c>
      <c r="H16" s="20" t="n">
        <f aca="false">Assumptions!$C$43*H$6</f>
        <v>20400</v>
      </c>
      <c r="I16" s="20" t="n">
        <f aca="false">Assumptions!$C$43*I$6</f>
        <v>20808</v>
      </c>
      <c r="J16" s="20" t="n">
        <f aca="false">Assumptions!$C$43*J$6</f>
        <v>21224.16</v>
      </c>
      <c r="K16" s="20" t="n">
        <f aca="false">Assumptions!$C$43*K$6</f>
        <v>21648.6432</v>
      </c>
      <c r="L16" s="20" t="n">
        <f aca="false">Assumptions!$C$43*L$6</f>
        <v>22081.616064</v>
      </c>
      <c r="M16" s="20" t="n">
        <f aca="false">Assumptions!$C$43*M$6</f>
        <v>22523.24838528</v>
      </c>
      <c r="N16" s="20" t="n">
        <f aca="false">Assumptions!$C$43*N$6</f>
        <v>22973.7133529856</v>
      </c>
      <c r="O16" s="20" t="n">
        <f aca="false">Assumptions!$C$43*O$6</f>
        <v>23433.1876200453</v>
      </c>
      <c r="P16" s="20" t="n">
        <f aca="false">Assumptions!$C$43*P$6</f>
        <v>23901.8513724462</v>
      </c>
      <c r="Q16" s="20" t="n">
        <f aca="false">Assumptions!$C$43*Q$6</f>
        <v>24379.8883998951</v>
      </c>
      <c r="R16" s="20" t="n">
        <f aca="false">Assumptions!$C$43*R$6</f>
        <v>24867.4861678931</v>
      </c>
      <c r="S16" s="20" t="n">
        <f aca="false">Assumptions!$C$43*S$6</f>
        <v>25364.8358912509</v>
      </c>
      <c r="T16" s="20" t="n">
        <f aca="false">Assumptions!$C$43*T$6</f>
        <v>25872.1326090759</v>
      </c>
      <c r="U16" s="20" t="n">
        <f aca="false">Assumptions!$C$43*U$6</f>
        <v>26389.5752612574</v>
      </c>
      <c r="V16" s="20" t="n">
        <f aca="false">Assumptions!$C$43*V$6</f>
        <v>26917.3667664826</v>
      </c>
      <c r="W16" s="20" t="n">
        <f aca="false">Assumptions!$C$43*W$6</f>
        <v>27455.7141018123</v>
      </c>
      <c r="X16" s="20" t="n">
        <f aca="false">Assumptions!$C$43*X$6</f>
        <v>28004.8283838485</v>
      </c>
      <c r="Y16" s="20" t="n">
        <f aca="false">Assumptions!$C$43*Y$6</f>
        <v>28564.9249515255</v>
      </c>
      <c r="Z16" s="20" t="n">
        <f aca="false">Assumptions!$C$43*Z$6</f>
        <v>29136.223450556</v>
      </c>
      <c r="AA16" s="20" t="n">
        <f aca="false">Assumptions!$C$43*AA$6</f>
        <v>29718.9479195671</v>
      </c>
      <c r="AB16" s="20" t="n">
        <f aca="false">Assumptions!$C$43*AB$6</f>
        <v>30313.3268779584</v>
      </c>
      <c r="AC16" s="20" t="n">
        <f aca="false">Assumptions!$C$43*AC$6</f>
        <v>30919.5934155176</v>
      </c>
      <c r="AD16" s="20" t="n">
        <f aca="false">Assumptions!$C$43*AD$6</f>
        <v>31537.985283828</v>
      </c>
      <c r="AE16" s="20" t="n">
        <f aca="false">Assumptions!$C$43*AE$6</f>
        <v>32168.7449895045</v>
      </c>
      <c r="AF16" s="20" t="n">
        <f aca="false">Assumptions!$C$43*AF$6</f>
        <v>32812.1198892946</v>
      </c>
    </row>
    <row r="17" customFormat="false" ht="15" hidden="false" customHeight="true" outlineLevel="0" collapsed="false">
      <c r="B17" s="6" t="s">
        <v>197</v>
      </c>
      <c r="C17" s="20" t="n">
        <f aca="false">Assumptions!$C$44*C$6</f>
        <v>9000</v>
      </c>
      <c r="D17" s="20" t="n">
        <f aca="false">Assumptions!$C$44*D$6</f>
        <v>9000</v>
      </c>
      <c r="E17" s="20" t="n">
        <f aca="false">Assumptions!$C$44*E$6</f>
        <v>9000</v>
      </c>
      <c r="F17" s="20" t="n">
        <f aca="false">Assumptions!$C$44*F$6</f>
        <v>9000</v>
      </c>
      <c r="G17" s="20" t="n">
        <f aca="false">Assumptions!$C$44*G$6</f>
        <v>9000</v>
      </c>
      <c r="H17" s="20" t="n">
        <f aca="false">Assumptions!$C$44*H$6</f>
        <v>9180</v>
      </c>
      <c r="I17" s="20" t="n">
        <f aca="false">Assumptions!$C$44*I$6</f>
        <v>9363.6</v>
      </c>
      <c r="J17" s="20" t="n">
        <f aca="false">Assumptions!$C$44*J$6</f>
        <v>9550.872</v>
      </c>
      <c r="K17" s="20" t="n">
        <f aca="false">Assumptions!$C$44*K$6</f>
        <v>9741.88944</v>
      </c>
      <c r="L17" s="20" t="n">
        <f aca="false">Assumptions!$C$44*L$6</f>
        <v>9936.7272288</v>
      </c>
      <c r="M17" s="20" t="n">
        <f aca="false">Assumptions!$C$44*M$6</f>
        <v>10135.461773376</v>
      </c>
      <c r="N17" s="20" t="n">
        <f aca="false">Assumptions!$C$44*N$6</f>
        <v>10338.1710088435</v>
      </c>
      <c r="O17" s="20" t="n">
        <f aca="false">Assumptions!$C$44*O$6</f>
        <v>10544.9344290204</v>
      </c>
      <c r="P17" s="20" t="n">
        <f aca="false">Assumptions!$C$44*P$6</f>
        <v>10755.8331176008</v>
      </c>
      <c r="Q17" s="20" t="n">
        <f aca="false">Assumptions!$C$44*Q$6</f>
        <v>10970.9497799528</v>
      </c>
      <c r="R17" s="20" t="n">
        <f aca="false">Assumptions!$C$44*R$6</f>
        <v>11190.3687755519</v>
      </c>
      <c r="S17" s="20" t="n">
        <f aca="false">Assumptions!$C$44*S$6</f>
        <v>11414.1761510629</v>
      </c>
      <c r="T17" s="20" t="n">
        <f aca="false">Assumptions!$C$44*T$6</f>
        <v>11642.4596740842</v>
      </c>
      <c r="U17" s="20" t="n">
        <f aca="false">Assumptions!$C$44*U$6</f>
        <v>11875.3088675659</v>
      </c>
      <c r="V17" s="20" t="n">
        <f aca="false">Assumptions!$C$44*V$6</f>
        <v>12112.8150449172</v>
      </c>
      <c r="W17" s="20" t="n">
        <f aca="false">Assumptions!$C$44*W$6</f>
        <v>12355.0713458155</v>
      </c>
      <c r="X17" s="20" t="n">
        <f aca="false">Assumptions!$C$44*X$6</f>
        <v>12602.1727727318</v>
      </c>
      <c r="Y17" s="20" t="n">
        <f aca="false">Assumptions!$C$44*Y$6</f>
        <v>12854.2162281865</v>
      </c>
      <c r="Z17" s="20" t="n">
        <f aca="false">Assumptions!$C$44*Z$6</f>
        <v>13111.3005527502</v>
      </c>
      <c r="AA17" s="20" t="n">
        <f aca="false">Assumptions!$C$44*AA$6</f>
        <v>13373.5265638052</v>
      </c>
      <c r="AB17" s="20" t="n">
        <f aca="false">Assumptions!$C$44*AB$6</f>
        <v>13640.9970950813</v>
      </c>
      <c r="AC17" s="20" t="n">
        <f aca="false">Assumptions!$C$44*AC$6</f>
        <v>13913.8170369829</v>
      </c>
      <c r="AD17" s="20" t="n">
        <f aca="false">Assumptions!$C$44*AD$6</f>
        <v>14192.0933777226</v>
      </c>
      <c r="AE17" s="20" t="n">
        <f aca="false">Assumptions!$C$44*AE$6</f>
        <v>14475.935245277</v>
      </c>
      <c r="AF17" s="20" t="n">
        <f aca="false">Assumptions!$C$44*AF$6</f>
        <v>14765.4539501826</v>
      </c>
    </row>
    <row r="18" customFormat="false" ht="15" hidden="false" customHeight="true" outlineLevel="0" collapsed="false">
      <c r="B18" s="6" t="s">
        <v>209</v>
      </c>
      <c r="C18" s="49" t="n">
        <f aca="false">Assumptions!$C$53</f>
        <v>0.2</v>
      </c>
      <c r="D18" s="49" t="n">
        <f aca="false">Assumptions!$C$53</f>
        <v>0.2</v>
      </c>
      <c r="E18" s="49" t="n">
        <f aca="false">Assumptions!$C$53</f>
        <v>0.2</v>
      </c>
      <c r="F18" s="49" t="n">
        <f aca="false">Assumptions!$C$53</f>
        <v>0.2</v>
      </c>
      <c r="G18" s="49" t="n">
        <f aca="false">Assumptions!$C$53</f>
        <v>0.2</v>
      </c>
      <c r="H18" s="49" t="n">
        <f aca="false">Assumptions!$C$53</f>
        <v>0.2</v>
      </c>
      <c r="I18" s="49" t="n">
        <f aca="false">Assumptions!$C$53</f>
        <v>0.2</v>
      </c>
      <c r="J18" s="49" t="n">
        <f aca="false">Assumptions!$C$53</f>
        <v>0.2</v>
      </c>
      <c r="K18" s="49" t="n">
        <f aca="false">Assumptions!$C$53</f>
        <v>0.2</v>
      </c>
      <c r="L18" s="49" t="n">
        <f aca="false">Assumptions!$C$53</f>
        <v>0.2</v>
      </c>
      <c r="M18" s="49" t="n">
        <f aca="false">Assumptions!$C$53</f>
        <v>0.2</v>
      </c>
      <c r="N18" s="49" t="n">
        <f aca="false">Assumptions!$C$53</f>
        <v>0.2</v>
      </c>
      <c r="O18" s="49" t="n">
        <f aca="false">Assumptions!$C$53</f>
        <v>0.2</v>
      </c>
      <c r="P18" s="49" t="n">
        <f aca="false">Assumptions!$C$53</f>
        <v>0.2</v>
      </c>
      <c r="Q18" s="49" t="n">
        <f aca="false">Assumptions!$C$53</f>
        <v>0.2</v>
      </c>
      <c r="R18" s="49" t="n">
        <f aca="false">Assumptions!$C$53</f>
        <v>0.2</v>
      </c>
      <c r="S18" s="49" t="n">
        <f aca="false">Assumptions!$C$53</f>
        <v>0.2</v>
      </c>
      <c r="T18" s="49" t="n">
        <f aca="false">Assumptions!$C$53</f>
        <v>0.2</v>
      </c>
      <c r="U18" s="49" t="n">
        <f aca="false">Assumptions!$C$53</f>
        <v>0.2</v>
      </c>
      <c r="V18" s="49" t="n">
        <f aca="false">Assumptions!$C$53</f>
        <v>0.2</v>
      </c>
      <c r="W18" s="49" t="n">
        <f aca="false">Assumptions!$C$53</f>
        <v>0.2</v>
      </c>
      <c r="X18" s="49" t="n">
        <f aca="false">Assumptions!$C$53</f>
        <v>0.2</v>
      </c>
      <c r="Y18" s="49" t="n">
        <f aca="false">Assumptions!$C$53</f>
        <v>0.2</v>
      </c>
      <c r="Z18" s="49" t="n">
        <f aca="false">Assumptions!$C$53</f>
        <v>0.2</v>
      </c>
      <c r="AA18" s="49" t="n">
        <f aca="false">Assumptions!$C$53</f>
        <v>0.2</v>
      </c>
      <c r="AB18" s="49" t="n">
        <f aca="false">Assumptions!$C$53</f>
        <v>0.2</v>
      </c>
      <c r="AC18" s="49" t="n">
        <f aca="false">Assumptions!$C$53</f>
        <v>0.2</v>
      </c>
      <c r="AD18" s="49" t="n">
        <f aca="false">Assumptions!$C$53</f>
        <v>0.2</v>
      </c>
      <c r="AE18" s="49" t="n">
        <f aca="false">Assumptions!$C$53</f>
        <v>0.2</v>
      </c>
      <c r="AF18" s="49" t="n">
        <f aca="false">Assumptions!$C$53</f>
        <v>0.2</v>
      </c>
    </row>
    <row r="19" customFormat="false" ht="15" hidden="false" customHeight="true" outlineLevel="0" collapsed="false">
      <c r="B19" s="6" t="s">
        <v>211</v>
      </c>
      <c r="C19" s="49" t="n">
        <f aca="false">Assumptions!$C$54</f>
        <v>0.4</v>
      </c>
      <c r="D19" s="49" t="n">
        <f aca="false">Assumptions!$C$54</f>
        <v>0.4</v>
      </c>
      <c r="E19" s="49" t="n">
        <f aca="false">Assumptions!$C$54</f>
        <v>0.4</v>
      </c>
      <c r="F19" s="49" t="n">
        <f aca="false">Assumptions!$C$54</f>
        <v>0.4</v>
      </c>
      <c r="G19" s="49" t="n">
        <f aca="false">Assumptions!$C$54</f>
        <v>0.4</v>
      </c>
      <c r="H19" s="49" t="n">
        <f aca="false">Assumptions!$C$54</f>
        <v>0.4</v>
      </c>
      <c r="I19" s="49" t="n">
        <f aca="false">Assumptions!$C$54</f>
        <v>0.4</v>
      </c>
      <c r="J19" s="49" t="n">
        <f aca="false">Assumptions!$C$54</f>
        <v>0.4</v>
      </c>
      <c r="K19" s="49" t="n">
        <f aca="false">Assumptions!$C$54</f>
        <v>0.4</v>
      </c>
      <c r="L19" s="49" t="n">
        <f aca="false">Assumptions!$C$54</f>
        <v>0.4</v>
      </c>
      <c r="M19" s="49" t="n">
        <f aca="false">Assumptions!$C$54</f>
        <v>0.4</v>
      </c>
      <c r="N19" s="49" t="n">
        <f aca="false">Assumptions!$C$54</f>
        <v>0.4</v>
      </c>
      <c r="O19" s="49" t="n">
        <f aca="false">Assumptions!$C$54</f>
        <v>0.4</v>
      </c>
      <c r="P19" s="49" t="n">
        <f aca="false">Assumptions!$C$54</f>
        <v>0.4</v>
      </c>
      <c r="Q19" s="49" t="n">
        <f aca="false">Assumptions!$C$54</f>
        <v>0.4</v>
      </c>
      <c r="R19" s="49" t="n">
        <f aca="false">Assumptions!$C$54</f>
        <v>0.4</v>
      </c>
      <c r="S19" s="49" t="n">
        <f aca="false">Assumptions!$C$54</f>
        <v>0.4</v>
      </c>
      <c r="T19" s="49" t="n">
        <f aca="false">Assumptions!$C$54</f>
        <v>0.4</v>
      </c>
      <c r="U19" s="49" t="n">
        <f aca="false">Assumptions!$C$54</f>
        <v>0.4</v>
      </c>
      <c r="V19" s="49" t="n">
        <f aca="false">Assumptions!$C$54</f>
        <v>0.4</v>
      </c>
      <c r="W19" s="49" t="n">
        <f aca="false">Assumptions!$C$54</f>
        <v>0.4</v>
      </c>
      <c r="X19" s="49" t="n">
        <f aca="false">Assumptions!$C$54</f>
        <v>0.4</v>
      </c>
      <c r="Y19" s="49" t="n">
        <f aca="false">Assumptions!$C$54</f>
        <v>0.4</v>
      </c>
      <c r="Z19" s="49" t="n">
        <f aca="false">Assumptions!$C$54</f>
        <v>0.4</v>
      </c>
      <c r="AA19" s="49" t="n">
        <f aca="false">Assumptions!$C$54</f>
        <v>0.4</v>
      </c>
      <c r="AB19" s="49" t="n">
        <f aca="false">Assumptions!$C$54</f>
        <v>0.4</v>
      </c>
      <c r="AC19" s="49" t="n">
        <f aca="false">Assumptions!$C$54</f>
        <v>0.4</v>
      </c>
      <c r="AD19" s="49" t="n">
        <f aca="false">Assumptions!$C$54</f>
        <v>0.4</v>
      </c>
      <c r="AE19" s="49" t="n">
        <f aca="false">Assumptions!$C$54</f>
        <v>0.4</v>
      </c>
      <c r="AF19" s="49" t="n">
        <f aca="false">Assumptions!$C$54</f>
        <v>0.4</v>
      </c>
    </row>
    <row r="20" customFormat="false" ht="15" hidden="false" customHeight="true" outlineLevel="0" collapsed="false">
      <c r="B20" s="6" t="s">
        <v>212</v>
      </c>
      <c r="C20" s="49" t="n">
        <f aca="false">Assumptions!$C$55</f>
        <v>0.45</v>
      </c>
      <c r="D20" s="49" t="n">
        <f aca="false">Assumptions!$C$55</f>
        <v>0.45</v>
      </c>
      <c r="E20" s="49" t="n">
        <f aca="false">Assumptions!$C$55</f>
        <v>0.45</v>
      </c>
      <c r="F20" s="49" t="n">
        <f aca="false">Assumptions!$C$55</f>
        <v>0.45</v>
      </c>
      <c r="G20" s="49" t="n">
        <f aca="false">Assumptions!$C$55</f>
        <v>0.45</v>
      </c>
      <c r="H20" s="49" t="n">
        <f aca="false">Assumptions!$C$55</f>
        <v>0.45</v>
      </c>
      <c r="I20" s="49" t="n">
        <f aca="false">Assumptions!$C$55</f>
        <v>0.45</v>
      </c>
      <c r="J20" s="49" t="n">
        <f aca="false">Assumptions!$C$55</f>
        <v>0.45</v>
      </c>
      <c r="K20" s="49" t="n">
        <f aca="false">Assumptions!$C$55</f>
        <v>0.45</v>
      </c>
      <c r="L20" s="49" t="n">
        <f aca="false">Assumptions!$C$55</f>
        <v>0.45</v>
      </c>
      <c r="M20" s="49" t="n">
        <f aca="false">Assumptions!$C$55</f>
        <v>0.45</v>
      </c>
      <c r="N20" s="49" t="n">
        <f aca="false">Assumptions!$C$55</f>
        <v>0.45</v>
      </c>
      <c r="O20" s="49" t="n">
        <f aca="false">Assumptions!$C$55</f>
        <v>0.45</v>
      </c>
      <c r="P20" s="49" t="n">
        <f aca="false">Assumptions!$C$55</f>
        <v>0.45</v>
      </c>
      <c r="Q20" s="49" t="n">
        <f aca="false">Assumptions!$C$55</f>
        <v>0.45</v>
      </c>
      <c r="R20" s="49" t="n">
        <f aca="false">Assumptions!$C$55</f>
        <v>0.45</v>
      </c>
      <c r="S20" s="49" t="n">
        <f aca="false">Assumptions!$C$55</f>
        <v>0.45</v>
      </c>
      <c r="T20" s="49" t="n">
        <f aca="false">Assumptions!$C$55</f>
        <v>0.45</v>
      </c>
      <c r="U20" s="49" t="n">
        <f aca="false">Assumptions!$C$55</f>
        <v>0.45</v>
      </c>
      <c r="V20" s="49" t="n">
        <f aca="false">Assumptions!$C$55</f>
        <v>0.45</v>
      </c>
      <c r="W20" s="49" t="n">
        <f aca="false">Assumptions!$C$55</f>
        <v>0.45</v>
      </c>
      <c r="X20" s="49" t="n">
        <f aca="false">Assumptions!$C$55</f>
        <v>0.45</v>
      </c>
      <c r="Y20" s="49" t="n">
        <f aca="false">Assumptions!$C$55</f>
        <v>0.45</v>
      </c>
      <c r="Z20" s="49" t="n">
        <f aca="false">Assumptions!$C$55</f>
        <v>0.45</v>
      </c>
      <c r="AA20" s="49" t="n">
        <f aca="false">Assumptions!$C$55</f>
        <v>0.45</v>
      </c>
      <c r="AB20" s="49" t="n">
        <f aca="false">Assumptions!$C$55</f>
        <v>0.45</v>
      </c>
      <c r="AC20" s="49" t="n">
        <f aca="false">Assumptions!$C$55</f>
        <v>0.45</v>
      </c>
      <c r="AD20" s="49" t="n">
        <f aca="false">Assumptions!$C$55</f>
        <v>0.45</v>
      </c>
      <c r="AE20" s="49" t="n">
        <f aca="false">Assumptions!$C$55</f>
        <v>0.45</v>
      </c>
      <c r="AF20" s="49" t="n">
        <f aca="false">Assumptions!$C$55</f>
        <v>0.45</v>
      </c>
    </row>
    <row r="21" customFormat="false" ht="15" hidden="false" customHeight="true" outlineLevel="0" collapsed="false">
      <c r="B21" s="6" t="s">
        <v>312</v>
      </c>
      <c r="C21" s="49" t="n">
        <f aca="false">Assumptions!$C$58</f>
        <v>0.08</v>
      </c>
      <c r="D21" s="49" t="n">
        <f aca="false">Assumptions!$C$58</f>
        <v>0.08</v>
      </c>
      <c r="E21" s="49" t="n">
        <f aca="false">Assumptions!$C$58</f>
        <v>0.08</v>
      </c>
      <c r="F21" s="49" t="n">
        <f aca="false">Assumptions!$C$58</f>
        <v>0.08</v>
      </c>
      <c r="G21" s="49" t="n">
        <f aca="false">Assumptions!$C$58</f>
        <v>0.08</v>
      </c>
      <c r="H21" s="49" t="n">
        <f aca="false">Assumptions!$C$58</f>
        <v>0.08</v>
      </c>
      <c r="I21" s="49" t="n">
        <f aca="false">Assumptions!$C$58</f>
        <v>0.08</v>
      </c>
      <c r="J21" s="49" t="n">
        <f aca="false">Assumptions!$C$58</f>
        <v>0.08</v>
      </c>
      <c r="K21" s="49" t="n">
        <f aca="false">Assumptions!$C$58</f>
        <v>0.08</v>
      </c>
      <c r="L21" s="49" t="n">
        <f aca="false">Assumptions!$C$58</f>
        <v>0.08</v>
      </c>
      <c r="M21" s="49" t="n">
        <f aca="false">Assumptions!$C$58</f>
        <v>0.08</v>
      </c>
      <c r="N21" s="49" t="n">
        <f aca="false">Assumptions!$C$58</f>
        <v>0.08</v>
      </c>
      <c r="O21" s="49" t="n">
        <f aca="false">Assumptions!$C$58</f>
        <v>0.08</v>
      </c>
      <c r="P21" s="49" t="n">
        <f aca="false">Assumptions!$C$58</f>
        <v>0.08</v>
      </c>
      <c r="Q21" s="49" t="n">
        <f aca="false">Assumptions!$C$58</f>
        <v>0.08</v>
      </c>
      <c r="R21" s="49" t="n">
        <f aca="false">Assumptions!$C$58</f>
        <v>0.08</v>
      </c>
      <c r="S21" s="49" t="n">
        <f aca="false">Assumptions!$C$58</f>
        <v>0.08</v>
      </c>
      <c r="T21" s="49" t="n">
        <f aca="false">Assumptions!$C$58</f>
        <v>0.08</v>
      </c>
      <c r="U21" s="49" t="n">
        <f aca="false">Assumptions!$C$58</f>
        <v>0.08</v>
      </c>
      <c r="V21" s="49" t="n">
        <f aca="false">Assumptions!$C$58</f>
        <v>0.08</v>
      </c>
      <c r="W21" s="49" t="n">
        <f aca="false">Assumptions!$C$58</f>
        <v>0.08</v>
      </c>
      <c r="X21" s="49" t="n">
        <f aca="false">Assumptions!$C$58</f>
        <v>0.08</v>
      </c>
      <c r="Y21" s="49" t="n">
        <f aca="false">Assumptions!$C$58</f>
        <v>0.08</v>
      </c>
      <c r="Z21" s="49" t="n">
        <f aca="false">Assumptions!$C$58</f>
        <v>0.08</v>
      </c>
      <c r="AA21" s="49" t="n">
        <f aca="false">Assumptions!$C$58</f>
        <v>0.08</v>
      </c>
      <c r="AB21" s="49" t="n">
        <f aca="false">Assumptions!$C$58</f>
        <v>0.08</v>
      </c>
      <c r="AC21" s="49" t="n">
        <f aca="false">Assumptions!$C$58</f>
        <v>0.08</v>
      </c>
      <c r="AD21" s="49" t="n">
        <f aca="false">Assumptions!$C$58</f>
        <v>0.08</v>
      </c>
      <c r="AE21" s="49" t="n">
        <f aca="false">Assumptions!$C$58</f>
        <v>0.08</v>
      </c>
      <c r="AF21" s="49" t="n">
        <f aca="false">Assumptions!$C$58</f>
        <v>0.08</v>
      </c>
    </row>
    <row r="22" customFormat="false" ht="15" hidden="false" customHeight="true" outlineLevel="0" collapsed="false">
      <c r="B22" s="6" t="s">
        <v>313</v>
      </c>
      <c r="C22" s="49" t="n">
        <f aca="false">Assumptions!$C$59</f>
        <v>0.02</v>
      </c>
      <c r="D22" s="49" t="n">
        <f aca="false">Assumptions!$C$59</f>
        <v>0.02</v>
      </c>
      <c r="E22" s="49" t="n">
        <f aca="false">Assumptions!$C$59</f>
        <v>0.02</v>
      </c>
      <c r="F22" s="49" t="n">
        <f aca="false">Assumptions!$C$59</f>
        <v>0.02</v>
      </c>
      <c r="G22" s="49" t="n">
        <f aca="false">Assumptions!$C$59</f>
        <v>0.02</v>
      </c>
      <c r="H22" s="49" t="n">
        <f aca="false">Assumptions!$C$59</f>
        <v>0.02</v>
      </c>
      <c r="I22" s="49" t="n">
        <f aca="false">Assumptions!$C$59</f>
        <v>0.02</v>
      </c>
      <c r="J22" s="49" t="n">
        <f aca="false">Assumptions!$C$59</f>
        <v>0.02</v>
      </c>
      <c r="K22" s="49" t="n">
        <f aca="false">Assumptions!$C$59</f>
        <v>0.02</v>
      </c>
      <c r="L22" s="49" t="n">
        <f aca="false">Assumptions!$C$59</f>
        <v>0.02</v>
      </c>
      <c r="M22" s="49" t="n">
        <f aca="false">Assumptions!$C$59</f>
        <v>0.02</v>
      </c>
      <c r="N22" s="49" t="n">
        <f aca="false">Assumptions!$C$59</f>
        <v>0.02</v>
      </c>
      <c r="O22" s="49" t="n">
        <f aca="false">Assumptions!$C$59</f>
        <v>0.02</v>
      </c>
      <c r="P22" s="49" t="n">
        <f aca="false">Assumptions!$C$59</f>
        <v>0.02</v>
      </c>
      <c r="Q22" s="49" t="n">
        <f aca="false">Assumptions!$C$59</f>
        <v>0.02</v>
      </c>
      <c r="R22" s="49" t="n">
        <f aca="false">Assumptions!$C$59</f>
        <v>0.02</v>
      </c>
      <c r="S22" s="49" t="n">
        <f aca="false">Assumptions!$C$59</f>
        <v>0.02</v>
      </c>
      <c r="T22" s="49" t="n">
        <f aca="false">Assumptions!$C$59</f>
        <v>0.02</v>
      </c>
      <c r="U22" s="49" t="n">
        <f aca="false">Assumptions!$C$59</f>
        <v>0.02</v>
      </c>
      <c r="V22" s="49" t="n">
        <f aca="false">Assumptions!$C$59</f>
        <v>0.02</v>
      </c>
      <c r="W22" s="49" t="n">
        <f aca="false">Assumptions!$C$59</f>
        <v>0.02</v>
      </c>
      <c r="X22" s="49" t="n">
        <f aca="false">Assumptions!$C$59</f>
        <v>0.02</v>
      </c>
      <c r="Y22" s="49" t="n">
        <f aca="false">Assumptions!$C$59</f>
        <v>0.02</v>
      </c>
      <c r="Z22" s="49" t="n">
        <f aca="false">Assumptions!$C$59</f>
        <v>0.02</v>
      </c>
      <c r="AA22" s="49" t="n">
        <f aca="false">Assumptions!$C$59</f>
        <v>0.02</v>
      </c>
      <c r="AB22" s="49" t="n">
        <f aca="false">Assumptions!$C$59</f>
        <v>0.02</v>
      </c>
      <c r="AC22" s="49" t="n">
        <f aca="false">Assumptions!$C$59</f>
        <v>0.02</v>
      </c>
      <c r="AD22" s="49" t="n">
        <f aca="false">Assumptions!$C$59</f>
        <v>0.02</v>
      </c>
      <c r="AE22" s="49" t="n">
        <f aca="false">Assumptions!$C$59</f>
        <v>0.02</v>
      </c>
      <c r="AF22" s="49" t="n">
        <f aca="false">Assumptions!$C$59</f>
        <v>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314</v>
      </c>
    </row>
    <row r="2" customFormat="false" ht="15" hidden="false" customHeight="true" outlineLevel="0" collapsed="false">
      <c r="A2" s="29" t="s">
        <v>315</v>
      </c>
    </row>
    <row r="4" customFormat="false" ht="15" hidden="false" customHeight="true" outlineLevel="0" collapsed="false">
      <c r="A4" s="30" t="s">
        <v>316</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317</v>
      </c>
      <c r="C6" s="50" t="n">
        <f aca="false">Assumptions!C$12</f>
        <v>35</v>
      </c>
      <c r="D6" s="50" t="n">
        <f aca="false">Assumptions!D$12</f>
        <v>36</v>
      </c>
      <c r="E6" s="50" t="n">
        <f aca="false">Assumptions!E$12</f>
        <v>37</v>
      </c>
      <c r="F6" s="50" t="n">
        <f aca="false">Assumptions!F$12</f>
        <v>38</v>
      </c>
      <c r="G6" s="50" t="n">
        <f aca="false">Assumptions!G$12</f>
        <v>39</v>
      </c>
      <c r="H6" s="50" t="n">
        <f aca="false">Assumptions!H$12</f>
        <v>40</v>
      </c>
      <c r="I6" s="50" t="n">
        <f aca="false">Assumptions!I$12</f>
        <v>41</v>
      </c>
      <c r="J6" s="50" t="n">
        <f aca="false">Assumptions!J$12</f>
        <v>42</v>
      </c>
      <c r="K6" s="50" t="n">
        <f aca="false">Assumptions!K$12</f>
        <v>43</v>
      </c>
      <c r="L6" s="50" t="n">
        <f aca="false">Assumptions!L$12</f>
        <v>44</v>
      </c>
      <c r="M6" s="50" t="n">
        <f aca="false">Assumptions!M$12</f>
        <v>45</v>
      </c>
      <c r="N6" s="50" t="n">
        <f aca="false">Assumptions!N$12</f>
        <v>46</v>
      </c>
      <c r="O6" s="50" t="n">
        <f aca="false">Assumptions!O$12</f>
        <v>47</v>
      </c>
      <c r="P6" s="50" t="n">
        <f aca="false">Assumptions!P$12</f>
        <v>48</v>
      </c>
      <c r="Q6" s="50" t="n">
        <f aca="false">Assumptions!Q$12</f>
        <v>49</v>
      </c>
      <c r="R6" s="50" t="n">
        <f aca="false">Assumptions!R$12</f>
        <v>50</v>
      </c>
      <c r="S6" s="50" t="n">
        <f aca="false">Assumptions!S$12</f>
        <v>51</v>
      </c>
      <c r="T6" s="50" t="n">
        <f aca="false">Assumptions!T$12</f>
        <v>52</v>
      </c>
      <c r="U6" s="50" t="n">
        <f aca="false">Assumptions!U$12</f>
        <v>53</v>
      </c>
      <c r="V6" s="50" t="n">
        <f aca="false">Assumptions!V$12</f>
        <v>54</v>
      </c>
      <c r="W6" s="50" t="n">
        <f aca="false">Assumptions!W$12</f>
        <v>55</v>
      </c>
      <c r="X6" s="50" t="n">
        <f aca="false">Assumptions!X$12</f>
        <v>56</v>
      </c>
      <c r="Y6" s="50" t="n">
        <f aca="false">Assumptions!Y$12</f>
        <v>57</v>
      </c>
      <c r="Z6" s="50" t="n">
        <f aca="false">Assumptions!Z$12</f>
        <v>58</v>
      </c>
      <c r="AA6" s="50" t="n">
        <f aca="false">Assumptions!AA$12</f>
        <v>59</v>
      </c>
      <c r="AB6" s="50" t="n">
        <f aca="false">Assumptions!AB$12</f>
        <v>60</v>
      </c>
      <c r="AC6" s="50" t="n">
        <f aca="false">Assumptions!AC$12</f>
        <v>61</v>
      </c>
      <c r="AD6" s="50" t="n">
        <f aca="false">Assumptions!AD$12</f>
        <v>62</v>
      </c>
      <c r="AE6" s="50" t="n">
        <f aca="false">Assumptions!AE$12</f>
        <v>63</v>
      </c>
      <c r="AF6" s="50" t="n">
        <f aca="false">Assumptions!AF$12</f>
        <v>64</v>
      </c>
    </row>
    <row r="7" customFormat="false" ht="15" hidden="false" customHeight="true" outlineLevel="0" collapsed="false">
      <c r="B7" s="6" t="s">
        <v>318</v>
      </c>
      <c r="C7" s="50" t="n">
        <f aca="false">Assumptions!C$13</f>
        <v>44</v>
      </c>
      <c r="D7" s="50" t="n">
        <f aca="false">Assumptions!D$13</f>
        <v>45</v>
      </c>
      <c r="E7" s="50" t="n">
        <f aca="false">Assumptions!E$13</f>
        <v>46</v>
      </c>
      <c r="F7" s="50" t="n">
        <f aca="false">Assumptions!F$13</f>
        <v>47</v>
      </c>
      <c r="G7" s="50" t="n">
        <f aca="false">Assumptions!G$13</f>
        <v>48</v>
      </c>
      <c r="H7" s="50" t="n">
        <f aca="false">Assumptions!H$13</f>
        <v>49</v>
      </c>
      <c r="I7" s="50" t="n">
        <f aca="false">Assumptions!I$13</f>
        <v>50</v>
      </c>
      <c r="J7" s="50" t="n">
        <f aca="false">Assumptions!J$13</f>
        <v>51</v>
      </c>
      <c r="K7" s="50" t="n">
        <f aca="false">Assumptions!K$13</f>
        <v>52</v>
      </c>
      <c r="L7" s="50" t="n">
        <f aca="false">Assumptions!L$13</f>
        <v>53</v>
      </c>
      <c r="M7" s="50" t="n">
        <f aca="false">Assumptions!M$13</f>
        <v>54</v>
      </c>
      <c r="N7" s="50" t="n">
        <f aca="false">Assumptions!N$13</f>
        <v>55</v>
      </c>
      <c r="O7" s="50" t="n">
        <f aca="false">Assumptions!O$13</f>
        <v>56</v>
      </c>
      <c r="P7" s="50" t="n">
        <f aca="false">Assumptions!P$13</f>
        <v>57</v>
      </c>
      <c r="Q7" s="50" t="n">
        <f aca="false">Assumptions!Q$13</f>
        <v>58</v>
      </c>
      <c r="R7" s="50" t="n">
        <f aca="false">Assumptions!R$13</f>
        <v>59</v>
      </c>
      <c r="S7" s="50" t="n">
        <f aca="false">Assumptions!S$13</f>
        <v>60</v>
      </c>
      <c r="T7" s="50" t="n">
        <f aca="false">Assumptions!T$13</f>
        <v>61</v>
      </c>
      <c r="U7" s="50" t="n">
        <f aca="false">Assumptions!U$13</f>
        <v>62</v>
      </c>
      <c r="V7" s="50" t="n">
        <f aca="false">Assumptions!V$13</f>
        <v>63</v>
      </c>
      <c r="W7" s="50" t="n">
        <f aca="false">Assumptions!W$13</f>
        <v>64</v>
      </c>
      <c r="X7" s="50" t="n">
        <f aca="false">Assumptions!X$13</f>
        <v>65</v>
      </c>
      <c r="Y7" s="50" t="n">
        <f aca="false">Assumptions!Y$13</f>
        <v>66</v>
      </c>
      <c r="Z7" s="50" t="n">
        <f aca="false">Assumptions!Z$13</f>
        <v>67</v>
      </c>
      <c r="AA7" s="50" t="n">
        <f aca="false">Assumptions!AA$13</f>
        <v>68</v>
      </c>
      <c r="AB7" s="50" t="n">
        <f aca="false">Assumptions!AB$13</f>
        <v>69</v>
      </c>
      <c r="AC7" s="50" t="n">
        <f aca="false">Assumptions!AC$13</f>
        <v>70</v>
      </c>
      <c r="AD7" s="50" t="n">
        <f aca="false">Assumptions!AD$13</f>
        <v>71</v>
      </c>
      <c r="AE7" s="50" t="n">
        <f aca="false">Assumptions!AE$13</f>
        <v>72</v>
      </c>
      <c r="AF7" s="50" t="n">
        <f aca="false">Assumptions!AF$13</f>
        <v>73</v>
      </c>
    </row>
    <row r="8" customFormat="false" ht="15" hidden="false" customHeight="true" outlineLevel="0" collapsed="false">
      <c r="B8" s="6" t="s">
        <v>319</v>
      </c>
      <c r="C8" s="51" t="n">
        <f aca="false">Assumptions!C$14</f>
        <v>39.5</v>
      </c>
      <c r="D8" s="51" t="n">
        <f aca="false">Assumptions!D$14</f>
        <v>40.5</v>
      </c>
      <c r="E8" s="51" t="n">
        <f aca="false">Assumptions!E$14</f>
        <v>41.5</v>
      </c>
      <c r="F8" s="51" t="n">
        <f aca="false">Assumptions!F$14</f>
        <v>42.5</v>
      </c>
      <c r="G8" s="51" t="n">
        <f aca="false">Assumptions!G$14</f>
        <v>43.5</v>
      </c>
      <c r="H8" s="51" t="n">
        <f aca="false">Assumptions!H$14</f>
        <v>44.5</v>
      </c>
      <c r="I8" s="51" t="n">
        <f aca="false">Assumptions!I$14</f>
        <v>45.5</v>
      </c>
      <c r="J8" s="51" t="n">
        <f aca="false">Assumptions!J$14</f>
        <v>46.5</v>
      </c>
      <c r="K8" s="51" t="n">
        <f aca="false">Assumptions!K$14</f>
        <v>47.5</v>
      </c>
      <c r="L8" s="51" t="n">
        <f aca="false">Assumptions!L$14</f>
        <v>48.5</v>
      </c>
      <c r="M8" s="51" t="n">
        <f aca="false">Assumptions!M$14</f>
        <v>49.5</v>
      </c>
      <c r="N8" s="51" t="n">
        <f aca="false">Assumptions!N$14</f>
        <v>50.5</v>
      </c>
      <c r="O8" s="51" t="n">
        <f aca="false">Assumptions!O$14</f>
        <v>51.5</v>
      </c>
      <c r="P8" s="51" t="n">
        <f aca="false">Assumptions!P$14</f>
        <v>52.5</v>
      </c>
      <c r="Q8" s="51" t="n">
        <f aca="false">Assumptions!Q$14</f>
        <v>53.5</v>
      </c>
      <c r="R8" s="51" t="n">
        <f aca="false">Assumptions!R$14</f>
        <v>54.5</v>
      </c>
      <c r="S8" s="51" t="n">
        <f aca="false">Assumptions!S$14</f>
        <v>55.5</v>
      </c>
      <c r="T8" s="51" t="n">
        <f aca="false">Assumptions!T$14</f>
        <v>56.5</v>
      </c>
      <c r="U8" s="51" t="n">
        <f aca="false">Assumptions!U$14</f>
        <v>57.5</v>
      </c>
      <c r="V8" s="51" t="n">
        <f aca="false">Assumptions!V$14</f>
        <v>58.5</v>
      </c>
      <c r="W8" s="51" t="n">
        <f aca="false">Assumptions!W$14</f>
        <v>59.5</v>
      </c>
      <c r="X8" s="51" t="n">
        <f aca="false">Assumptions!X$14</f>
        <v>60.5</v>
      </c>
      <c r="Y8" s="51" t="n">
        <f aca="false">Assumptions!Y$14</f>
        <v>61.5</v>
      </c>
      <c r="Z8" s="51" t="n">
        <f aca="false">Assumptions!Z$14</f>
        <v>62.5</v>
      </c>
      <c r="AA8" s="51" t="n">
        <f aca="false">Assumptions!AA$14</f>
        <v>63.5</v>
      </c>
      <c r="AB8" s="51" t="n">
        <f aca="false">Assumptions!AB$14</f>
        <v>64.5</v>
      </c>
      <c r="AC8" s="51" t="n">
        <f aca="false">Assumptions!AC$14</f>
        <v>65.5</v>
      </c>
      <c r="AD8" s="51" t="n">
        <f aca="false">Assumptions!AD$14</f>
        <v>66.5</v>
      </c>
      <c r="AE8" s="51" t="n">
        <f aca="false">Assumptions!AE$14</f>
        <v>67.5</v>
      </c>
      <c r="AF8" s="51" t="n">
        <f aca="false">Assumptions!AF$14</f>
        <v>68.5</v>
      </c>
    </row>
    <row r="9" customFormat="false" ht="15" hidden="false" customHeight="true" outlineLevel="0" collapsed="false">
      <c r="B9" s="16" t="s">
        <v>320</v>
      </c>
      <c r="C9" s="52" t="n">
        <f aca="false">IF(Assumptions!$C$39=1,MIN(Assumptions!$C$33,MAX(Assumptions!$C$35,Assumptions!$C$33-(Assumptions!$C$33-Assumptions!$C$35)*(C6-Assumptions!$C$34)/(Assumptions!$C$36-Assumptions!$C$34))),Assumptions!$C$33)</f>
        <v>0.08</v>
      </c>
      <c r="D9" s="52" t="n">
        <f aca="false">IF(Assumptions!$C$39=1,MIN(Assumptions!$C$33,MAX(Assumptions!$C$35,Assumptions!$C$33-(Assumptions!$C$33-Assumptions!$C$35)*(D6-Assumptions!$C$34)/(Assumptions!$C$36-Assumptions!$C$34))),Assumptions!$C$33)</f>
        <v>0.08</v>
      </c>
      <c r="E9" s="52" t="n">
        <f aca="false">IF(Assumptions!$C$39=1,MIN(Assumptions!$C$33,MAX(Assumptions!$C$35,Assumptions!$C$33-(Assumptions!$C$33-Assumptions!$C$35)*(E6-Assumptions!$C$34)/(Assumptions!$C$36-Assumptions!$C$34))),Assumptions!$C$33)</f>
        <v>0.08</v>
      </c>
      <c r="F9" s="52" t="n">
        <f aca="false">IF(Assumptions!$C$39=1,MIN(Assumptions!$C$33,MAX(Assumptions!$C$35,Assumptions!$C$33-(Assumptions!$C$33-Assumptions!$C$35)*(F6-Assumptions!$C$34)/(Assumptions!$C$36-Assumptions!$C$34))),Assumptions!$C$33)</f>
        <v>0.08</v>
      </c>
      <c r="G9" s="52" t="n">
        <f aca="false">IF(Assumptions!$C$39=1,MIN(Assumptions!$C$33,MAX(Assumptions!$C$35,Assumptions!$C$33-(Assumptions!$C$33-Assumptions!$C$35)*(G6-Assumptions!$C$34)/(Assumptions!$C$36-Assumptions!$C$34))),Assumptions!$C$33)</f>
        <v>0.08</v>
      </c>
      <c r="H9" s="52" t="n">
        <f aca="false">IF(Assumptions!$C$39=1,MIN(Assumptions!$C$33,MAX(Assumptions!$C$35,Assumptions!$C$33-(Assumptions!$C$33-Assumptions!$C$35)*(H6-Assumptions!$C$34)/(Assumptions!$C$36-Assumptions!$C$34))),Assumptions!$C$33)</f>
        <v>0.08</v>
      </c>
      <c r="I9" s="52" t="n">
        <f aca="false">IF(Assumptions!$C$39=1,MIN(Assumptions!$C$33,MAX(Assumptions!$C$35,Assumptions!$C$33-(Assumptions!$C$33-Assumptions!$C$35)*(I6-Assumptions!$C$34)/(Assumptions!$C$36-Assumptions!$C$34))),Assumptions!$C$33)</f>
        <v>0.08</v>
      </c>
      <c r="J9" s="52" t="n">
        <f aca="false">IF(Assumptions!$C$39=1,MIN(Assumptions!$C$33,MAX(Assumptions!$C$35,Assumptions!$C$33-(Assumptions!$C$33-Assumptions!$C$35)*(J6-Assumptions!$C$34)/(Assumptions!$C$36-Assumptions!$C$34))),Assumptions!$C$33)</f>
        <v>0.08</v>
      </c>
      <c r="K9" s="52" t="n">
        <f aca="false">IF(Assumptions!$C$39=1,MIN(Assumptions!$C$33,MAX(Assumptions!$C$35,Assumptions!$C$33-(Assumptions!$C$33-Assumptions!$C$35)*(K6-Assumptions!$C$34)/(Assumptions!$C$36-Assumptions!$C$34))),Assumptions!$C$33)</f>
        <v>0.08</v>
      </c>
      <c r="L9" s="52" t="n">
        <f aca="false">IF(Assumptions!$C$39=1,MIN(Assumptions!$C$33,MAX(Assumptions!$C$35,Assumptions!$C$33-(Assumptions!$C$33-Assumptions!$C$35)*(L6-Assumptions!$C$34)/(Assumptions!$C$36-Assumptions!$C$34))),Assumptions!$C$33)</f>
        <v>0.08</v>
      </c>
      <c r="M9" s="52" t="n">
        <f aca="false">IF(Assumptions!$C$39=1,MIN(Assumptions!$C$33,MAX(Assumptions!$C$35,Assumptions!$C$33-(Assumptions!$C$33-Assumptions!$C$35)*(M6-Assumptions!$C$34)/(Assumptions!$C$36-Assumptions!$C$34))),Assumptions!$C$33)</f>
        <v>0.08</v>
      </c>
      <c r="N9" s="52" t="n">
        <f aca="false">IF(Assumptions!$C$39=1,MIN(Assumptions!$C$33,MAX(Assumptions!$C$35,Assumptions!$C$33-(Assumptions!$C$33-Assumptions!$C$35)*(N6-Assumptions!$C$34)/(Assumptions!$C$36-Assumptions!$C$34))),Assumptions!$C$33)</f>
        <v>0.08</v>
      </c>
      <c r="O9" s="52" t="n">
        <f aca="false">IF(Assumptions!$C$39=1,MIN(Assumptions!$C$33,MAX(Assumptions!$C$35,Assumptions!$C$33-(Assumptions!$C$33-Assumptions!$C$35)*(O6-Assumptions!$C$34)/(Assumptions!$C$36-Assumptions!$C$34))),Assumptions!$C$33)</f>
        <v>0.08</v>
      </c>
      <c r="P9" s="52" t="n">
        <f aca="false">IF(Assumptions!$C$39=1,MIN(Assumptions!$C$33,MAX(Assumptions!$C$35,Assumptions!$C$33-(Assumptions!$C$33-Assumptions!$C$35)*(P6-Assumptions!$C$34)/(Assumptions!$C$36-Assumptions!$C$34))),Assumptions!$C$33)</f>
        <v>0.08</v>
      </c>
      <c r="Q9" s="52" t="n">
        <f aca="false">IF(Assumptions!$C$39=1,MIN(Assumptions!$C$33,MAX(Assumptions!$C$35,Assumptions!$C$33-(Assumptions!$C$33-Assumptions!$C$35)*(Q6-Assumptions!$C$34)/(Assumptions!$C$36-Assumptions!$C$34))),Assumptions!$C$33)</f>
        <v>0.08</v>
      </c>
      <c r="R9" s="52" t="n">
        <f aca="false">IF(Assumptions!$C$39=1,MIN(Assumptions!$C$33,MAX(Assumptions!$C$35,Assumptions!$C$33-(Assumptions!$C$33-Assumptions!$C$35)*(R6-Assumptions!$C$34)/(Assumptions!$C$36-Assumptions!$C$34))),Assumptions!$C$33)</f>
        <v>0.08</v>
      </c>
      <c r="S9" s="52" t="n">
        <f aca="false">IF(Assumptions!$C$39=1,MIN(Assumptions!$C$33,MAX(Assumptions!$C$35,Assumptions!$C$33-(Assumptions!$C$33-Assumptions!$C$35)*(S6-Assumptions!$C$34)/(Assumptions!$C$36-Assumptions!$C$34))),Assumptions!$C$33)</f>
        <v>0.077</v>
      </c>
      <c r="T9" s="52" t="n">
        <f aca="false">IF(Assumptions!$C$39=1,MIN(Assumptions!$C$33,MAX(Assumptions!$C$35,Assumptions!$C$33-(Assumptions!$C$33-Assumptions!$C$35)*(T6-Assumptions!$C$34)/(Assumptions!$C$36-Assumptions!$C$34))),Assumptions!$C$33)</f>
        <v>0.074</v>
      </c>
      <c r="U9" s="52" t="n">
        <f aca="false">IF(Assumptions!$C$39=1,MIN(Assumptions!$C$33,MAX(Assumptions!$C$35,Assumptions!$C$33-(Assumptions!$C$33-Assumptions!$C$35)*(U6-Assumptions!$C$34)/(Assumptions!$C$36-Assumptions!$C$34))),Assumptions!$C$33)</f>
        <v>0.071</v>
      </c>
      <c r="V9" s="52" t="n">
        <f aca="false">IF(Assumptions!$C$39=1,MIN(Assumptions!$C$33,MAX(Assumptions!$C$35,Assumptions!$C$33-(Assumptions!$C$33-Assumptions!$C$35)*(V6-Assumptions!$C$34)/(Assumptions!$C$36-Assumptions!$C$34))),Assumptions!$C$33)</f>
        <v>0.068</v>
      </c>
      <c r="W9" s="52" t="n">
        <f aca="false">IF(Assumptions!$C$39=1,MIN(Assumptions!$C$33,MAX(Assumptions!$C$35,Assumptions!$C$33-(Assumptions!$C$33-Assumptions!$C$35)*(W6-Assumptions!$C$34)/(Assumptions!$C$36-Assumptions!$C$34))),Assumptions!$C$33)</f>
        <v>0.065</v>
      </c>
      <c r="X9" s="52" t="n">
        <f aca="false">IF(Assumptions!$C$39=1,MIN(Assumptions!$C$33,MAX(Assumptions!$C$35,Assumptions!$C$33-(Assumptions!$C$33-Assumptions!$C$35)*(X6-Assumptions!$C$34)/(Assumptions!$C$36-Assumptions!$C$34))),Assumptions!$C$33)</f>
        <v>0.062</v>
      </c>
      <c r="Y9" s="52" t="n">
        <f aca="false">IF(Assumptions!$C$39=1,MIN(Assumptions!$C$33,MAX(Assumptions!$C$35,Assumptions!$C$33-(Assumptions!$C$33-Assumptions!$C$35)*(Y6-Assumptions!$C$34)/(Assumptions!$C$36-Assumptions!$C$34))),Assumptions!$C$33)</f>
        <v>0.059</v>
      </c>
      <c r="Z9" s="52" t="n">
        <f aca="false">IF(Assumptions!$C$39=1,MIN(Assumptions!$C$33,MAX(Assumptions!$C$35,Assumptions!$C$33-(Assumptions!$C$33-Assumptions!$C$35)*(Z6-Assumptions!$C$34)/(Assumptions!$C$36-Assumptions!$C$34))),Assumptions!$C$33)</f>
        <v>0.056</v>
      </c>
      <c r="AA9" s="52" t="n">
        <f aca="false">IF(Assumptions!$C$39=1,MIN(Assumptions!$C$33,MAX(Assumptions!$C$35,Assumptions!$C$33-(Assumptions!$C$33-Assumptions!$C$35)*(AA6-Assumptions!$C$34)/(Assumptions!$C$36-Assumptions!$C$34))),Assumptions!$C$33)</f>
        <v>0.053</v>
      </c>
      <c r="AB9" s="52" t="n">
        <f aca="false">IF(Assumptions!$C$39=1,MIN(Assumptions!$C$33,MAX(Assumptions!$C$35,Assumptions!$C$33-(Assumptions!$C$33-Assumptions!$C$35)*(AB6-Assumptions!$C$34)/(Assumptions!$C$36-Assumptions!$C$34))),Assumptions!$C$33)</f>
        <v>0.05</v>
      </c>
      <c r="AC9" s="52" t="n">
        <f aca="false">IF(Assumptions!$C$39=1,MIN(Assumptions!$C$33,MAX(Assumptions!$C$35,Assumptions!$C$33-(Assumptions!$C$33-Assumptions!$C$35)*(AC6-Assumptions!$C$34)/(Assumptions!$C$36-Assumptions!$C$34))),Assumptions!$C$33)</f>
        <v>0.047</v>
      </c>
      <c r="AD9" s="52" t="n">
        <f aca="false">IF(Assumptions!$C$39=1,MIN(Assumptions!$C$33,MAX(Assumptions!$C$35,Assumptions!$C$33-(Assumptions!$C$33-Assumptions!$C$35)*(AD6-Assumptions!$C$34)/(Assumptions!$C$36-Assumptions!$C$34))),Assumptions!$C$33)</f>
        <v>0.044</v>
      </c>
      <c r="AE9" s="52" t="n">
        <f aca="false">IF(Assumptions!$C$39=1,MIN(Assumptions!$C$33,MAX(Assumptions!$C$35,Assumptions!$C$33-(Assumptions!$C$33-Assumptions!$C$35)*(AE6-Assumptions!$C$34)/(Assumptions!$C$36-Assumptions!$C$34))),Assumptions!$C$33)</f>
        <v>0.041</v>
      </c>
      <c r="AF9" s="52" t="n">
        <f aca="false">IF(Assumptions!$C$39=1,MIN(Assumptions!$C$33,MAX(Assumptions!$C$35,Assumptions!$C$33-(Assumptions!$C$33-Assumptions!$C$35)*(AF6-Assumptions!$C$34)/(Assumptions!$C$36-Assumptions!$C$34))),Assumptions!$C$33)</f>
        <v>0.038</v>
      </c>
    </row>
    <row r="10" customFormat="false" ht="15" hidden="false" customHeight="true" outlineLevel="0" collapsed="false">
      <c r="B10" s="16" t="s">
        <v>321</v>
      </c>
      <c r="C10" s="52" t="n">
        <f aca="false">IF(Assumptions!$C$39=1,MIN(Assumptions!$C$33,MAX(Assumptions!$C$35,Assumptions!$C$33-(Assumptions!$C$33-Assumptions!$C$35)*(C7-Assumptions!$C$34)/(Assumptions!$C$36-Assumptions!$C$34))),Assumptions!$C$33)</f>
        <v>0.08</v>
      </c>
      <c r="D10" s="52" t="n">
        <f aca="false">IF(Assumptions!$C$39=1,MIN(Assumptions!$C$33,MAX(Assumptions!$C$35,Assumptions!$C$33-(Assumptions!$C$33-Assumptions!$C$35)*(D7-Assumptions!$C$34)/(Assumptions!$C$36-Assumptions!$C$34))),Assumptions!$C$33)</f>
        <v>0.08</v>
      </c>
      <c r="E10" s="52" t="n">
        <f aca="false">IF(Assumptions!$C$39=1,MIN(Assumptions!$C$33,MAX(Assumptions!$C$35,Assumptions!$C$33-(Assumptions!$C$33-Assumptions!$C$35)*(E7-Assumptions!$C$34)/(Assumptions!$C$36-Assumptions!$C$34))),Assumptions!$C$33)</f>
        <v>0.08</v>
      </c>
      <c r="F10" s="52" t="n">
        <f aca="false">IF(Assumptions!$C$39=1,MIN(Assumptions!$C$33,MAX(Assumptions!$C$35,Assumptions!$C$33-(Assumptions!$C$33-Assumptions!$C$35)*(F7-Assumptions!$C$34)/(Assumptions!$C$36-Assumptions!$C$34))),Assumptions!$C$33)</f>
        <v>0.08</v>
      </c>
      <c r="G10" s="52" t="n">
        <f aca="false">IF(Assumptions!$C$39=1,MIN(Assumptions!$C$33,MAX(Assumptions!$C$35,Assumptions!$C$33-(Assumptions!$C$33-Assumptions!$C$35)*(G7-Assumptions!$C$34)/(Assumptions!$C$36-Assumptions!$C$34))),Assumptions!$C$33)</f>
        <v>0.08</v>
      </c>
      <c r="H10" s="52" t="n">
        <f aca="false">IF(Assumptions!$C$39=1,MIN(Assumptions!$C$33,MAX(Assumptions!$C$35,Assumptions!$C$33-(Assumptions!$C$33-Assumptions!$C$35)*(H7-Assumptions!$C$34)/(Assumptions!$C$36-Assumptions!$C$34))),Assumptions!$C$33)</f>
        <v>0.08</v>
      </c>
      <c r="I10" s="52" t="n">
        <f aca="false">IF(Assumptions!$C$39=1,MIN(Assumptions!$C$33,MAX(Assumptions!$C$35,Assumptions!$C$33-(Assumptions!$C$33-Assumptions!$C$35)*(I7-Assumptions!$C$34)/(Assumptions!$C$36-Assumptions!$C$34))),Assumptions!$C$33)</f>
        <v>0.08</v>
      </c>
      <c r="J10" s="52" t="n">
        <f aca="false">IF(Assumptions!$C$39=1,MIN(Assumptions!$C$33,MAX(Assumptions!$C$35,Assumptions!$C$33-(Assumptions!$C$33-Assumptions!$C$35)*(J7-Assumptions!$C$34)/(Assumptions!$C$36-Assumptions!$C$34))),Assumptions!$C$33)</f>
        <v>0.077</v>
      </c>
      <c r="K10" s="52" t="n">
        <f aca="false">IF(Assumptions!$C$39=1,MIN(Assumptions!$C$33,MAX(Assumptions!$C$35,Assumptions!$C$33-(Assumptions!$C$33-Assumptions!$C$35)*(K7-Assumptions!$C$34)/(Assumptions!$C$36-Assumptions!$C$34))),Assumptions!$C$33)</f>
        <v>0.074</v>
      </c>
      <c r="L10" s="52" t="n">
        <f aca="false">IF(Assumptions!$C$39=1,MIN(Assumptions!$C$33,MAX(Assumptions!$C$35,Assumptions!$C$33-(Assumptions!$C$33-Assumptions!$C$35)*(L7-Assumptions!$C$34)/(Assumptions!$C$36-Assumptions!$C$34))),Assumptions!$C$33)</f>
        <v>0.071</v>
      </c>
      <c r="M10" s="52" t="n">
        <f aca="false">IF(Assumptions!$C$39=1,MIN(Assumptions!$C$33,MAX(Assumptions!$C$35,Assumptions!$C$33-(Assumptions!$C$33-Assumptions!$C$35)*(M7-Assumptions!$C$34)/(Assumptions!$C$36-Assumptions!$C$34))),Assumptions!$C$33)</f>
        <v>0.068</v>
      </c>
      <c r="N10" s="52" t="n">
        <f aca="false">IF(Assumptions!$C$39=1,MIN(Assumptions!$C$33,MAX(Assumptions!$C$35,Assumptions!$C$33-(Assumptions!$C$33-Assumptions!$C$35)*(N7-Assumptions!$C$34)/(Assumptions!$C$36-Assumptions!$C$34))),Assumptions!$C$33)</f>
        <v>0.065</v>
      </c>
      <c r="O10" s="52" t="n">
        <f aca="false">IF(Assumptions!$C$39=1,MIN(Assumptions!$C$33,MAX(Assumptions!$C$35,Assumptions!$C$33-(Assumptions!$C$33-Assumptions!$C$35)*(O7-Assumptions!$C$34)/(Assumptions!$C$36-Assumptions!$C$34))),Assumptions!$C$33)</f>
        <v>0.062</v>
      </c>
      <c r="P10" s="52" t="n">
        <f aca="false">IF(Assumptions!$C$39=1,MIN(Assumptions!$C$33,MAX(Assumptions!$C$35,Assumptions!$C$33-(Assumptions!$C$33-Assumptions!$C$35)*(P7-Assumptions!$C$34)/(Assumptions!$C$36-Assumptions!$C$34))),Assumptions!$C$33)</f>
        <v>0.059</v>
      </c>
      <c r="Q10" s="52" t="n">
        <f aca="false">IF(Assumptions!$C$39=1,MIN(Assumptions!$C$33,MAX(Assumptions!$C$35,Assumptions!$C$33-(Assumptions!$C$33-Assumptions!$C$35)*(Q7-Assumptions!$C$34)/(Assumptions!$C$36-Assumptions!$C$34))),Assumptions!$C$33)</f>
        <v>0.056</v>
      </c>
      <c r="R10" s="52" t="n">
        <f aca="false">IF(Assumptions!$C$39=1,MIN(Assumptions!$C$33,MAX(Assumptions!$C$35,Assumptions!$C$33-(Assumptions!$C$33-Assumptions!$C$35)*(R7-Assumptions!$C$34)/(Assumptions!$C$36-Assumptions!$C$34))),Assumptions!$C$33)</f>
        <v>0.053</v>
      </c>
      <c r="S10" s="52" t="n">
        <f aca="false">IF(Assumptions!$C$39=1,MIN(Assumptions!$C$33,MAX(Assumptions!$C$35,Assumptions!$C$33-(Assumptions!$C$33-Assumptions!$C$35)*(S7-Assumptions!$C$34)/(Assumptions!$C$36-Assumptions!$C$34))),Assumptions!$C$33)</f>
        <v>0.05</v>
      </c>
      <c r="T10" s="52" t="n">
        <f aca="false">IF(Assumptions!$C$39=1,MIN(Assumptions!$C$33,MAX(Assumptions!$C$35,Assumptions!$C$33-(Assumptions!$C$33-Assumptions!$C$35)*(T7-Assumptions!$C$34)/(Assumptions!$C$36-Assumptions!$C$34))),Assumptions!$C$33)</f>
        <v>0.047</v>
      </c>
      <c r="U10" s="52" t="n">
        <f aca="false">IF(Assumptions!$C$39=1,MIN(Assumptions!$C$33,MAX(Assumptions!$C$35,Assumptions!$C$33-(Assumptions!$C$33-Assumptions!$C$35)*(U7-Assumptions!$C$34)/(Assumptions!$C$36-Assumptions!$C$34))),Assumptions!$C$33)</f>
        <v>0.044</v>
      </c>
      <c r="V10" s="52" t="n">
        <f aca="false">IF(Assumptions!$C$39=1,MIN(Assumptions!$C$33,MAX(Assumptions!$C$35,Assumptions!$C$33-(Assumptions!$C$33-Assumptions!$C$35)*(V7-Assumptions!$C$34)/(Assumptions!$C$36-Assumptions!$C$34))),Assumptions!$C$33)</f>
        <v>0.041</v>
      </c>
      <c r="W10" s="52" t="n">
        <f aca="false">IF(Assumptions!$C$39=1,MIN(Assumptions!$C$33,MAX(Assumptions!$C$35,Assumptions!$C$33-(Assumptions!$C$33-Assumptions!$C$35)*(W7-Assumptions!$C$34)/(Assumptions!$C$36-Assumptions!$C$34))),Assumptions!$C$33)</f>
        <v>0.038</v>
      </c>
      <c r="X10" s="52" t="n">
        <f aca="false">IF(Assumptions!$C$39=1,MIN(Assumptions!$C$33,MAX(Assumptions!$C$35,Assumptions!$C$33-(Assumptions!$C$33-Assumptions!$C$35)*(X7-Assumptions!$C$34)/(Assumptions!$C$36-Assumptions!$C$34))),Assumptions!$C$33)</f>
        <v>0.035</v>
      </c>
      <c r="Y10" s="52" t="n">
        <f aca="false">IF(Assumptions!$C$39=1,MIN(Assumptions!$C$33,MAX(Assumptions!$C$35,Assumptions!$C$33-(Assumptions!$C$33-Assumptions!$C$35)*(Y7-Assumptions!$C$34)/(Assumptions!$C$36-Assumptions!$C$34))),Assumptions!$C$33)</f>
        <v>0.032</v>
      </c>
      <c r="Z10" s="52" t="n">
        <f aca="false">IF(Assumptions!$C$39=1,MIN(Assumptions!$C$33,MAX(Assumptions!$C$35,Assumptions!$C$33-(Assumptions!$C$33-Assumptions!$C$35)*(Z7-Assumptions!$C$34)/(Assumptions!$C$36-Assumptions!$C$34))),Assumptions!$C$33)</f>
        <v>0.029</v>
      </c>
      <c r="AA10" s="52" t="n">
        <f aca="false">IF(Assumptions!$C$39=1,MIN(Assumptions!$C$33,MAX(Assumptions!$C$35,Assumptions!$C$33-(Assumptions!$C$33-Assumptions!$C$35)*(AA7-Assumptions!$C$34)/(Assumptions!$C$36-Assumptions!$C$34))),Assumptions!$C$33)</f>
        <v>0.026</v>
      </c>
      <c r="AB10" s="52" t="n">
        <f aca="false">IF(Assumptions!$C$39=1,MIN(Assumptions!$C$33,MAX(Assumptions!$C$35,Assumptions!$C$33-(Assumptions!$C$33-Assumptions!$C$35)*(AB7-Assumptions!$C$34)/(Assumptions!$C$36-Assumptions!$C$34))),Assumptions!$C$33)</f>
        <v>0.023</v>
      </c>
      <c r="AC10" s="52" t="n">
        <f aca="false">IF(Assumptions!$C$39=1,MIN(Assumptions!$C$33,MAX(Assumptions!$C$35,Assumptions!$C$33-(Assumptions!$C$33-Assumptions!$C$35)*(AC7-Assumptions!$C$34)/(Assumptions!$C$36-Assumptions!$C$34))),Assumptions!$C$33)</f>
        <v>0.02</v>
      </c>
      <c r="AD10" s="52" t="n">
        <f aca="false">IF(Assumptions!$C$39=1,MIN(Assumptions!$C$33,MAX(Assumptions!$C$35,Assumptions!$C$33-(Assumptions!$C$33-Assumptions!$C$35)*(AD7-Assumptions!$C$34)/(Assumptions!$C$36-Assumptions!$C$34))),Assumptions!$C$33)</f>
        <v>0.02</v>
      </c>
      <c r="AE10" s="52" t="n">
        <f aca="false">IF(Assumptions!$C$39=1,MIN(Assumptions!$C$33,MAX(Assumptions!$C$35,Assumptions!$C$33-(Assumptions!$C$33-Assumptions!$C$35)*(AE7-Assumptions!$C$34)/(Assumptions!$C$36-Assumptions!$C$34))),Assumptions!$C$33)</f>
        <v>0.02</v>
      </c>
      <c r="AF10" s="52" t="n">
        <f aca="false">IF(Assumptions!$C$39=1,MIN(Assumptions!$C$33,MAX(Assumptions!$C$35,Assumptions!$C$33-(Assumptions!$C$33-Assumptions!$C$35)*(AF7-Assumptions!$C$34)/(Assumptions!$C$36-Assumptions!$C$34))),Assumptions!$C$33)</f>
        <v>0.02</v>
      </c>
    </row>
    <row r="11" customFormat="false" ht="15" hidden="false" customHeight="true" outlineLevel="0" collapsed="false">
      <c r="B11" s="16" t="s">
        <v>322</v>
      </c>
      <c r="C11" s="52" t="n">
        <f aca="false">MIN(Assumptions!$C$33,MAX(Assumptions!$C$35,Assumptions!$C$33-(Assumptions!$C$33-Assumptions!$C$35)*(C8-Assumptions!$C$34)/(Assumptions!$C$36-Assumptions!$C$34)))</f>
        <v>0.08</v>
      </c>
      <c r="D11" s="52" t="n">
        <f aca="false">MIN(Assumptions!$C$33,MAX(Assumptions!$C$35,Assumptions!$C$33-(Assumptions!$C$33-Assumptions!$C$35)*(D8-Assumptions!$C$34)/(Assumptions!$C$36-Assumptions!$C$34)))</f>
        <v>0.08</v>
      </c>
      <c r="E11" s="52" t="n">
        <f aca="false">MIN(Assumptions!$C$33,MAX(Assumptions!$C$35,Assumptions!$C$33-(Assumptions!$C$33-Assumptions!$C$35)*(E8-Assumptions!$C$34)/(Assumptions!$C$36-Assumptions!$C$34)))</f>
        <v>0.08</v>
      </c>
      <c r="F11" s="52" t="n">
        <f aca="false">MIN(Assumptions!$C$33,MAX(Assumptions!$C$35,Assumptions!$C$33-(Assumptions!$C$33-Assumptions!$C$35)*(F8-Assumptions!$C$34)/(Assumptions!$C$36-Assumptions!$C$34)))</f>
        <v>0.08</v>
      </c>
      <c r="G11" s="52" t="n">
        <f aca="false">MIN(Assumptions!$C$33,MAX(Assumptions!$C$35,Assumptions!$C$33-(Assumptions!$C$33-Assumptions!$C$35)*(G8-Assumptions!$C$34)/(Assumptions!$C$36-Assumptions!$C$34)))</f>
        <v>0.08</v>
      </c>
      <c r="H11" s="52" t="n">
        <f aca="false">MIN(Assumptions!$C$33,MAX(Assumptions!$C$35,Assumptions!$C$33-(Assumptions!$C$33-Assumptions!$C$35)*(H8-Assumptions!$C$34)/(Assumptions!$C$36-Assumptions!$C$34)))</f>
        <v>0.08</v>
      </c>
      <c r="I11" s="52" t="n">
        <f aca="false">MIN(Assumptions!$C$33,MAX(Assumptions!$C$35,Assumptions!$C$33-(Assumptions!$C$33-Assumptions!$C$35)*(I8-Assumptions!$C$34)/(Assumptions!$C$36-Assumptions!$C$34)))</f>
        <v>0.08</v>
      </c>
      <c r="J11" s="52" t="n">
        <f aca="false">MIN(Assumptions!$C$33,MAX(Assumptions!$C$35,Assumptions!$C$33-(Assumptions!$C$33-Assumptions!$C$35)*(J8-Assumptions!$C$34)/(Assumptions!$C$36-Assumptions!$C$34)))</f>
        <v>0.08</v>
      </c>
      <c r="K11" s="52" t="n">
        <f aca="false">MIN(Assumptions!$C$33,MAX(Assumptions!$C$35,Assumptions!$C$33-(Assumptions!$C$33-Assumptions!$C$35)*(K8-Assumptions!$C$34)/(Assumptions!$C$36-Assumptions!$C$34)))</f>
        <v>0.08</v>
      </c>
      <c r="L11" s="52" t="n">
        <f aca="false">MIN(Assumptions!$C$33,MAX(Assumptions!$C$35,Assumptions!$C$33-(Assumptions!$C$33-Assumptions!$C$35)*(L8-Assumptions!$C$34)/(Assumptions!$C$36-Assumptions!$C$34)))</f>
        <v>0.08</v>
      </c>
      <c r="M11" s="52" t="n">
        <f aca="false">MIN(Assumptions!$C$33,MAX(Assumptions!$C$35,Assumptions!$C$33-(Assumptions!$C$33-Assumptions!$C$35)*(M8-Assumptions!$C$34)/(Assumptions!$C$36-Assumptions!$C$34)))</f>
        <v>0.08</v>
      </c>
      <c r="N11" s="52" t="n">
        <f aca="false">MIN(Assumptions!$C$33,MAX(Assumptions!$C$35,Assumptions!$C$33-(Assumptions!$C$33-Assumptions!$C$35)*(N8-Assumptions!$C$34)/(Assumptions!$C$36-Assumptions!$C$34)))</f>
        <v>0.0785</v>
      </c>
      <c r="O11" s="52" t="n">
        <f aca="false">MIN(Assumptions!$C$33,MAX(Assumptions!$C$35,Assumptions!$C$33-(Assumptions!$C$33-Assumptions!$C$35)*(O8-Assumptions!$C$34)/(Assumptions!$C$36-Assumptions!$C$34)))</f>
        <v>0.0755</v>
      </c>
      <c r="P11" s="52" t="n">
        <f aca="false">MIN(Assumptions!$C$33,MAX(Assumptions!$C$35,Assumptions!$C$33-(Assumptions!$C$33-Assumptions!$C$35)*(P8-Assumptions!$C$34)/(Assumptions!$C$36-Assumptions!$C$34)))</f>
        <v>0.0725</v>
      </c>
      <c r="Q11" s="52" t="n">
        <f aca="false">MIN(Assumptions!$C$33,MAX(Assumptions!$C$35,Assumptions!$C$33-(Assumptions!$C$33-Assumptions!$C$35)*(Q8-Assumptions!$C$34)/(Assumptions!$C$36-Assumptions!$C$34)))</f>
        <v>0.0695</v>
      </c>
      <c r="R11" s="52" t="n">
        <f aca="false">MIN(Assumptions!$C$33,MAX(Assumptions!$C$35,Assumptions!$C$33-(Assumptions!$C$33-Assumptions!$C$35)*(R8-Assumptions!$C$34)/(Assumptions!$C$36-Assumptions!$C$34)))</f>
        <v>0.0665</v>
      </c>
      <c r="S11" s="52" t="n">
        <f aca="false">MIN(Assumptions!$C$33,MAX(Assumptions!$C$35,Assumptions!$C$33-(Assumptions!$C$33-Assumptions!$C$35)*(S8-Assumptions!$C$34)/(Assumptions!$C$36-Assumptions!$C$34)))</f>
        <v>0.0635</v>
      </c>
      <c r="T11" s="52" t="n">
        <f aca="false">MIN(Assumptions!$C$33,MAX(Assumptions!$C$35,Assumptions!$C$33-(Assumptions!$C$33-Assumptions!$C$35)*(T8-Assumptions!$C$34)/(Assumptions!$C$36-Assumptions!$C$34)))</f>
        <v>0.0605</v>
      </c>
      <c r="U11" s="52" t="n">
        <f aca="false">MIN(Assumptions!$C$33,MAX(Assumptions!$C$35,Assumptions!$C$33-(Assumptions!$C$33-Assumptions!$C$35)*(U8-Assumptions!$C$34)/(Assumptions!$C$36-Assumptions!$C$34)))</f>
        <v>0.0575</v>
      </c>
      <c r="V11" s="52" t="n">
        <f aca="false">MIN(Assumptions!$C$33,MAX(Assumptions!$C$35,Assumptions!$C$33-(Assumptions!$C$33-Assumptions!$C$35)*(V8-Assumptions!$C$34)/(Assumptions!$C$36-Assumptions!$C$34)))</f>
        <v>0.0545</v>
      </c>
      <c r="W11" s="52" t="n">
        <f aca="false">MIN(Assumptions!$C$33,MAX(Assumptions!$C$35,Assumptions!$C$33-(Assumptions!$C$33-Assumptions!$C$35)*(W8-Assumptions!$C$34)/(Assumptions!$C$36-Assumptions!$C$34)))</f>
        <v>0.0515</v>
      </c>
      <c r="X11" s="52" t="n">
        <f aca="false">MIN(Assumptions!$C$33,MAX(Assumptions!$C$35,Assumptions!$C$33-(Assumptions!$C$33-Assumptions!$C$35)*(X8-Assumptions!$C$34)/(Assumptions!$C$36-Assumptions!$C$34)))</f>
        <v>0.0485</v>
      </c>
      <c r="Y11" s="52" t="n">
        <f aca="false">MIN(Assumptions!$C$33,MAX(Assumptions!$C$35,Assumptions!$C$33-(Assumptions!$C$33-Assumptions!$C$35)*(Y8-Assumptions!$C$34)/(Assumptions!$C$36-Assumptions!$C$34)))</f>
        <v>0.0455</v>
      </c>
      <c r="Z11" s="52" t="n">
        <f aca="false">MIN(Assumptions!$C$33,MAX(Assumptions!$C$35,Assumptions!$C$33-(Assumptions!$C$33-Assumptions!$C$35)*(Z8-Assumptions!$C$34)/(Assumptions!$C$36-Assumptions!$C$34)))</f>
        <v>0.0425</v>
      </c>
      <c r="AA11" s="52" t="n">
        <f aca="false">MIN(Assumptions!$C$33,MAX(Assumptions!$C$35,Assumptions!$C$33-(Assumptions!$C$33-Assumptions!$C$35)*(AA8-Assumptions!$C$34)/(Assumptions!$C$36-Assumptions!$C$34)))</f>
        <v>0.0395</v>
      </c>
      <c r="AB11" s="52" t="n">
        <f aca="false">MIN(Assumptions!$C$33,MAX(Assumptions!$C$35,Assumptions!$C$33-(Assumptions!$C$33-Assumptions!$C$35)*(AB8-Assumptions!$C$34)/(Assumptions!$C$36-Assumptions!$C$34)))</f>
        <v>0.0365</v>
      </c>
      <c r="AC11" s="52" t="n">
        <f aca="false">MIN(Assumptions!$C$33,MAX(Assumptions!$C$35,Assumptions!$C$33-(Assumptions!$C$33-Assumptions!$C$35)*(AC8-Assumptions!$C$34)/(Assumptions!$C$36-Assumptions!$C$34)))</f>
        <v>0.0335</v>
      </c>
      <c r="AD11" s="52" t="n">
        <f aca="false">MIN(Assumptions!$C$33,MAX(Assumptions!$C$35,Assumptions!$C$33-(Assumptions!$C$33-Assumptions!$C$35)*(AD8-Assumptions!$C$34)/(Assumptions!$C$36-Assumptions!$C$34)))</f>
        <v>0.0305</v>
      </c>
      <c r="AE11" s="52" t="n">
        <f aca="false">MIN(Assumptions!$C$33,MAX(Assumptions!$C$35,Assumptions!$C$33-(Assumptions!$C$33-Assumptions!$C$35)*(AE8-Assumptions!$C$34)/(Assumptions!$C$36-Assumptions!$C$34)))</f>
        <v>0.0275</v>
      </c>
      <c r="AF11" s="52" t="n">
        <f aca="false">MIN(Assumptions!$C$33,MAX(Assumptions!$C$35,Assumptions!$C$33-(Assumptions!$C$33-Assumptions!$C$35)*(AF8-Assumptions!$C$34)/(Assumptions!$C$36-Assumptions!$C$34)))</f>
        <v>0.0245</v>
      </c>
    </row>
    <row r="12" customFormat="false" ht="15" hidden="false" customHeight="true" outlineLevel="0" collapsed="false">
      <c r="B12" s="6" t="s">
        <v>323</v>
      </c>
      <c r="C12" s="53" t="n">
        <f aca="false">MAX(Assumptions!$C$38,C11-Assumptions!$C$37)</f>
        <v>0.065</v>
      </c>
      <c r="D12" s="53" t="n">
        <f aca="false">MAX(Assumptions!$C$38,D11-Assumptions!$C$37)</f>
        <v>0.065</v>
      </c>
      <c r="E12" s="53" t="n">
        <f aca="false">MAX(Assumptions!$C$38,E11-Assumptions!$C$37)</f>
        <v>0.065</v>
      </c>
      <c r="F12" s="53" t="n">
        <f aca="false">MAX(Assumptions!$C$38,F11-Assumptions!$C$37)</f>
        <v>0.065</v>
      </c>
      <c r="G12" s="53" t="n">
        <f aca="false">MAX(Assumptions!$C$38,G11-Assumptions!$C$37)</f>
        <v>0.065</v>
      </c>
      <c r="H12" s="53" t="n">
        <f aca="false">MAX(Assumptions!$C$38,H11-Assumptions!$C$37)</f>
        <v>0.065</v>
      </c>
      <c r="I12" s="53" t="n">
        <f aca="false">MAX(Assumptions!$C$38,I11-Assumptions!$C$37)</f>
        <v>0.065</v>
      </c>
      <c r="J12" s="53" t="n">
        <f aca="false">MAX(Assumptions!$C$38,J11-Assumptions!$C$37)</f>
        <v>0.065</v>
      </c>
      <c r="K12" s="53" t="n">
        <f aca="false">MAX(Assumptions!$C$38,K11-Assumptions!$C$37)</f>
        <v>0.065</v>
      </c>
      <c r="L12" s="53" t="n">
        <f aca="false">MAX(Assumptions!$C$38,L11-Assumptions!$C$37)</f>
        <v>0.065</v>
      </c>
      <c r="M12" s="53" t="n">
        <f aca="false">MAX(Assumptions!$C$38,M11-Assumptions!$C$37)</f>
        <v>0.065</v>
      </c>
      <c r="N12" s="53" t="n">
        <f aca="false">MAX(Assumptions!$C$38,N11-Assumptions!$C$37)</f>
        <v>0.0635</v>
      </c>
      <c r="O12" s="53" t="n">
        <f aca="false">MAX(Assumptions!$C$38,O11-Assumptions!$C$37)</f>
        <v>0.0605</v>
      </c>
      <c r="P12" s="53" t="n">
        <f aca="false">MAX(Assumptions!$C$38,P11-Assumptions!$C$37)</f>
        <v>0.0575</v>
      </c>
      <c r="Q12" s="53" t="n">
        <f aca="false">MAX(Assumptions!$C$38,Q11-Assumptions!$C$37)</f>
        <v>0.0545</v>
      </c>
      <c r="R12" s="53" t="n">
        <f aca="false">MAX(Assumptions!$C$38,R11-Assumptions!$C$37)</f>
        <v>0.0515</v>
      </c>
      <c r="S12" s="53" t="n">
        <f aca="false">MAX(Assumptions!$C$38,S11-Assumptions!$C$37)</f>
        <v>0.0485</v>
      </c>
      <c r="T12" s="53" t="n">
        <f aca="false">MAX(Assumptions!$C$38,T11-Assumptions!$C$37)</f>
        <v>0.0455</v>
      </c>
      <c r="U12" s="53" t="n">
        <f aca="false">MAX(Assumptions!$C$38,U11-Assumptions!$C$37)</f>
        <v>0.0425</v>
      </c>
      <c r="V12" s="53" t="n">
        <f aca="false">MAX(Assumptions!$C$38,V11-Assumptions!$C$37)</f>
        <v>0.0395</v>
      </c>
      <c r="W12" s="53" t="n">
        <f aca="false">MAX(Assumptions!$C$38,W11-Assumptions!$C$37)</f>
        <v>0.0365</v>
      </c>
      <c r="X12" s="53" t="n">
        <f aca="false">MAX(Assumptions!$C$38,X11-Assumptions!$C$37)</f>
        <v>0.0335</v>
      </c>
      <c r="Y12" s="53" t="n">
        <f aca="false">MAX(Assumptions!$C$38,Y11-Assumptions!$C$37)</f>
        <v>0.0305</v>
      </c>
      <c r="Z12" s="53" t="n">
        <f aca="false">MAX(Assumptions!$C$38,Z11-Assumptions!$C$37)</f>
        <v>0.0275</v>
      </c>
      <c r="AA12" s="53" t="n">
        <f aca="false">MAX(Assumptions!$C$38,AA11-Assumptions!$C$37)</f>
        <v>0.0245</v>
      </c>
      <c r="AB12" s="53" t="n">
        <f aca="false">MAX(Assumptions!$C$38,AB11-Assumptions!$C$37)</f>
        <v>0.0215</v>
      </c>
      <c r="AC12" s="53" t="n">
        <f aca="false">MAX(Assumptions!$C$38,AC11-Assumptions!$C$37)</f>
        <v>0.0185</v>
      </c>
      <c r="AD12" s="53" t="n">
        <f aca="false">MAX(Assumptions!$C$38,AD11-Assumptions!$C$37)</f>
        <v>0.0155</v>
      </c>
      <c r="AE12" s="53" t="n">
        <f aca="false">MAX(Assumptions!$C$38,AE11-Assumptions!$C$37)</f>
        <v>0.0125</v>
      </c>
      <c r="AF12" s="53" t="n">
        <f aca="false">MAX(Assumptions!$C$38,AF11-Assumptions!$C$37)</f>
        <v>0.00950000000000001</v>
      </c>
    </row>
    <row r="13" customFormat="false" ht="15" hidden="false" customHeight="true" outlineLevel="0" collapsed="false">
      <c r="B13" s="6" t="s">
        <v>324</v>
      </c>
      <c r="C13" s="54" t="n">
        <f aca="false">Assumptions!$C$32</f>
        <v>0.08</v>
      </c>
      <c r="D13" s="54" t="n">
        <f aca="false">Assumptions!$C$32</f>
        <v>0.08</v>
      </c>
      <c r="E13" s="54" t="n">
        <f aca="false">Assumptions!$C$32</f>
        <v>0.08</v>
      </c>
      <c r="F13" s="54" t="n">
        <f aca="false">Assumptions!$C$32</f>
        <v>0.08</v>
      </c>
      <c r="G13" s="54" t="n">
        <f aca="false">Assumptions!$C$32</f>
        <v>0.08</v>
      </c>
      <c r="H13" s="54" t="n">
        <f aca="false">Assumptions!$C$32</f>
        <v>0.08</v>
      </c>
      <c r="I13" s="54" t="n">
        <f aca="false">Assumptions!$C$32</f>
        <v>0.08</v>
      </c>
      <c r="J13" s="54" t="n">
        <f aca="false">Assumptions!$C$32</f>
        <v>0.08</v>
      </c>
      <c r="K13" s="54" t="n">
        <f aca="false">Assumptions!$C$32</f>
        <v>0.08</v>
      </c>
      <c r="L13" s="54" t="n">
        <f aca="false">Assumptions!$C$32</f>
        <v>0.08</v>
      </c>
      <c r="M13" s="54" t="n">
        <f aca="false">Assumptions!$C$32</f>
        <v>0.08</v>
      </c>
      <c r="N13" s="54" t="n">
        <f aca="false">Assumptions!$C$32</f>
        <v>0.08</v>
      </c>
      <c r="O13" s="54" t="n">
        <f aca="false">Assumptions!$C$32</f>
        <v>0.08</v>
      </c>
      <c r="P13" s="54" t="n">
        <f aca="false">Assumptions!$C$32</f>
        <v>0.08</v>
      </c>
      <c r="Q13" s="54" t="n">
        <f aca="false">Assumptions!$C$32</f>
        <v>0.08</v>
      </c>
      <c r="R13" s="54" t="n">
        <f aca="false">Assumptions!$C$32</f>
        <v>0.08</v>
      </c>
      <c r="S13" s="54" t="n">
        <f aca="false">Assumptions!$C$32</f>
        <v>0.08</v>
      </c>
      <c r="T13" s="54" t="n">
        <f aca="false">Assumptions!$C$32</f>
        <v>0.08</v>
      </c>
      <c r="U13" s="54" t="n">
        <f aca="false">Assumptions!$C$32</f>
        <v>0.08</v>
      </c>
      <c r="V13" s="54" t="n">
        <f aca="false">Assumptions!$C$32</f>
        <v>0.08</v>
      </c>
      <c r="W13" s="54" t="n">
        <f aca="false">Assumptions!$C$32</f>
        <v>0.08</v>
      </c>
      <c r="X13" s="54" t="n">
        <f aca="false">Assumptions!$C$32</f>
        <v>0.08</v>
      </c>
      <c r="Y13" s="54" t="n">
        <f aca="false">Assumptions!$C$32</f>
        <v>0.08</v>
      </c>
      <c r="Z13" s="54" t="n">
        <f aca="false">Assumptions!$C$32</f>
        <v>0.08</v>
      </c>
      <c r="AA13" s="54" t="n">
        <f aca="false">Assumptions!$C$32</f>
        <v>0.08</v>
      </c>
      <c r="AB13" s="54" t="n">
        <f aca="false">Assumptions!$C$32</f>
        <v>0.08</v>
      </c>
      <c r="AC13" s="54" t="n">
        <f aca="false">Assumptions!$C$32</f>
        <v>0.08</v>
      </c>
      <c r="AD13" s="54" t="n">
        <f aca="false">Assumptions!$C$32</f>
        <v>0.08</v>
      </c>
      <c r="AE13" s="54" t="n">
        <f aca="false">Assumptions!$C$32</f>
        <v>0.08</v>
      </c>
      <c r="AF13" s="54" t="n">
        <f aca="false">Assumptions!$C$32</f>
        <v>0.08</v>
      </c>
    </row>
    <row r="15" customFormat="false" ht="15" hidden="false" customHeight="true" outlineLevel="0" collapsed="false">
      <c r="A15" s="30" t="s">
        <v>325</v>
      </c>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row>
    <row r="16" customFormat="false" ht="15" hidden="false" customHeight="true" outlineLevel="0" collapsed="false">
      <c r="B16" s="6" t="s">
        <v>326</v>
      </c>
      <c r="C16" s="55" t="n">
        <f aca="false">(1+C9)</f>
        <v>1.08</v>
      </c>
      <c r="D16" s="55" t="n">
        <f aca="false">C16*(1+D9)</f>
        <v>1.1664</v>
      </c>
      <c r="E16" s="55" t="n">
        <f aca="false">D16*(1+E9)</f>
        <v>1.259712</v>
      </c>
      <c r="F16" s="55" t="n">
        <f aca="false">E16*(1+F9)</f>
        <v>1.36048896</v>
      </c>
      <c r="G16" s="55" t="n">
        <f aca="false">F16*(1+G9)</f>
        <v>1.4693280768</v>
      </c>
      <c r="H16" s="55" t="n">
        <f aca="false">G16*(1+H9)</f>
        <v>1.586874322944</v>
      </c>
      <c r="I16" s="55" t="n">
        <f aca="false">H16*(1+I9)</f>
        <v>1.71382426877952</v>
      </c>
      <c r="J16" s="55" t="n">
        <f aca="false">I16*(1+J9)</f>
        <v>1.85093021028188</v>
      </c>
      <c r="K16" s="55" t="n">
        <f aca="false">J16*(1+K9)</f>
        <v>1.99900462710443</v>
      </c>
      <c r="L16" s="55" t="n">
        <f aca="false">K16*(1+L9)</f>
        <v>2.15892499727279</v>
      </c>
      <c r="M16" s="55" t="n">
        <f aca="false">L16*(1+M9)</f>
        <v>2.33163899705461</v>
      </c>
      <c r="N16" s="55" t="n">
        <f aca="false">M16*(1+N9)</f>
        <v>2.51817011681898</v>
      </c>
      <c r="O16" s="55" t="n">
        <f aca="false">N16*(1+O9)</f>
        <v>2.7196237261645</v>
      </c>
      <c r="P16" s="55" t="n">
        <f aca="false">O16*(1+P9)</f>
        <v>2.93719362425766</v>
      </c>
      <c r="Q16" s="55" t="n">
        <f aca="false">P16*(1+Q9)</f>
        <v>3.17216911419827</v>
      </c>
      <c r="R16" s="55" t="n">
        <f aca="false">Q16*(1+R9)</f>
        <v>3.42594264333413</v>
      </c>
      <c r="S16" s="55" t="n">
        <f aca="false">R16*(1+S9)</f>
        <v>3.68974022687086</v>
      </c>
      <c r="T16" s="55" t="n">
        <f aca="false">S16*(1+T9)</f>
        <v>3.96278100365931</v>
      </c>
      <c r="U16" s="55" t="n">
        <f aca="false">T16*(1+U9)</f>
        <v>4.24413845491912</v>
      </c>
      <c r="V16" s="55" t="n">
        <f aca="false">U16*(1+V9)</f>
        <v>4.53273986985362</v>
      </c>
      <c r="W16" s="55" t="n">
        <f aca="false">V16*(1+W9)</f>
        <v>4.8273679613941</v>
      </c>
      <c r="X16" s="55" t="n">
        <f aca="false">W16*(1+X9)</f>
        <v>5.12666477500054</v>
      </c>
      <c r="Y16" s="55" t="n">
        <f aca="false">X16*(1+Y9)</f>
        <v>5.42913799672557</v>
      </c>
      <c r="Z16" s="55" t="n">
        <f aca="false">Y16*(1+Z9)</f>
        <v>5.7331697245422</v>
      </c>
      <c r="AA16" s="55" t="n">
        <f aca="false">Z16*(1+AA9)</f>
        <v>6.03702771994294</v>
      </c>
      <c r="AB16" s="55" t="n">
        <f aca="false">AA16*(1+AB9)</f>
        <v>6.33887910594008</v>
      </c>
      <c r="AC16" s="55" t="n">
        <f aca="false">AB16*(1+AC9)</f>
        <v>6.63680642391927</v>
      </c>
      <c r="AD16" s="55" t="n">
        <f aca="false">AC16*(1+AD9)</f>
        <v>6.92882590657171</v>
      </c>
      <c r="AE16" s="55" t="n">
        <f aca="false">AD16*(1+AE9)</f>
        <v>7.21290776874115</v>
      </c>
      <c r="AF16" s="55" t="n">
        <f aca="false">AE16*(1+AF9)</f>
        <v>7.48699826395332</v>
      </c>
    </row>
    <row r="17" customFormat="false" ht="15" hidden="false" customHeight="true" outlineLevel="0" collapsed="false">
      <c r="B17" s="6" t="s">
        <v>327</v>
      </c>
      <c r="C17" s="55" t="n">
        <f aca="false">(1+C10)</f>
        <v>1.08</v>
      </c>
      <c r="D17" s="55" t="n">
        <f aca="false">C17*(1+D10)</f>
        <v>1.1664</v>
      </c>
      <c r="E17" s="55" t="n">
        <f aca="false">D17*(1+E10)</f>
        <v>1.259712</v>
      </c>
      <c r="F17" s="55" t="n">
        <f aca="false">E17*(1+F10)</f>
        <v>1.36048896</v>
      </c>
      <c r="G17" s="55" t="n">
        <f aca="false">F17*(1+G10)</f>
        <v>1.4693280768</v>
      </c>
      <c r="H17" s="55" t="n">
        <f aca="false">G17*(1+H10)</f>
        <v>1.586874322944</v>
      </c>
      <c r="I17" s="55" t="n">
        <f aca="false">H17*(1+I10)</f>
        <v>1.71382426877952</v>
      </c>
      <c r="J17" s="55" t="n">
        <f aca="false">I17*(1+J10)</f>
        <v>1.84578873747554</v>
      </c>
      <c r="K17" s="55" t="n">
        <f aca="false">J17*(1+K10)</f>
        <v>1.98237710404873</v>
      </c>
      <c r="L17" s="55" t="n">
        <f aca="false">K17*(1+L10)</f>
        <v>2.12312587843619</v>
      </c>
      <c r="M17" s="55" t="n">
        <f aca="false">L17*(1+M10)</f>
        <v>2.26749843816986</v>
      </c>
      <c r="N17" s="55" t="n">
        <f aca="false">M17*(1+N10)</f>
        <v>2.4148858366509</v>
      </c>
      <c r="O17" s="55" t="n">
        <f aca="false">N17*(1+O10)</f>
        <v>2.56460875852325</v>
      </c>
      <c r="P17" s="55" t="n">
        <f aca="false">O17*(1+P10)</f>
        <v>2.71592067527612</v>
      </c>
      <c r="Q17" s="55" t="n">
        <f aca="false">P17*(1+Q10)</f>
        <v>2.86801223309159</v>
      </c>
      <c r="R17" s="55" t="n">
        <f aca="false">Q17*(1+R10)</f>
        <v>3.02001688144544</v>
      </c>
      <c r="S17" s="55" t="n">
        <f aca="false">R17*(1+S10)</f>
        <v>3.17101772551771</v>
      </c>
      <c r="T17" s="55" t="n">
        <f aca="false">S17*(1+T10)</f>
        <v>3.32005555861704</v>
      </c>
      <c r="U17" s="55" t="n">
        <f aca="false">T17*(1+U10)</f>
        <v>3.46613800319619</v>
      </c>
      <c r="V17" s="55" t="n">
        <f aca="false">U17*(1+V10)</f>
        <v>3.60824966132724</v>
      </c>
      <c r="W17" s="55" t="n">
        <f aca="false">V17*(1+W10)</f>
        <v>3.74536314845767</v>
      </c>
      <c r="X17" s="55" t="n">
        <f aca="false">W17*(1+X10)</f>
        <v>3.87645085865369</v>
      </c>
      <c r="Y17" s="55" t="n">
        <f aca="false">X17*(1+Y10)</f>
        <v>4.00049728613061</v>
      </c>
      <c r="Z17" s="55" t="n">
        <f aca="false">Y17*(1+Z10)</f>
        <v>4.1165117074284</v>
      </c>
      <c r="AA17" s="55" t="n">
        <f aca="false">Z17*(1+AA10)</f>
        <v>4.22354101182154</v>
      </c>
      <c r="AB17" s="55" t="n">
        <f aca="false">AA17*(1+AB10)</f>
        <v>4.32068245509343</v>
      </c>
      <c r="AC17" s="55" t="n">
        <f aca="false">AB17*(1+AC10)</f>
        <v>4.4070961041953</v>
      </c>
      <c r="AD17" s="55" t="n">
        <f aca="false">AC17*(1+AD10)</f>
        <v>4.49523802627921</v>
      </c>
      <c r="AE17" s="55" t="n">
        <f aca="false">AD17*(1+AE10)</f>
        <v>4.58514278680479</v>
      </c>
      <c r="AF17" s="55" t="n">
        <f aca="false">AE17*(1+AF10)</f>
        <v>4.67684564254089</v>
      </c>
    </row>
    <row r="18" customFormat="false" ht="15" hidden="false" customHeight="true" outlineLevel="0" collapsed="false">
      <c r="B18" s="6" t="s">
        <v>328</v>
      </c>
      <c r="C18" s="55" t="n">
        <f aca="false">(1+C11)</f>
        <v>1.08</v>
      </c>
      <c r="D18" s="55" t="n">
        <f aca="false">C18*(1+D11)</f>
        <v>1.1664</v>
      </c>
      <c r="E18" s="55" t="n">
        <f aca="false">D18*(1+E11)</f>
        <v>1.259712</v>
      </c>
      <c r="F18" s="55" t="n">
        <f aca="false">E18*(1+F11)</f>
        <v>1.36048896</v>
      </c>
      <c r="G18" s="55" t="n">
        <f aca="false">F18*(1+G11)</f>
        <v>1.4693280768</v>
      </c>
      <c r="H18" s="55" t="n">
        <f aca="false">G18*(1+H11)</f>
        <v>1.586874322944</v>
      </c>
      <c r="I18" s="55" t="n">
        <f aca="false">H18*(1+I11)</f>
        <v>1.71382426877952</v>
      </c>
      <c r="J18" s="55" t="n">
        <f aca="false">I18*(1+J11)</f>
        <v>1.85093021028188</v>
      </c>
      <c r="K18" s="55" t="n">
        <f aca="false">J18*(1+K11)</f>
        <v>1.99900462710443</v>
      </c>
      <c r="L18" s="55" t="n">
        <f aca="false">K18*(1+L11)</f>
        <v>2.15892499727279</v>
      </c>
      <c r="M18" s="55" t="n">
        <f aca="false">L18*(1+M11)</f>
        <v>2.33163899705461</v>
      </c>
      <c r="N18" s="55" t="n">
        <f aca="false">M18*(1+N11)</f>
        <v>2.5146726583234</v>
      </c>
      <c r="O18" s="55" t="n">
        <f aca="false">N18*(1+O11)</f>
        <v>2.70453044402681</v>
      </c>
      <c r="P18" s="55" t="n">
        <f aca="false">O18*(1+P11)</f>
        <v>2.90060890121876</v>
      </c>
      <c r="Q18" s="55" t="n">
        <f aca="false">P18*(1+Q11)</f>
        <v>3.10220121985346</v>
      </c>
      <c r="R18" s="55" t="n">
        <f aca="false">Q18*(1+R11)</f>
        <v>3.30849760097372</v>
      </c>
      <c r="S18" s="55" t="n">
        <f aca="false">R18*(1+S11)</f>
        <v>3.51858719863555</v>
      </c>
      <c r="T18" s="55" t="n">
        <f aca="false">S18*(1+T11)</f>
        <v>3.731461724153</v>
      </c>
      <c r="U18" s="55" t="n">
        <f aca="false">T18*(1+U11)</f>
        <v>3.9460207732918</v>
      </c>
      <c r="V18" s="55" t="n">
        <f aca="false">U18*(1+V11)</f>
        <v>4.1610789054362</v>
      </c>
      <c r="W18" s="55" t="n">
        <f aca="false">V18*(1+W11)</f>
        <v>4.37537446906617</v>
      </c>
      <c r="X18" s="55" t="n">
        <f aca="false">W18*(1+X11)</f>
        <v>4.58758013081588</v>
      </c>
      <c r="Y18" s="55" t="n">
        <f aca="false">X18*(1+Y11)</f>
        <v>4.796315026768</v>
      </c>
      <c r="Z18" s="55" t="n">
        <f aca="false">Y18*(1+Z11)</f>
        <v>5.00015841540564</v>
      </c>
      <c r="AA18" s="55" t="n">
        <f aca="false">Z18*(1+AA11)</f>
        <v>5.19766467281416</v>
      </c>
      <c r="AB18" s="55" t="n">
        <f aca="false">AA18*(1+AB11)</f>
        <v>5.38737943337188</v>
      </c>
      <c r="AC18" s="55" t="n">
        <f aca="false">AB18*(1+AC11)</f>
        <v>5.56785664438984</v>
      </c>
      <c r="AD18" s="55" t="n">
        <f aca="false">AC18*(1+AD11)</f>
        <v>5.73767627204373</v>
      </c>
      <c r="AE18" s="55" t="n">
        <f aca="false">AD18*(1+AE11)</f>
        <v>5.89546236952493</v>
      </c>
      <c r="AF18" s="55" t="n">
        <f aca="false">AE18*(1+AF11)</f>
        <v>6.03990119757829</v>
      </c>
    </row>
    <row r="20" customFormat="false" ht="15" hidden="false" customHeight="true" outlineLevel="0" collapsed="false">
      <c r="B20" s="6" t="s">
        <v>329</v>
      </c>
      <c r="C20" s="17" t="n">
        <f aca="false">MM_Income!C$12</f>
        <v>21000</v>
      </c>
      <c r="D20" s="17" t="n">
        <f aca="false">MM_Income!D$12</f>
        <v>23100</v>
      </c>
      <c r="E20" s="17" t="n">
        <f aca="false">MM_Income!E$12</f>
        <v>24024</v>
      </c>
      <c r="F20" s="17" t="n">
        <f aca="false">MM_Income!F$12</f>
        <v>24504.48</v>
      </c>
      <c r="G20" s="17" t="n">
        <f aca="false">MM_Income!G$12</f>
        <v>24994.5696</v>
      </c>
      <c r="H20" s="17" t="n">
        <f aca="false">MM_Income!H$12</f>
        <v>25494.460992</v>
      </c>
      <c r="I20" s="17" t="n">
        <f aca="false">MM_Income!I$12</f>
        <v>26004.35021184</v>
      </c>
      <c r="J20" s="17" t="n">
        <f aca="false">MM_Income!J$12</f>
        <v>26524.4372160768</v>
      </c>
      <c r="K20" s="17" t="n">
        <f aca="false">MM_Income!K$12</f>
        <v>27054.9259603984</v>
      </c>
      <c r="L20" s="17" t="n">
        <f aca="false">MM_Income!L$12</f>
        <v>27596.0244796063</v>
      </c>
      <c r="M20" s="17" t="n">
        <f aca="false">MM_Income!M$12</f>
        <v>28147.9449691984</v>
      </c>
      <c r="N20" s="17" t="n">
        <f aca="false">MM_Income!N$12</f>
        <v>28710.9038685824</v>
      </c>
      <c r="O20" s="17" t="n">
        <f aca="false">MM_Income!O$12</f>
        <v>29285.1219459541</v>
      </c>
      <c r="P20" s="17" t="n">
        <f aca="false">MM_Income!P$12</f>
        <v>29870.8243848731</v>
      </c>
      <c r="Q20" s="17" t="n">
        <f aca="false">MM_Income!Q$12</f>
        <v>30468.2408725706</v>
      </c>
      <c r="R20" s="17" t="n">
        <f aca="false">MM_Income!R$12</f>
        <v>31077.605690022</v>
      </c>
      <c r="S20" s="17" t="n">
        <f aca="false">MM_Income!S$12</f>
        <v>31699.1578038225</v>
      </c>
      <c r="T20" s="17" t="n">
        <f aca="false">MM_Income!T$12</f>
        <v>32333.1409598989</v>
      </c>
      <c r="U20" s="17" t="n">
        <f aca="false">MM_Income!U$12</f>
        <v>32979.8037790969</v>
      </c>
      <c r="V20" s="17" t="n">
        <f aca="false">MM_Income!V$12</f>
        <v>33639.3998546788</v>
      </c>
      <c r="W20" s="17" t="n">
        <f aca="false">MM_Income!W$12</f>
        <v>34312.1878517724</v>
      </c>
      <c r="X20" s="17" t="n">
        <f aca="false">MM_Income!X$12</f>
        <v>34998.4316088078</v>
      </c>
      <c r="Y20" s="17" t="n">
        <f aca="false">MM_Income!Y$12</f>
        <v>35698.400240984</v>
      </c>
      <c r="Z20" s="17" t="n">
        <f aca="false">MM_Income!Z$12</f>
        <v>36412.3682458037</v>
      </c>
      <c r="AA20" s="17" t="n">
        <f aca="false">MM_Income!AA$12</f>
        <v>37140.6156107198</v>
      </c>
      <c r="AB20" s="17" t="n">
        <f aca="false">MM_Income!AB$12</f>
        <v>37883.4279229342</v>
      </c>
      <c r="AC20" s="17" t="n">
        <f aca="false">MM_Income!AC$12</f>
        <v>38641.0964813928</v>
      </c>
      <c r="AD20" s="17" t="n">
        <f aca="false">MM_Income!AD$12</f>
        <v>39413.9184110207</v>
      </c>
      <c r="AE20" s="17" t="n">
        <f aca="false">MM_Income!AE$12</f>
        <v>40202.1967792411</v>
      </c>
      <c r="AF20" s="17" t="n">
        <f aca="false">MM_Income!AF$12</f>
        <v>41006.2407148259</v>
      </c>
    </row>
    <row r="21" customFormat="false" ht="15" hidden="false" customHeight="true" outlineLevel="0" collapsed="false">
      <c r="B21" s="56" t="s">
        <v>330</v>
      </c>
      <c r="C21" s="57" t="n">
        <f aca="false">C20/C16</f>
        <v>19444.4444444444</v>
      </c>
      <c r="D21" s="57" t="n">
        <f aca="false">D20/D16</f>
        <v>19804.5267489712</v>
      </c>
      <c r="E21" s="57" t="n">
        <f aca="false">E20/E16</f>
        <v>19071.0257582686</v>
      </c>
      <c r="F21" s="57" t="n">
        <f aca="false">F20/F16</f>
        <v>18011.5243272536</v>
      </c>
      <c r="G21" s="57" t="n">
        <f aca="false">G20/G16</f>
        <v>17010.8840868507</v>
      </c>
      <c r="H21" s="57" t="n">
        <f aca="false">H20/H16</f>
        <v>16065.8349709145</v>
      </c>
      <c r="I21" s="57" t="n">
        <f aca="false">I20/I16</f>
        <v>15173.2885836415</v>
      </c>
      <c r="J21" s="57" t="n">
        <f aca="false">J20/J16</f>
        <v>14330.3281067725</v>
      </c>
      <c r="K21" s="57" t="n">
        <f aca="false">K20/K16</f>
        <v>13534.1987675074</v>
      </c>
      <c r="L21" s="57" t="n">
        <f aca="false">L20/L16</f>
        <v>12782.2988359792</v>
      </c>
      <c r="M21" s="57" t="n">
        <f aca="false">M20/M16</f>
        <v>12072.1711228692</v>
      </c>
      <c r="N21" s="57" t="n">
        <f aca="false">N20/N16</f>
        <v>11401.4949493765</v>
      </c>
      <c r="O21" s="57" t="n">
        <f aca="false">O20/O16</f>
        <v>10768.0785633</v>
      </c>
      <c r="P21" s="57" t="n">
        <f aca="false">P20/P16</f>
        <v>10169.85197645</v>
      </c>
      <c r="Q21" s="57" t="n">
        <f aca="false">Q20/Q16</f>
        <v>9604.86019998057</v>
      </c>
      <c r="R21" s="57" t="n">
        <f aca="false">R20/R16</f>
        <v>9071.2568555372</v>
      </c>
      <c r="S21" s="57" t="n">
        <f aca="false">S20/S16</f>
        <v>8591.16248156727</v>
      </c>
      <c r="T21" s="57" t="n">
        <f aca="false">T20/T16</f>
        <v>8159.2045914326</v>
      </c>
      <c r="U21" s="57" t="n">
        <f aca="false">U20/U16</f>
        <v>7770.67103945962</v>
      </c>
      <c r="V21" s="57" t="n">
        <f aca="false">V20/V16</f>
        <v>7421.42739723672</v>
      </c>
      <c r="W21" s="57" t="n">
        <f aca="false">W20/W16</f>
        <v>7107.84595791686</v>
      </c>
      <c r="X21" s="57" t="n">
        <f aca="false">X20/X16</f>
        <v>6826.74470534387</v>
      </c>
      <c r="Y21" s="57" t="n">
        <f aca="false">Y20/Y16</f>
        <v>6575.33484367399</v>
      </c>
      <c r="Z21" s="57" t="n">
        <f aca="false">Z20/Z16</f>
        <v>6351.17570127601</v>
      </c>
      <c r="AA21" s="57" t="n">
        <f aca="false">AA20/AA16</f>
        <v>6152.13600693403</v>
      </c>
      <c r="AB21" s="57" t="n">
        <f aca="false">AB20/AB16</f>
        <v>5976.3606924502</v>
      </c>
      <c r="AC21" s="57" t="n">
        <f aca="false">AC20/AC16</f>
        <v>5822.2425084042</v>
      </c>
      <c r="AD21" s="57" t="n">
        <f aca="false">AD20/AD16</f>
        <v>5688.39785303859</v>
      </c>
      <c r="AE21" s="57" t="n">
        <f aca="false">AE20/AE16</f>
        <v>5573.64631133464</v>
      </c>
      <c r="AF21" s="57" t="n">
        <f aca="false">AF20/AF16</f>
        <v>5476.99348512653</v>
      </c>
    </row>
    <row r="22" customFormat="false" ht="15" hidden="false" customHeight="true" outlineLevel="0" collapsed="false">
      <c r="B22" s="56" t="s">
        <v>331</v>
      </c>
      <c r="C22" s="57" t="n">
        <f aca="false">C21</f>
        <v>19444.4444444444</v>
      </c>
      <c r="D22" s="57" t="n">
        <f aca="false">C22+D21</f>
        <v>39248.9711934156</v>
      </c>
      <c r="E22" s="57" t="n">
        <f aca="false">D22+E21</f>
        <v>58319.9969516842</v>
      </c>
      <c r="F22" s="57" t="n">
        <f aca="false">E22+F21</f>
        <v>76331.5212789378</v>
      </c>
      <c r="G22" s="57" t="n">
        <f aca="false">F22+G21</f>
        <v>93342.4053657885</v>
      </c>
      <c r="H22" s="57" t="n">
        <f aca="false">G22+H21</f>
        <v>109408.240336703</v>
      </c>
      <c r="I22" s="57" t="n">
        <f aca="false">H22+I21</f>
        <v>124581.528920344</v>
      </c>
      <c r="J22" s="57" t="n">
        <f aca="false">I22+J21</f>
        <v>138911.857027117</v>
      </c>
      <c r="K22" s="57" t="n">
        <f aca="false">J22+K21</f>
        <v>152446.055794624</v>
      </c>
      <c r="L22" s="57" t="n">
        <f aca="false">K22+L21</f>
        <v>165228.354630604</v>
      </c>
      <c r="M22" s="57" t="n">
        <f aca="false">L22+M21</f>
        <v>177300.525753473</v>
      </c>
      <c r="N22" s="57" t="n">
        <f aca="false">M22+N21</f>
        <v>188702.020702849</v>
      </c>
      <c r="O22" s="57" t="n">
        <f aca="false">N22+O21</f>
        <v>199470.099266149</v>
      </c>
      <c r="P22" s="57" t="n">
        <f aca="false">O22+P21</f>
        <v>209639.951242599</v>
      </c>
      <c r="Q22" s="57" t="n">
        <f aca="false">P22+Q21</f>
        <v>219244.81144258</v>
      </c>
      <c r="R22" s="57" t="n">
        <f aca="false">Q22+R21</f>
        <v>228316.068298117</v>
      </c>
      <c r="S22" s="57" t="n">
        <f aca="false">R22+S21</f>
        <v>236907.230779684</v>
      </c>
      <c r="T22" s="57" t="n">
        <f aca="false">S22+T21</f>
        <v>245066.435371117</v>
      </c>
      <c r="U22" s="57" t="n">
        <f aca="false">T22+U21</f>
        <v>252837.106410577</v>
      </c>
      <c r="V22" s="57" t="n">
        <f aca="false">U22+V21</f>
        <v>260258.533807813</v>
      </c>
      <c r="W22" s="57" t="n">
        <f aca="false">V22+W21</f>
        <v>267366.37976573</v>
      </c>
      <c r="X22" s="57" t="n">
        <f aca="false">W22+X21</f>
        <v>274193.124471074</v>
      </c>
      <c r="Y22" s="57" t="n">
        <f aca="false">X22+Y21</f>
        <v>280768.459314748</v>
      </c>
      <c r="Z22" s="57" t="n">
        <f aca="false">Y22+Z21</f>
        <v>287119.635016024</v>
      </c>
      <c r="AA22" s="57" t="n">
        <f aca="false">Z22+AA21</f>
        <v>293271.771022958</v>
      </c>
      <c r="AB22" s="57" t="n">
        <f aca="false">AA22+AB21</f>
        <v>299248.131715408</v>
      </c>
      <c r="AC22" s="57" t="n">
        <f aca="false">AB22+AC21</f>
        <v>305070.374223812</v>
      </c>
      <c r="AD22" s="57" t="n">
        <f aca="false">AC22+AD21</f>
        <v>310758.772076851</v>
      </c>
      <c r="AE22" s="57" t="n">
        <f aca="false">AD22+AE21</f>
        <v>316332.418388186</v>
      </c>
      <c r="AF22" s="57" t="n">
        <f aca="false">AE22+AF21</f>
        <v>321809.411873312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332</v>
      </c>
    </row>
    <row r="2" customFormat="false" ht="15" hidden="false" customHeight="true" outlineLevel="0" collapsed="false">
      <c r="A2" s="29" t="s">
        <v>333</v>
      </c>
    </row>
    <row r="4" customFormat="false" ht="15" hidden="false" customHeight="true" outlineLevel="0" collapsed="false">
      <c r="A4" s="30" t="s">
        <v>334</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335</v>
      </c>
      <c r="C6" s="50" t="n">
        <f aca="false">Assumptions!C$12</f>
        <v>35</v>
      </c>
      <c r="D6" s="50" t="n">
        <f aca="false">Assumptions!D$12</f>
        <v>36</v>
      </c>
      <c r="E6" s="50" t="n">
        <f aca="false">Assumptions!E$12</f>
        <v>37</v>
      </c>
      <c r="F6" s="50" t="n">
        <f aca="false">Assumptions!F$12</f>
        <v>38</v>
      </c>
      <c r="G6" s="50" t="n">
        <f aca="false">Assumptions!G$12</f>
        <v>39</v>
      </c>
      <c r="H6" s="50" t="n">
        <f aca="false">Assumptions!H$12</f>
        <v>40</v>
      </c>
      <c r="I6" s="50" t="n">
        <f aca="false">Assumptions!I$12</f>
        <v>41</v>
      </c>
      <c r="J6" s="50" t="n">
        <f aca="false">Assumptions!J$12</f>
        <v>42</v>
      </c>
      <c r="K6" s="50" t="n">
        <f aca="false">Assumptions!K$12</f>
        <v>43</v>
      </c>
      <c r="L6" s="50" t="n">
        <f aca="false">Assumptions!L$12</f>
        <v>44</v>
      </c>
      <c r="M6" s="50" t="n">
        <f aca="false">Assumptions!M$12</f>
        <v>45</v>
      </c>
      <c r="N6" s="50" t="n">
        <f aca="false">Assumptions!N$12</f>
        <v>46</v>
      </c>
      <c r="O6" s="50" t="n">
        <f aca="false">Assumptions!O$12</f>
        <v>47</v>
      </c>
      <c r="P6" s="50" t="n">
        <f aca="false">Assumptions!P$12</f>
        <v>48</v>
      </c>
      <c r="Q6" s="50" t="n">
        <f aca="false">Assumptions!Q$12</f>
        <v>49</v>
      </c>
      <c r="R6" s="50" t="n">
        <f aca="false">Assumptions!R$12</f>
        <v>50</v>
      </c>
      <c r="S6" s="50" t="n">
        <f aca="false">Assumptions!S$12</f>
        <v>51</v>
      </c>
      <c r="T6" s="50" t="n">
        <f aca="false">Assumptions!T$12</f>
        <v>52</v>
      </c>
      <c r="U6" s="50" t="n">
        <f aca="false">Assumptions!U$12</f>
        <v>53</v>
      </c>
      <c r="V6" s="50" t="n">
        <f aca="false">Assumptions!V$12</f>
        <v>54</v>
      </c>
      <c r="W6" s="50" t="n">
        <f aca="false">Assumptions!W$12</f>
        <v>55</v>
      </c>
      <c r="X6" s="50" t="n">
        <f aca="false">Assumptions!X$12</f>
        <v>56</v>
      </c>
      <c r="Y6" s="50" t="n">
        <f aca="false">Assumptions!Y$12</f>
        <v>57</v>
      </c>
      <c r="Z6" s="50" t="n">
        <f aca="false">Assumptions!Z$12</f>
        <v>58</v>
      </c>
      <c r="AA6" s="50" t="n">
        <f aca="false">Assumptions!AA$12</f>
        <v>59</v>
      </c>
      <c r="AB6" s="50" t="n">
        <f aca="false">Assumptions!AB$12</f>
        <v>60</v>
      </c>
      <c r="AC6" s="50" t="n">
        <f aca="false">Assumptions!AC$12</f>
        <v>61</v>
      </c>
      <c r="AD6" s="50" t="n">
        <f aca="false">Assumptions!AD$12</f>
        <v>62</v>
      </c>
      <c r="AE6" s="50" t="n">
        <f aca="false">Assumptions!AE$12</f>
        <v>63</v>
      </c>
      <c r="AF6" s="50" t="n">
        <f aca="false">Assumptions!AF$12</f>
        <v>64</v>
      </c>
    </row>
    <row r="8" customFormat="false" ht="15" hidden="false" customHeight="true" outlineLevel="0" collapsed="false">
      <c r="B8" s="16" t="s">
        <v>336</v>
      </c>
      <c r="C8" s="58" t="n">
        <f aca="false">Assumptions!$C$21*Assumptions!C$9</f>
        <v>170000</v>
      </c>
      <c r="D8" s="58" t="n">
        <f aca="false">Assumptions!$C$21*Assumptions!D$9</f>
        <v>176800</v>
      </c>
      <c r="E8" s="58" t="n">
        <f aca="false">Assumptions!$C$21*Assumptions!E$9</f>
        <v>183872</v>
      </c>
      <c r="F8" s="58" t="n">
        <f aca="false">Assumptions!$C$21*Assumptions!F$9</f>
        <v>187549.44</v>
      </c>
      <c r="G8" s="58" t="n">
        <f aca="false">Assumptions!$C$21*Assumptions!G$9</f>
        <v>191300.4288</v>
      </c>
      <c r="H8" s="58" t="n">
        <f aca="false">Assumptions!$C$21*Assumptions!H$9</f>
        <v>195126.437376</v>
      </c>
      <c r="I8" s="58" t="n">
        <f aca="false">Assumptions!$C$21*Assumptions!I$9</f>
        <v>199028.96612352</v>
      </c>
      <c r="J8" s="58" t="n">
        <f aca="false">Assumptions!$C$21*Assumptions!J$9</f>
        <v>203009.54544599</v>
      </c>
      <c r="K8" s="58" t="n">
        <f aca="false">Assumptions!$C$21*Assumptions!K$9</f>
        <v>207069.73635491</v>
      </c>
      <c r="L8" s="58" t="n">
        <f aca="false">Assumptions!$C$21*Assumptions!L$9</f>
        <v>211211.131082008</v>
      </c>
      <c r="M8" s="58" t="n">
        <f aca="false">Assumptions!$C$21*Assumptions!M$9</f>
        <v>215435.353703649</v>
      </c>
      <c r="N8" s="58" t="n">
        <f aca="false">Assumptions!$C$21*Assumptions!N$9</f>
        <v>219744.060777722</v>
      </c>
      <c r="O8" s="58" t="n">
        <f aca="false">Assumptions!$C$21*Assumptions!O$9</f>
        <v>224138.941993276</v>
      </c>
      <c r="P8" s="58" t="n">
        <f aca="false">Assumptions!$C$21*Assumptions!P$9</f>
        <v>228621.720833142</v>
      </c>
      <c r="Q8" s="58" t="n">
        <f aca="false">Assumptions!$C$21*Assumptions!Q$9</f>
        <v>233194.155249804</v>
      </c>
      <c r="R8" s="58" t="n">
        <f aca="false">Assumptions!$C$21*Assumptions!R$9</f>
        <v>237858.038354801</v>
      </c>
      <c r="S8" s="58" t="n">
        <f aca="false">Assumptions!$C$21*Assumptions!S$9</f>
        <v>242615.199121897</v>
      </c>
      <c r="T8" s="58" t="n">
        <f aca="false">Assumptions!$C$21*Assumptions!T$9</f>
        <v>247467.503104334</v>
      </c>
      <c r="U8" s="58" t="n">
        <f aca="false">Assumptions!$C$21*Assumptions!U$9</f>
        <v>252416.853166421</v>
      </c>
      <c r="V8" s="58" t="n">
        <f aca="false">Assumptions!$C$21*Assumptions!V$9</f>
        <v>257465.19022975</v>
      </c>
      <c r="W8" s="58" t="n">
        <f aca="false">Assumptions!$C$21*Assumptions!W$9</f>
        <v>262614.494034345</v>
      </c>
      <c r="X8" s="58" t="n">
        <f aca="false">Assumptions!$C$21*Assumptions!X$9</f>
        <v>267866.783915031</v>
      </c>
      <c r="Y8" s="58" t="n">
        <f aca="false">Assumptions!$C$21*Assumptions!Y$9</f>
        <v>273224.119593332</v>
      </c>
      <c r="Z8" s="58" t="n">
        <f aca="false">Assumptions!$C$21*Assumptions!Z$9</f>
        <v>278688.601985199</v>
      </c>
      <c r="AA8" s="58" t="n">
        <f aca="false">Assumptions!$C$21*Assumptions!AA$9</f>
        <v>284262.374024903</v>
      </c>
      <c r="AB8" s="58" t="n">
        <f aca="false">Assumptions!$C$21*Assumptions!AB$9</f>
        <v>289947.621505401</v>
      </c>
      <c r="AC8" s="58" t="n">
        <f aca="false">Assumptions!$C$21*Assumptions!AC$9</f>
        <v>295746.573935509</v>
      </c>
      <c r="AD8" s="58" t="n">
        <f aca="false">Assumptions!$C$21*Assumptions!AD$9</f>
        <v>301661.505414219</v>
      </c>
      <c r="AE8" s="58" t="n">
        <f aca="false">Assumptions!$C$21*Assumptions!AE$9</f>
        <v>307694.735522503</v>
      </c>
      <c r="AF8" s="58" t="n">
        <f aca="false">Assumptions!$C$21*Assumptions!AF$9</f>
        <v>313848.630232953</v>
      </c>
    </row>
    <row r="9" customFormat="false" ht="15" hidden="false" customHeight="true" outlineLevel="0" collapsed="false">
      <c r="B9" s="6" t="s">
        <v>337</v>
      </c>
      <c r="C9" s="20" t="n">
        <f aca="false">Assumptions!$C$22</f>
        <v>100000</v>
      </c>
      <c r="D9" s="20" t="n">
        <f aca="false">IF(Assumptions!$C$23&gt;0,Assumptions!$C$23*Assumptions!D$9/Assumptions!$D$9,Assumptions!$C$22*Assumptions!D$9)</f>
        <v>110000</v>
      </c>
      <c r="E9" s="20" t="n">
        <f aca="false">IF(Assumptions!$C$23&gt;0,Assumptions!$C$23*Assumptions!E$9/Assumptions!$D$9,Assumptions!$C$22*Assumptions!E$9)</f>
        <v>114400</v>
      </c>
      <c r="F9" s="20" t="n">
        <f aca="false">IF(Assumptions!$C$23&gt;0,Assumptions!$C$23*Assumptions!F$9/Assumptions!$D$9,Assumptions!$C$22*Assumptions!F$9)</f>
        <v>116688</v>
      </c>
      <c r="G9" s="20" t="n">
        <f aca="false">IF(Assumptions!$C$23&gt;0,Assumptions!$C$23*Assumptions!G$9/Assumptions!$D$9,Assumptions!$C$22*Assumptions!G$9)</f>
        <v>119021.76</v>
      </c>
      <c r="H9" s="20" t="n">
        <f aca="false">IF(Assumptions!$C$23&gt;0,Assumptions!$C$23*Assumptions!H$9/Assumptions!$D$9,Assumptions!$C$22*Assumptions!H$9)</f>
        <v>121402.1952</v>
      </c>
      <c r="I9" s="20" t="n">
        <f aca="false">IF(Assumptions!$C$23&gt;0,Assumptions!$C$23*Assumptions!I$9/Assumptions!$D$9,Assumptions!$C$22*Assumptions!I$9)</f>
        <v>123830.239104</v>
      </c>
      <c r="J9" s="20" t="n">
        <f aca="false">IF(Assumptions!$C$23&gt;0,Assumptions!$C$23*Assumptions!J$9/Assumptions!$D$9,Assumptions!$C$22*Assumptions!J$9)</f>
        <v>126306.84388608</v>
      </c>
      <c r="K9" s="20" t="n">
        <f aca="false">IF(Assumptions!$C$23&gt;0,Assumptions!$C$23*Assumptions!K$9/Assumptions!$D$9,Assumptions!$C$22*Assumptions!K$9)</f>
        <v>128832.980763802</v>
      </c>
      <c r="L9" s="20" t="n">
        <f aca="false">IF(Assumptions!$C$23&gt;0,Assumptions!$C$23*Assumptions!L$9/Assumptions!$D$9,Assumptions!$C$22*Assumptions!L$9)</f>
        <v>131409.640379078</v>
      </c>
      <c r="M9" s="20" t="n">
        <f aca="false">IF(Assumptions!$C$23&gt;0,Assumptions!$C$23*Assumptions!M$9/Assumptions!$D$9,Assumptions!$C$22*Assumptions!M$9)</f>
        <v>134037.833186659</v>
      </c>
      <c r="N9" s="20" t="n">
        <f aca="false">IF(Assumptions!$C$23&gt;0,Assumptions!$C$23*Assumptions!N$9/Assumptions!$D$9,Assumptions!$C$22*Assumptions!N$9)</f>
        <v>136718.589850392</v>
      </c>
      <c r="O9" s="20" t="n">
        <f aca="false">IF(Assumptions!$C$23&gt;0,Assumptions!$C$23*Assumptions!O$9/Assumptions!$D$9,Assumptions!$C$22*Assumptions!O$9)</f>
        <v>139452.9616474</v>
      </c>
      <c r="P9" s="20" t="n">
        <f aca="false">IF(Assumptions!$C$23&gt;0,Assumptions!$C$23*Assumptions!P$9/Assumptions!$D$9,Assumptions!$C$22*Assumptions!P$9)</f>
        <v>142242.020880348</v>
      </c>
      <c r="Q9" s="20" t="n">
        <f aca="false">IF(Assumptions!$C$23&gt;0,Assumptions!$C$23*Assumptions!Q$9/Assumptions!$D$9,Assumptions!$C$22*Assumptions!Q$9)</f>
        <v>145086.861297955</v>
      </c>
      <c r="R9" s="20" t="n">
        <f aca="false">IF(Assumptions!$C$23&gt;0,Assumptions!$C$23*Assumptions!R$9/Assumptions!$D$9,Assumptions!$C$22*Assumptions!R$9)</f>
        <v>147988.598523914</v>
      </c>
      <c r="S9" s="20" t="n">
        <f aca="false">IF(Assumptions!$C$23&gt;0,Assumptions!$C$23*Assumptions!S$9/Assumptions!$D$9,Assumptions!$C$22*Assumptions!S$9)</f>
        <v>150948.370494393</v>
      </c>
      <c r="T9" s="20" t="n">
        <f aca="false">IF(Assumptions!$C$23&gt;0,Assumptions!$C$23*Assumptions!T$9/Assumptions!$D$9,Assumptions!$C$22*Assumptions!T$9)</f>
        <v>153967.337904281</v>
      </c>
      <c r="U9" s="20" t="n">
        <f aca="false">IF(Assumptions!$C$23&gt;0,Assumptions!$C$23*Assumptions!U$9/Assumptions!$D$9,Assumptions!$C$22*Assumptions!U$9)</f>
        <v>157046.684662366</v>
      </c>
      <c r="V9" s="20" t="n">
        <f aca="false">IF(Assumptions!$C$23&gt;0,Assumptions!$C$23*Assumptions!V$9/Assumptions!$D$9,Assumptions!$C$22*Assumptions!V$9)</f>
        <v>160187.618355613</v>
      </c>
      <c r="W9" s="20" t="n">
        <f aca="false">IF(Assumptions!$C$23&gt;0,Assumptions!$C$23*Assumptions!W$9/Assumptions!$D$9,Assumptions!$C$22*Assumptions!W$9)</f>
        <v>163391.370722726</v>
      </c>
      <c r="X9" s="20" t="n">
        <f aca="false">IF(Assumptions!$C$23&gt;0,Assumptions!$C$23*Assumptions!X$9/Assumptions!$D$9,Assumptions!$C$22*Assumptions!X$9)</f>
        <v>166659.19813718</v>
      </c>
      <c r="Y9" s="20" t="n">
        <f aca="false">IF(Assumptions!$C$23&gt;0,Assumptions!$C$23*Assumptions!Y$9/Assumptions!$D$9,Assumptions!$C$22*Assumptions!Y$9)</f>
        <v>169992.382099924</v>
      </c>
      <c r="Z9" s="20" t="n">
        <f aca="false">IF(Assumptions!$C$23&gt;0,Assumptions!$C$23*Assumptions!Z$9/Assumptions!$D$9,Assumptions!$C$22*Assumptions!Z$9)</f>
        <v>173392.229741922</v>
      </c>
      <c r="AA9" s="20" t="n">
        <f aca="false">IF(Assumptions!$C$23&gt;0,Assumptions!$C$23*Assumptions!AA$9/Assumptions!$D$9,Assumptions!$C$22*Assumptions!AA$9)</f>
        <v>176860.074336761</v>
      </c>
      <c r="AB9" s="20" t="n">
        <f aca="false">IF(Assumptions!$C$23&gt;0,Assumptions!$C$23*Assumptions!AB$9/Assumptions!$D$9,Assumptions!$C$22*Assumptions!AB$9)</f>
        <v>180397.275823496</v>
      </c>
      <c r="AC9" s="20" t="n">
        <f aca="false">IF(Assumptions!$C$23&gt;0,Assumptions!$C$23*Assumptions!AC$9/Assumptions!$D$9,Assumptions!$C$22*Assumptions!AC$9)</f>
        <v>184005.221339966</v>
      </c>
      <c r="AD9" s="20" t="n">
        <f aca="false">IF(Assumptions!$C$23&gt;0,Assumptions!$C$23*Assumptions!AD$9/Assumptions!$D$9,Assumptions!$C$22*Assumptions!AD$9)</f>
        <v>187685.325766765</v>
      </c>
      <c r="AE9" s="20" t="n">
        <f aca="false">IF(Assumptions!$C$23&gt;0,Assumptions!$C$23*Assumptions!AE$9/Assumptions!$D$9,Assumptions!$C$22*Assumptions!AE$9)</f>
        <v>191439.032282101</v>
      </c>
      <c r="AF9" s="20" t="n">
        <f aca="false">IF(Assumptions!$C$23&gt;0,Assumptions!$C$23*Assumptions!AF$9/Assumptions!$D$9,Assumptions!$C$22*Assumptions!AF$9)</f>
        <v>195267.812927743</v>
      </c>
    </row>
    <row r="10" customFormat="false" ht="15" hidden="false" customHeight="true" outlineLevel="0" collapsed="false">
      <c r="B10" s="56" t="s">
        <v>338</v>
      </c>
      <c r="C10" s="20" t="n">
        <f aca="false">C9*Assumptions!$C$28</f>
        <v>7000</v>
      </c>
      <c r="D10" s="20" t="n">
        <f aca="false">D9*Assumptions!$C$28</f>
        <v>7700</v>
      </c>
      <c r="E10" s="20" t="n">
        <f aca="false">E9*Assumptions!$C$28</f>
        <v>8008</v>
      </c>
      <c r="F10" s="20" t="n">
        <f aca="false">F9*Assumptions!$C$28</f>
        <v>8168.16</v>
      </c>
      <c r="G10" s="20" t="n">
        <f aca="false">G9*Assumptions!$C$28</f>
        <v>8331.5232</v>
      </c>
      <c r="H10" s="20" t="n">
        <f aca="false">H9*Assumptions!$C$28</f>
        <v>8498.153664</v>
      </c>
      <c r="I10" s="20" t="n">
        <f aca="false">I9*Assumptions!$C$28</f>
        <v>8668.11673728</v>
      </c>
      <c r="J10" s="20" t="n">
        <f aca="false">J9*Assumptions!$C$28</f>
        <v>8841.4790720256</v>
      </c>
      <c r="K10" s="20" t="n">
        <f aca="false">K9*Assumptions!$C$28</f>
        <v>9018.30865346612</v>
      </c>
      <c r="L10" s="20" t="n">
        <f aca="false">L9*Assumptions!$C$28</f>
        <v>9198.67482653544</v>
      </c>
      <c r="M10" s="20" t="n">
        <f aca="false">M9*Assumptions!$C$28</f>
        <v>9382.64832306615</v>
      </c>
      <c r="N10" s="20" t="n">
        <f aca="false">N9*Assumptions!$C$28</f>
        <v>9570.30128952747</v>
      </c>
      <c r="O10" s="20" t="n">
        <f aca="false">O9*Assumptions!$C$28</f>
        <v>9761.70731531802</v>
      </c>
      <c r="P10" s="20" t="n">
        <f aca="false">P9*Assumptions!$C$28</f>
        <v>9956.94146162438</v>
      </c>
      <c r="Q10" s="20" t="n">
        <f aca="false">Q9*Assumptions!$C$28</f>
        <v>10156.0802908569</v>
      </c>
      <c r="R10" s="20" t="n">
        <f aca="false">R9*Assumptions!$C$28</f>
        <v>10359.201896674</v>
      </c>
      <c r="S10" s="20" t="n">
        <f aca="false">S9*Assumptions!$C$28</f>
        <v>10566.3859346075</v>
      </c>
      <c r="T10" s="20" t="n">
        <f aca="false">T9*Assumptions!$C$28</f>
        <v>10777.7136532996</v>
      </c>
      <c r="U10" s="20" t="n">
        <f aca="false">U9*Assumptions!$C$28</f>
        <v>10993.2679263656</v>
      </c>
      <c r="V10" s="20" t="n">
        <f aca="false">V9*Assumptions!$C$28</f>
        <v>11213.1332848929</v>
      </c>
      <c r="W10" s="20" t="n">
        <f aca="false">W9*Assumptions!$C$28</f>
        <v>11437.3959505908</v>
      </c>
      <c r="X10" s="20" t="n">
        <f aca="false">X9*Assumptions!$C$28</f>
        <v>11666.1438696026</v>
      </c>
      <c r="Y10" s="20" t="n">
        <f aca="false">Y9*Assumptions!$C$28</f>
        <v>11899.4667469947</v>
      </c>
      <c r="Z10" s="20" t="n">
        <f aca="false">Z9*Assumptions!$C$28</f>
        <v>12137.4560819346</v>
      </c>
      <c r="AA10" s="20" t="n">
        <f aca="false">AA9*Assumptions!$C$28</f>
        <v>12380.2052035733</v>
      </c>
      <c r="AB10" s="20" t="n">
        <f aca="false">AB9*Assumptions!$C$28</f>
        <v>12627.8093076447</v>
      </c>
      <c r="AC10" s="20" t="n">
        <f aca="false">AC9*Assumptions!$C$28</f>
        <v>12880.3654937976</v>
      </c>
      <c r="AD10" s="20" t="n">
        <f aca="false">AD9*Assumptions!$C$28</f>
        <v>13137.9728036736</v>
      </c>
      <c r="AE10" s="20" t="n">
        <f aca="false">AE9*Assumptions!$C$28</f>
        <v>13400.732259747</v>
      </c>
      <c r="AF10" s="20" t="n">
        <f aca="false">AF9*Assumptions!$C$28</f>
        <v>13668.746904942</v>
      </c>
    </row>
    <row r="11" customFormat="false" ht="15" hidden="false" customHeight="true" outlineLevel="0" collapsed="false">
      <c r="B11" s="56" t="s">
        <v>339</v>
      </c>
      <c r="C11" s="20" t="n">
        <f aca="false">C9*Assumptions!$C$29</f>
        <v>14000</v>
      </c>
      <c r="D11" s="20" t="n">
        <f aca="false">D9*Assumptions!$C$29</f>
        <v>15400</v>
      </c>
      <c r="E11" s="20" t="n">
        <f aca="false">E9*Assumptions!$C$29</f>
        <v>16016</v>
      </c>
      <c r="F11" s="20" t="n">
        <f aca="false">F9*Assumptions!$C$29</f>
        <v>16336.32</v>
      </c>
      <c r="G11" s="20" t="n">
        <f aca="false">G9*Assumptions!$C$29</f>
        <v>16663.0464</v>
      </c>
      <c r="H11" s="20" t="n">
        <f aca="false">H9*Assumptions!$C$29</f>
        <v>16996.307328</v>
      </c>
      <c r="I11" s="20" t="n">
        <f aca="false">I9*Assumptions!$C$29</f>
        <v>17336.23347456</v>
      </c>
      <c r="J11" s="20" t="n">
        <f aca="false">J9*Assumptions!$C$29</f>
        <v>17682.9581440512</v>
      </c>
      <c r="K11" s="20" t="n">
        <f aca="false">K9*Assumptions!$C$29</f>
        <v>18036.6173069322</v>
      </c>
      <c r="L11" s="20" t="n">
        <f aca="false">L9*Assumptions!$C$29</f>
        <v>18397.3496530709</v>
      </c>
      <c r="M11" s="20" t="n">
        <f aca="false">M9*Assumptions!$C$29</f>
        <v>18765.2966461323</v>
      </c>
      <c r="N11" s="20" t="n">
        <f aca="false">N9*Assumptions!$C$29</f>
        <v>19140.6025790549</v>
      </c>
      <c r="O11" s="20" t="n">
        <f aca="false">O9*Assumptions!$C$29</f>
        <v>19523.414630636</v>
      </c>
      <c r="P11" s="20" t="n">
        <f aca="false">P9*Assumptions!$C$29</f>
        <v>19913.8829232488</v>
      </c>
      <c r="Q11" s="20" t="n">
        <f aca="false">Q9*Assumptions!$C$29</f>
        <v>20312.1605817137</v>
      </c>
      <c r="R11" s="20" t="n">
        <f aca="false">R9*Assumptions!$C$29</f>
        <v>20718.403793348</v>
      </c>
      <c r="S11" s="20" t="n">
        <f aca="false">S9*Assumptions!$C$29</f>
        <v>21132.771869215</v>
      </c>
      <c r="T11" s="20" t="n">
        <f aca="false">T9*Assumptions!$C$29</f>
        <v>21555.4273065993</v>
      </c>
      <c r="U11" s="20" t="n">
        <f aca="false">U9*Assumptions!$C$29</f>
        <v>21986.5358527313</v>
      </c>
      <c r="V11" s="20" t="n">
        <f aca="false">V9*Assumptions!$C$29</f>
        <v>22426.2665697859</v>
      </c>
      <c r="W11" s="20" t="n">
        <f aca="false">W9*Assumptions!$C$29</f>
        <v>22874.7919011816</v>
      </c>
      <c r="X11" s="20" t="n">
        <f aca="false">X9*Assumptions!$C$29</f>
        <v>23332.2877392052</v>
      </c>
      <c r="Y11" s="20" t="n">
        <f aca="false">Y9*Assumptions!$C$29</f>
        <v>23798.9334939893</v>
      </c>
      <c r="Z11" s="20" t="n">
        <f aca="false">Z9*Assumptions!$C$29</f>
        <v>24274.9121638691</v>
      </c>
      <c r="AA11" s="20" t="n">
        <f aca="false">AA9*Assumptions!$C$29</f>
        <v>24760.4104071465</v>
      </c>
      <c r="AB11" s="20" t="n">
        <f aca="false">AB9*Assumptions!$C$29</f>
        <v>25255.6186152894</v>
      </c>
      <c r="AC11" s="20" t="n">
        <f aca="false">AC9*Assumptions!$C$29</f>
        <v>25760.7309875952</v>
      </c>
      <c r="AD11" s="20" t="n">
        <f aca="false">AD9*Assumptions!$C$29</f>
        <v>26275.9456073471</v>
      </c>
      <c r="AE11" s="20" t="n">
        <f aca="false">AE9*Assumptions!$C$29</f>
        <v>26801.4645194941</v>
      </c>
      <c r="AF11" s="20" t="n">
        <f aca="false">AF9*Assumptions!$C$29</f>
        <v>27337.493809884</v>
      </c>
    </row>
    <row r="12" customFormat="false" ht="15" hidden="false" customHeight="true" outlineLevel="0" collapsed="false">
      <c r="B12" s="16" t="s">
        <v>340</v>
      </c>
      <c r="C12" s="58" t="n">
        <f aca="false">C10+C11</f>
        <v>21000</v>
      </c>
      <c r="D12" s="58" t="n">
        <f aca="false">D10+D11</f>
        <v>23100</v>
      </c>
      <c r="E12" s="58" t="n">
        <f aca="false">E10+E11</f>
        <v>24024</v>
      </c>
      <c r="F12" s="58" t="n">
        <f aca="false">F10+F11</f>
        <v>24504.48</v>
      </c>
      <c r="G12" s="58" t="n">
        <f aca="false">G10+G11</f>
        <v>24994.5696</v>
      </c>
      <c r="H12" s="58" t="n">
        <f aca="false">H10+H11</f>
        <v>25494.460992</v>
      </c>
      <c r="I12" s="58" t="n">
        <f aca="false">I10+I11</f>
        <v>26004.35021184</v>
      </c>
      <c r="J12" s="58" t="n">
        <f aca="false">J10+J11</f>
        <v>26524.4372160768</v>
      </c>
      <c r="K12" s="58" t="n">
        <f aca="false">K10+K11</f>
        <v>27054.9259603984</v>
      </c>
      <c r="L12" s="58" t="n">
        <f aca="false">L10+L11</f>
        <v>27596.0244796063</v>
      </c>
      <c r="M12" s="58" t="n">
        <f aca="false">M10+M11</f>
        <v>28147.9449691984</v>
      </c>
      <c r="N12" s="58" t="n">
        <f aca="false">N10+N11</f>
        <v>28710.9038685824</v>
      </c>
      <c r="O12" s="58" t="n">
        <f aca="false">O10+O11</f>
        <v>29285.1219459541</v>
      </c>
      <c r="P12" s="58" t="n">
        <f aca="false">P10+P11</f>
        <v>29870.8243848731</v>
      </c>
      <c r="Q12" s="58" t="n">
        <f aca="false">Q10+Q11</f>
        <v>30468.2408725706</v>
      </c>
      <c r="R12" s="58" t="n">
        <f aca="false">R10+R11</f>
        <v>31077.605690022</v>
      </c>
      <c r="S12" s="58" t="n">
        <f aca="false">S10+S11</f>
        <v>31699.1578038225</v>
      </c>
      <c r="T12" s="58" t="n">
        <f aca="false">T10+T11</f>
        <v>32333.1409598989</v>
      </c>
      <c r="U12" s="58" t="n">
        <f aca="false">U10+U11</f>
        <v>32979.8037790969</v>
      </c>
      <c r="V12" s="58" t="n">
        <f aca="false">V10+V11</f>
        <v>33639.3998546788</v>
      </c>
      <c r="W12" s="58" t="n">
        <f aca="false">W10+W11</f>
        <v>34312.1878517724</v>
      </c>
      <c r="X12" s="58" t="n">
        <f aca="false">X10+X11</f>
        <v>34998.4316088078</v>
      </c>
      <c r="Y12" s="58" t="n">
        <f aca="false">Y10+Y11</f>
        <v>35698.400240984</v>
      </c>
      <c r="Z12" s="58" t="n">
        <f aca="false">Z10+Z11</f>
        <v>36412.3682458037</v>
      </c>
      <c r="AA12" s="58" t="n">
        <f aca="false">AA10+AA11</f>
        <v>37140.6156107198</v>
      </c>
      <c r="AB12" s="58" t="n">
        <f aca="false">AB10+AB11</f>
        <v>37883.4279229342</v>
      </c>
      <c r="AC12" s="58" t="n">
        <f aca="false">AC10+AC11</f>
        <v>38641.0964813928</v>
      </c>
      <c r="AD12" s="58" t="n">
        <f aca="false">AD10+AD11</f>
        <v>39413.9184110207</v>
      </c>
      <c r="AE12" s="58" t="n">
        <f aca="false">AE10+AE11</f>
        <v>40202.1967792411</v>
      </c>
      <c r="AF12" s="58" t="n">
        <f aca="false">AF10+AF11</f>
        <v>41006.2407148259</v>
      </c>
    </row>
    <row r="13" customFormat="false" ht="15" hidden="false" customHeight="true" outlineLevel="0" collapsed="false">
      <c r="B13" s="56" t="s">
        <v>341</v>
      </c>
      <c r="C13" s="20" t="n">
        <f aca="false">C8+C11</f>
        <v>184000</v>
      </c>
      <c r="D13" s="20" t="n">
        <f aca="false">D8+D11</f>
        <v>192200</v>
      </c>
      <c r="E13" s="20" t="n">
        <f aca="false">E8+E11</f>
        <v>199888</v>
      </c>
      <c r="F13" s="20" t="n">
        <f aca="false">F8+F11</f>
        <v>203885.76</v>
      </c>
      <c r="G13" s="20" t="n">
        <f aca="false">G8+G11</f>
        <v>207963.4752</v>
      </c>
      <c r="H13" s="20" t="n">
        <f aca="false">H8+H11</f>
        <v>212122.744704</v>
      </c>
      <c r="I13" s="20" t="n">
        <f aca="false">I8+I11</f>
        <v>216365.19959808</v>
      </c>
      <c r="J13" s="20" t="n">
        <f aca="false">J8+J11</f>
        <v>220692.503590042</v>
      </c>
      <c r="K13" s="20" t="n">
        <f aca="false">K8+K11</f>
        <v>225106.353661842</v>
      </c>
      <c r="L13" s="20" t="n">
        <f aca="false">L8+L11</f>
        <v>229608.480735079</v>
      </c>
      <c r="M13" s="20" t="n">
        <f aca="false">M8+M11</f>
        <v>234200.650349781</v>
      </c>
      <c r="N13" s="20" t="n">
        <f aca="false">N8+N11</f>
        <v>238884.663356777</v>
      </c>
      <c r="O13" s="20" t="n">
        <f aca="false">O8+O11</f>
        <v>243662.356623912</v>
      </c>
      <c r="P13" s="20" t="n">
        <f aca="false">P8+P11</f>
        <v>248535.60375639</v>
      </c>
      <c r="Q13" s="20" t="n">
        <f aca="false">Q8+Q11</f>
        <v>253506.315831518</v>
      </c>
      <c r="R13" s="20" t="n">
        <f aca="false">R8+R11</f>
        <v>258576.442148149</v>
      </c>
      <c r="S13" s="20" t="n">
        <f aca="false">S8+S11</f>
        <v>263747.970991112</v>
      </c>
      <c r="T13" s="20" t="n">
        <f aca="false">T8+T11</f>
        <v>269022.930410934</v>
      </c>
      <c r="U13" s="20" t="n">
        <f aca="false">U8+U11</f>
        <v>274403.389019152</v>
      </c>
      <c r="V13" s="20" t="n">
        <f aca="false">V8+V11</f>
        <v>279891.456799535</v>
      </c>
      <c r="W13" s="20" t="n">
        <f aca="false">W8+W11</f>
        <v>285489.285935526</v>
      </c>
      <c r="X13" s="20" t="n">
        <f aca="false">X8+X11</f>
        <v>291199.071654237</v>
      </c>
      <c r="Y13" s="20" t="n">
        <f aca="false">Y8+Y11</f>
        <v>297023.053087321</v>
      </c>
      <c r="Z13" s="20" t="n">
        <f aca="false">Z8+Z11</f>
        <v>302963.514149068</v>
      </c>
      <c r="AA13" s="20" t="n">
        <f aca="false">AA8+AA11</f>
        <v>309022.784432049</v>
      </c>
      <c r="AB13" s="20" t="n">
        <f aca="false">AB8+AB11</f>
        <v>315203.24012069</v>
      </c>
      <c r="AC13" s="20" t="n">
        <f aca="false">AC8+AC11</f>
        <v>321507.304923104</v>
      </c>
      <c r="AD13" s="20" t="n">
        <f aca="false">AD8+AD11</f>
        <v>327937.451021566</v>
      </c>
      <c r="AE13" s="20" t="n">
        <f aca="false">AE8+AE11</f>
        <v>334496.200041998</v>
      </c>
      <c r="AF13" s="20" t="n">
        <f aca="false">AF8+AF11</f>
        <v>341186.124042837</v>
      </c>
    </row>
    <row r="14" customFormat="false" ht="15" hidden="false" customHeight="true" outlineLevel="0" collapsed="false">
      <c r="B14" s="56" t="s">
        <v>342</v>
      </c>
      <c r="C14" s="20" t="n">
        <f aca="false">MAX(Tax_Bands!C$15,Tax_Bands!C$13-MAX(0,C13-Tax_Bands!C$14)/2)</f>
        <v>60000</v>
      </c>
      <c r="D14" s="20" t="n">
        <f aca="false">MAX(Tax_Bands!D$15,Tax_Bands!D$13-MAX(0,D13-Tax_Bands!D$14)/2)</f>
        <v>60000</v>
      </c>
      <c r="E14" s="20" t="n">
        <f aca="false">MAX(Tax_Bands!E$15,Tax_Bands!E$13-MAX(0,E13-Tax_Bands!E$14)/2)</f>
        <v>60000</v>
      </c>
      <c r="F14" s="20" t="n">
        <f aca="false">MAX(Tax_Bands!F$15,Tax_Bands!F$13-MAX(0,F13-Tax_Bands!F$14)/2)</f>
        <v>60000</v>
      </c>
      <c r="G14" s="20" t="n">
        <f aca="false">MAX(Tax_Bands!G$15,Tax_Bands!G$13-MAX(0,G13-Tax_Bands!G$14)/2)</f>
        <v>60000</v>
      </c>
      <c r="H14" s="20" t="n">
        <f aca="false">MAX(Tax_Bands!H$15,Tax_Bands!H$13-MAX(0,H13-Tax_Bands!H$14)/2)</f>
        <v>61200</v>
      </c>
      <c r="I14" s="20" t="n">
        <f aca="false">MAX(Tax_Bands!I$15,Tax_Bands!I$13-MAX(0,I13-Tax_Bands!I$14)/2)</f>
        <v>62424</v>
      </c>
      <c r="J14" s="20" t="n">
        <f aca="false">MAX(Tax_Bands!J$15,Tax_Bands!J$13-MAX(0,J13-Tax_Bands!J$14)/2)</f>
        <v>63672.48</v>
      </c>
      <c r="K14" s="20" t="n">
        <f aca="false">MAX(Tax_Bands!K$15,Tax_Bands!K$13-MAX(0,K13-Tax_Bands!K$14)/2)</f>
        <v>64945.9296</v>
      </c>
      <c r="L14" s="20" t="n">
        <f aca="false">MAX(Tax_Bands!L$15,Tax_Bands!L$13-MAX(0,L13-Tax_Bands!L$14)/2)</f>
        <v>66244.848192</v>
      </c>
      <c r="M14" s="20" t="n">
        <f aca="false">MAX(Tax_Bands!M$15,Tax_Bands!M$13-MAX(0,M13-Tax_Bands!M$14)/2)</f>
        <v>67569.74515584</v>
      </c>
      <c r="N14" s="20" t="n">
        <f aca="false">MAX(Tax_Bands!N$15,Tax_Bands!N$13-MAX(0,N13-Tax_Bands!N$14)/2)</f>
        <v>68921.1400589568</v>
      </c>
      <c r="O14" s="20" t="n">
        <f aca="false">MAX(Tax_Bands!O$15,Tax_Bands!O$13-MAX(0,O13-Tax_Bands!O$14)/2)</f>
        <v>70299.562860136</v>
      </c>
      <c r="P14" s="20" t="n">
        <f aca="false">MAX(Tax_Bands!P$15,Tax_Bands!P$13-MAX(0,P13-Tax_Bands!P$14)/2)</f>
        <v>71705.5541173387</v>
      </c>
      <c r="Q14" s="20" t="n">
        <f aca="false">MAX(Tax_Bands!Q$15,Tax_Bands!Q$13-MAX(0,Q13-Tax_Bands!Q$14)/2)</f>
        <v>73139.6651996854</v>
      </c>
      <c r="R14" s="20" t="n">
        <f aca="false">MAX(Tax_Bands!R$15,Tax_Bands!R$13-MAX(0,R13-Tax_Bands!R$14)/2)</f>
        <v>74602.4585036792</v>
      </c>
      <c r="S14" s="20" t="n">
        <f aca="false">MAX(Tax_Bands!S$15,Tax_Bands!S$13-MAX(0,S13-Tax_Bands!S$14)/2)</f>
        <v>76094.5076737527</v>
      </c>
      <c r="T14" s="20" t="n">
        <f aca="false">MAX(Tax_Bands!T$15,Tax_Bands!T$13-MAX(0,T13-Tax_Bands!T$14)/2)</f>
        <v>77616.3978272278</v>
      </c>
      <c r="U14" s="20" t="n">
        <f aca="false">MAX(Tax_Bands!U$15,Tax_Bands!U$13-MAX(0,U13-Tax_Bands!U$14)/2)</f>
        <v>79168.7257837723</v>
      </c>
      <c r="V14" s="20" t="n">
        <f aca="false">MAX(Tax_Bands!V$15,Tax_Bands!V$13-MAX(0,V13-Tax_Bands!V$14)/2)</f>
        <v>80752.1002994478</v>
      </c>
      <c r="W14" s="20" t="n">
        <f aca="false">MAX(Tax_Bands!W$15,Tax_Bands!W$13-MAX(0,W13-Tax_Bands!W$14)/2)</f>
        <v>82367.1423054368</v>
      </c>
      <c r="X14" s="20" t="n">
        <f aca="false">MAX(Tax_Bands!X$15,Tax_Bands!X$13-MAX(0,X13-Tax_Bands!X$14)/2)</f>
        <v>84014.4851515455</v>
      </c>
      <c r="Y14" s="20" t="n">
        <f aca="false">MAX(Tax_Bands!Y$15,Tax_Bands!Y$13-MAX(0,Y13-Tax_Bands!Y$14)/2)</f>
        <v>85694.7748545764</v>
      </c>
      <c r="Z14" s="20" t="n">
        <f aca="false">MAX(Tax_Bands!Z$15,Tax_Bands!Z$13-MAX(0,Z13-Tax_Bands!Z$14)/2)</f>
        <v>87408.6703516679</v>
      </c>
      <c r="AA14" s="20" t="n">
        <f aca="false">MAX(Tax_Bands!AA$15,Tax_Bands!AA$13-MAX(0,AA13-Tax_Bands!AA$14)/2)</f>
        <v>89156.8437587013</v>
      </c>
      <c r="AB14" s="20" t="n">
        <f aca="false">MAX(Tax_Bands!AB$15,Tax_Bands!AB$13-MAX(0,AB13-Tax_Bands!AB$14)/2)</f>
        <v>90939.9806338753</v>
      </c>
      <c r="AC14" s="20" t="n">
        <f aca="false">MAX(Tax_Bands!AC$15,Tax_Bands!AC$13-MAX(0,AC13-Tax_Bands!AC$14)/2)</f>
        <v>92758.7802465528</v>
      </c>
      <c r="AD14" s="20" t="n">
        <f aca="false">MAX(Tax_Bands!AD$15,Tax_Bands!AD$13-MAX(0,AD13-Tax_Bands!AD$14)/2)</f>
        <v>94613.9558514839</v>
      </c>
      <c r="AE14" s="20" t="n">
        <f aca="false">MAX(Tax_Bands!AE$15,Tax_Bands!AE$13-MAX(0,AE13-Tax_Bands!AE$14)/2)</f>
        <v>96506.2349685136</v>
      </c>
      <c r="AF14" s="20" t="n">
        <f aca="false">MAX(Tax_Bands!AF$15,Tax_Bands!AF$13-MAX(0,AF13-Tax_Bands!AF$14)/2)</f>
        <v>98436.3596678838</v>
      </c>
    </row>
    <row r="15" customFormat="false" ht="15" hidden="false" customHeight="true" outlineLevel="0" collapsed="false">
      <c r="B15" s="16" t="s">
        <v>343</v>
      </c>
      <c r="C15" s="59" t="n">
        <f aca="false">MAX(0,MIN(C14-C12,C8-C10))</f>
        <v>39000</v>
      </c>
      <c r="D15" s="59" t="n">
        <f aca="false">MAX(0,MIN(D14-D12,D8-D10))</f>
        <v>36900</v>
      </c>
      <c r="E15" s="59" t="n">
        <f aca="false">MAX(0,MIN(E14-E12,E8-E10))</f>
        <v>35976</v>
      </c>
      <c r="F15" s="59" t="n">
        <f aca="false">MAX(0,MIN(F14-F12,F8-F10))</f>
        <v>35495.52</v>
      </c>
      <c r="G15" s="59" t="n">
        <f aca="false">MAX(0,MIN(G14-G12,G8-G10))</f>
        <v>35005.4304</v>
      </c>
      <c r="H15" s="59" t="n">
        <f aca="false">MAX(0,MIN(H14-H12,H8-H10))</f>
        <v>35705.539008</v>
      </c>
      <c r="I15" s="59" t="n">
        <f aca="false">MAX(0,MIN(I14-I12,I8-I10))</f>
        <v>36419.64978816</v>
      </c>
      <c r="J15" s="59" t="n">
        <f aca="false">MAX(0,MIN(J14-J12,J8-J10))</f>
        <v>37148.0427839232</v>
      </c>
      <c r="K15" s="59" t="n">
        <f aca="false">MAX(0,MIN(K14-K12,K8-K10))</f>
        <v>37891.0036396017</v>
      </c>
      <c r="L15" s="59" t="n">
        <f aca="false">MAX(0,MIN(L14-L12,L8-L10))</f>
        <v>38648.8237123937</v>
      </c>
      <c r="M15" s="59" t="n">
        <f aca="false">MAX(0,MIN(M14-M12,M8-M10))</f>
        <v>39421.8001866416</v>
      </c>
      <c r="N15" s="59" t="n">
        <f aca="false">MAX(0,MIN(N14-N12,N8-N10))</f>
        <v>40210.2361903744</v>
      </c>
      <c r="O15" s="59" t="n">
        <f aca="false">MAX(0,MIN(O14-O12,O8-O10))</f>
        <v>41014.4409141819</v>
      </c>
      <c r="P15" s="59" t="n">
        <f aca="false">MAX(0,MIN(P14-P12,P8-P10))</f>
        <v>41834.7297324655</v>
      </c>
      <c r="Q15" s="59" t="n">
        <f aca="false">MAX(0,MIN(Q14-Q12,Q8-Q10))</f>
        <v>42671.4243271148</v>
      </c>
      <c r="R15" s="59" t="n">
        <f aca="false">MAX(0,MIN(R14-R12,R8-R10))</f>
        <v>43524.8528136571</v>
      </c>
      <c r="S15" s="59" t="n">
        <f aca="false">MAX(0,MIN(S14-S12,S8-S10))</f>
        <v>44395.3498699303</v>
      </c>
      <c r="T15" s="59" t="n">
        <f aca="false">MAX(0,MIN(T14-T12,T8-T10))</f>
        <v>45283.2568673289</v>
      </c>
      <c r="U15" s="59" t="n">
        <f aca="false">MAX(0,MIN(U14-U12,U8-U10))</f>
        <v>46188.9220046755</v>
      </c>
      <c r="V15" s="59" t="n">
        <f aca="false">MAX(0,MIN(V14-V12,V8-V10))</f>
        <v>47112.700444769</v>
      </c>
      <c r="W15" s="59" t="n">
        <f aca="false">MAX(0,MIN(W14-W12,W8-W10))</f>
        <v>48054.9544536643</v>
      </c>
      <c r="X15" s="59" t="n">
        <f aca="false">MAX(0,MIN(X14-X12,X8-X10))</f>
        <v>49016.0535427377</v>
      </c>
      <c r="Y15" s="59" t="n">
        <f aca="false">MAX(0,MIN(Y14-Y12,Y8-Y10))</f>
        <v>49996.3746135924</v>
      </c>
      <c r="Z15" s="59" t="n">
        <f aca="false">MAX(0,MIN(Z14-Z12,Z8-Z10))</f>
        <v>50996.3021058643</v>
      </c>
      <c r="AA15" s="59" t="n">
        <f aca="false">MAX(0,MIN(AA14-AA12,AA8-AA10))</f>
        <v>52016.2281479815</v>
      </c>
      <c r="AB15" s="59" t="n">
        <f aca="false">MAX(0,MIN(AB14-AB12,AB8-AB10))</f>
        <v>53056.5527109412</v>
      </c>
      <c r="AC15" s="59" t="n">
        <f aca="false">MAX(0,MIN(AC14-AC12,AC8-AC10))</f>
        <v>54117.68376516</v>
      </c>
      <c r="AD15" s="59" t="n">
        <f aca="false">MAX(0,MIN(AD14-AD12,AD8-AD10))</f>
        <v>55200.0374404632</v>
      </c>
      <c r="AE15" s="59" t="n">
        <f aca="false">MAX(0,MIN(AE14-AE12,AE8-AE10))</f>
        <v>56304.0381892725</v>
      </c>
      <c r="AF15" s="59" t="n">
        <f aca="false">MAX(0,MIN(AF14-AF12,AF8-AF10))</f>
        <v>57430.1189530579</v>
      </c>
    </row>
    <row r="16" customFormat="false" ht="15" hidden="false" customHeight="true" outlineLevel="0" collapsed="false">
      <c r="A16" s="30" t="s">
        <v>344</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row>
    <row r="17" customFormat="false" ht="15" hidden="false" customHeight="true" outlineLevel="0" collapsed="false">
      <c r="B17" s="56" t="s">
        <v>345</v>
      </c>
      <c r="C17" s="20" t="n">
        <f aca="false">C8-C10</f>
        <v>163000</v>
      </c>
      <c r="D17" s="20" t="n">
        <f aca="false">D8-D10</f>
        <v>169100</v>
      </c>
      <c r="E17" s="20" t="n">
        <f aca="false">E8-E10</f>
        <v>175864</v>
      </c>
      <c r="F17" s="20" t="n">
        <f aca="false">F8-F10</f>
        <v>179381.28</v>
      </c>
      <c r="G17" s="20" t="n">
        <f aca="false">G8-G10</f>
        <v>182968.9056</v>
      </c>
      <c r="H17" s="20" t="n">
        <f aca="false">H8-H10</f>
        <v>186628.283712</v>
      </c>
      <c r="I17" s="20" t="n">
        <f aca="false">I8-I10</f>
        <v>190360.84938624</v>
      </c>
      <c r="J17" s="20" t="n">
        <f aca="false">J8-J10</f>
        <v>194168.066373965</v>
      </c>
      <c r="K17" s="20" t="n">
        <f aca="false">K8-K10</f>
        <v>198051.427701444</v>
      </c>
      <c r="L17" s="20" t="n">
        <f aca="false">L8-L10</f>
        <v>202012.456255473</v>
      </c>
      <c r="M17" s="20" t="n">
        <f aca="false">M8-M10</f>
        <v>206052.705380582</v>
      </c>
      <c r="N17" s="20" t="n">
        <f aca="false">N8-N10</f>
        <v>210173.759488194</v>
      </c>
      <c r="O17" s="20" t="n">
        <f aca="false">O8-O10</f>
        <v>214377.234677958</v>
      </c>
      <c r="P17" s="20" t="n">
        <f aca="false">P8-P10</f>
        <v>218664.779371517</v>
      </c>
      <c r="Q17" s="20" t="n">
        <f aca="false">Q8-Q10</f>
        <v>223038.074958948</v>
      </c>
      <c r="R17" s="20" t="n">
        <f aca="false">R8-R10</f>
        <v>227498.836458127</v>
      </c>
      <c r="S17" s="20" t="n">
        <f aca="false">S8-S10</f>
        <v>232048.813187289</v>
      </c>
      <c r="T17" s="20" t="n">
        <f aca="false">T8-T10</f>
        <v>236689.789451035</v>
      </c>
      <c r="U17" s="20" t="n">
        <f aca="false">U8-U10</f>
        <v>241423.585240056</v>
      </c>
      <c r="V17" s="20" t="n">
        <f aca="false">V8-V10</f>
        <v>246252.056944857</v>
      </c>
      <c r="W17" s="20" t="n">
        <f aca="false">W8-W10</f>
        <v>251177.098083754</v>
      </c>
      <c r="X17" s="20" t="n">
        <f aca="false">X8-X10</f>
        <v>256200.640045429</v>
      </c>
      <c r="Y17" s="20" t="n">
        <f aca="false">Y8-Y10</f>
        <v>261324.652846337</v>
      </c>
      <c r="Z17" s="20" t="n">
        <f aca="false">Z8-Z10</f>
        <v>266551.145903264</v>
      </c>
      <c r="AA17" s="20" t="n">
        <f aca="false">AA8-AA10</f>
        <v>271882.168821329</v>
      </c>
      <c r="AB17" s="20" t="n">
        <f aca="false">AB8-AB10</f>
        <v>277319.812197756</v>
      </c>
      <c r="AC17" s="20" t="n">
        <f aca="false">AC8-AC10</f>
        <v>282866.208441711</v>
      </c>
      <c r="AD17" s="20" t="n">
        <f aca="false">AD8-AD10</f>
        <v>288523.532610545</v>
      </c>
      <c r="AE17" s="20" t="n">
        <f aca="false">AE8-AE10</f>
        <v>294294.003262756</v>
      </c>
      <c r="AF17" s="20" t="n">
        <f aca="false">AF8-AF10</f>
        <v>300179.883328012</v>
      </c>
    </row>
    <row r="18" customFormat="false" ht="15" hidden="false" customHeight="true" outlineLevel="0" collapsed="false">
      <c r="B18" s="56" t="s">
        <v>346</v>
      </c>
      <c r="C18" s="20" t="n">
        <f aca="false">MAX(0,Tax_Bands!C$7-MAX(0,C17-Tax_Bands!C$8)/2)</f>
        <v>0</v>
      </c>
      <c r="D18" s="20" t="n">
        <f aca="false">MAX(0,Tax_Bands!D$7-MAX(0,D17-Tax_Bands!D$8)/2)</f>
        <v>0</v>
      </c>
      <c r="E18" s="20" t="n">
        <f aca="false">MAX(0,Tax_Bands!E$7-MAX(0,E17-Tax_Bands!E$8)/2)</f>
        <v>0</v>
      </c>
      <c r="F18" s="20" t="n">
        <f aca="false">MAX(0,Tax_Bands!F$7-MAX(0,F17-Tax_Bands!F$8)/2)</f>
        <v>0</v>
      </c>
      <c r="G18" s="20" t="n">
        <f aca="false">MAX(0,Tax_Bands!G$7-MAX(0,G17-Tax_Bands!G$8)/2)</f>
        <v>0</v>
      </c>
      <c r="H18" s="20" t="n">
        <f aca="false">MAX(0,Tax_Bands!H$7-MAX(0,H17-Tax_Bands!H$8)/2)</f>
        <v>0</v>
      </c>
      <c r="I18" s="20" t="n">
        <f aca="false">MAX(0,Tax_Bands!I$7-MAX(0,I17-Tax_Bands!I$8)/2)</f>
        <v>0</v>
      </c>
      <c r="J18" s="20" t="n">
        <f aca="false">MAX(0,Tax_Bands!J$7-MAX(0,J17-Tax_Bands!J$8)/2)</f>
        <v>0</v>
      </c>
      <c r="K18" s="20" t="n">
        <f aca="false">MAX(0,Tax_Bands!K$7-MAX(0,K17-Tax_Bands!K$8)/2)</f>
        <v>0</v>
      </c>
      <c r="L18" s="20" t="n">
        <f aca="false">MAX(0,Tax_Bands!L$7-MAX(0,L17-Tax_Bands!L$8)/2)</f>
        <v>0</v>
      </c>
      <c r="M18" s="20" t="n">
        <f aca="false">MAX(0,Tax_Bands!M$7-MAX(0,M17-Tax_Bands!M$8)/2)</f>
        <v>0</v>
      </c>
      <c r="N18" s="20" t="n">
        <f aca="false">MAX(0,Tax_Bands!N$7-MAX(0,N17-Tax_Bands!N$8)/2)</f>
        <v>0</v>
      </c>
      <c r="O18" s="20" t="n">
        <f aca="false">MAX(0,Tax_Bands!O$7-MAX(0,O17-Tax_Bands!O$8)/2)</f>
        <v>0</v>
      </c>
      <c r="P18" s="20" t="n">
        <f aca="false">MAX(0,Tax_Bands!P$7-MAX(0,P17-Tax_Bands!P$8)/2)</f>
        <v>0</v>
      </c>
      <c r="Q18" s="20" t="n">
        <f aca="false">MAX(0,Tax_Bands!Q$7-MAX(0,Q17-Tax_Bands!Q$8)/2)</f>
        <v>0</v>
      </c>
      <c r="R18" s="20" t="n">
        <f aca="false">MAX(0,Tax_Bands!R$7-MAX(0,R17-Tax_Bands!R$8)/2)</f>
        <v>0</v>
      </c>
      <c r="S18" s="20" t="n">
        <f aca="false">MAX(0,Tax_Bands!S$7-MAX(0,S17-Tax_Bands!S$8)/2)</f>
        <v>0</v>
      </c>
      <c r="T18" s="20" t="n">
        <f aca="false">MAX(0,Tax_Bands!T$7-MAX(0,T17-Tax_Bands!T$8)/2)</f>
        <v>0</v>
      </c>
      <c r="U18" s="20" t="n">
        <f aca="false">MAX(0,Tax_Bands!U$7-MAX(0,U17-Tax_Bands!U$8)/2)</f>
        <v>0</v>
      </c>
      <c r="V18" s="20" t="n">
        <f aca="false">MAX(0,Tax_Bands!V$7-MAX(0,V17-Tax_Bands!V$8)/2)</f>
        <v>0</v>
      </c>
      <c r="W18" s="20" t="n">
        <f aca="false">MAX(0,Tax_Bands!W$7-MAX(0,W17-Tax_Bands!W$8)/2)</f>
        <v>0</v>
      </c>
      <c r="X18" s="20" t="n">
        <f aca="false">MAX(0,Tax_Bands!X$7-MAX(0,X17-Tax_Bands!X$8)/2)</f>
        <v>0</v>
      </c>
      <c r="Y18" s="20" t="n">
        <f aca="false">MAX(0,Tax_Bands!Y$7-MAX(0,Y17-Tax_Bands!Y$8)/2)</f>
        <v>0</v>
      </c>
      <c r="Z18" s="20" t="n">
        <f aca="false">MAX(0,Tax_Bands!Z$7-MAX(0,Z17-Tax_Bands!Z$8)/2)</f>
        <v>0</v>
      </c>
      <c r="AA18" s="20" t="n">
        <f aca="false">MAX(0,Tax_Bands!AA$7-MAX(0,AA17-Tax_Bands!AA$8)/2)</f>
        <v>0</v>
      </c>
      <c r="AB18" s="20" t="n">
        <f aca="false">MAX(0,Tax_Bands!AB$7-MAX(0,AB17-Tax_Bands!AB$8)/2)</f>
        <v>0</v>
      </c>
      <c r="AC18" s="20" t="n">
        <f aca="false">MAX(0,Tax_Bands!AC$7-MAX(0,AC17-Tax_Bands!AC$8)/2)</f>
        <v>0</v>
      </c>
      <c r="AD18" s="20" t="n">
        <f aca="false">MAX(0,Tax_Bands!AD$7-MAX(0,AD17-Tax_Bands!AD$8)/2)</f>
        <v>0</v>
      </c>
      <c r="AE18" s="20" t="n">
        <f aca="false">MAX(0,Tax_Bands!AE$7-MAX(0,AE17-Tax_Bands!AE$8)/2)</f>
        <v>0</v>
      </c>
      <c r="AF18" s="20" t="n">
        <f aca="false">MAX(0,Tax_Bands!AF$7-MAX(0,AF17-Tax_Bands!AF$8)/2)</f>
        <v>0</v>
      </c>
    </row>
    <row r="19" customFormat="false" ht="15" hidden="false" customHeight="true" outlineLevel="0" collapsed="false">
      <c r="B19" s="56" t="s">
        <v>347</v>
      </c>
      <c r="C19" s="20" t="n">
        <f aca="false">MAX(0,C17-C18)</f>
        <v>163000</v>
      </c>
      <c r="D19" s="20" t="n">
        <f aca="false">MAX(0,D17-D18)</f>
        <v>169100</v>
      </c>
      <c r="E19" s="20" t="n">
        <f aca="false">MAX(0,E17-E18)</f>
        <v>175864</v>
      </c>
      <c r="F19" s="20" t="n">
        <f aca="false">MAX(0,F17-F18)</f>
        <v>179381.28</v>
      </c>
      <c r="G19" s="20" t="n">
        <f aca="false">MAX(0,G17-G18)</f>
        <v>182968.9056</v>
      </c>
      <c r="H19" s="20" t="n">
        <f aca="false">MAX(0,H17-H18)</f>
        <v>186628.283712</v>
      </c>
      <c r="I19" s="20" t="n">
        <f aca="false">MAX(0,I17-I18)</f>
        <v>190360.84938624</v>
      </c>
      <c r="J19" s="20" t="n">
        <f aca="false">MAX(0,J17-J18)</f>
        <v>194168.066373965</v>
      </c>
      <c r="K19" s="20" t="n">
        <f aca="false">MAX(0,K17-K18)</f>
        <v>198051.427701444</v>
      </c>
      <c r="L19" s="20" t="n">
        <f aca="false">MAX(0,L17-L18)</f>
        <v>202012.456255473</v>
      </c>
      <c r="M19" s="20" t="n">
        <f aca="false">MAX(0,M17-M18)</f>
        <v>206052.705380582</v>
      </c>
      <c r="N19" s="20" t="n">
        <f aca="false">MAX(0,N17-N18)</f>
        <v>210173.759488194</v>
      </c>
      <c r="O19" s="20" t="n">
        <f aca="false">MAX(0,O17-O18)</f>
        <v>214377.234677958</v>
      </c>
      <c r="P19" s="20" t="n">
        <f aca="false">MAX(0,P17-P18)</f>
        <v>218664.779371517</v>
      </c>
      <c r="Q19" s="20" t="n">
        <f aca="false">MAX(0,Q17-Q18)</f>
        <v>223038.074958948</v>
      </c>
      <c r="R19" s="20" t="n">
        <f aca="false">MAX(0,R17-R18)</f>
        <v>227498.836458127</v>
      </c>
      <c r="S19" s="20" t="n">
        <f aca="false">MAX(0,S17-S18)</f>
        <v>232048.813187289</v>
      </c>
      <c r="T19" s="20" t="n">
        <f aca="false">MAX(0,T17-T18)</f>
        <v>236689.789451035</v>
      </c>
      <c r="U19" s="20" t="n">
        <f aca="false">MAX(0,U17-U18)</f>
        <v>241423.585240056</v>
      </c>
      <c r="V19" s="20" t="n">
        <f aca="false">MAX(0,V17-V18)</f>
        <v>246252.056944857</v>
      </c>
      <c r="W19" s="20" t="n">
        <f aca="false">MAX(0,W17-W18)</f>
        <v>251177.098083754</v>
      </c>
      <c r="X19" s="20" t="n">
        <f aca="false">MAX(0,X17-X18)</f>
        <v>256200.640045429</v>
      </c>
      <c r="Y19" s="20" t="n">
        <f aca="false">MAX(0,Y17-Y18)</f>
        <v>261324.652846337</v>
      </c>
      <c r="Z19" s="20" t="n">
        <f aca="false">MAX(0,Z17-Z18)</f>
        <v>266551.145903264</v>
      </c>
      <c r="AA19" s="20" t="n">
        <f aca="false">MAX(0,AA17-AA18)</f>
        <v>271882.168821329</v>
      </c>
      <c r="AB19" s="20" t="n">
        <f aca="false">MAX(0,AB17-AB18)</f>
        <v>277319.812197756</v>
      </c>
      <c r="AC19" s="20" t="n">
        <f aca="false">MAX(0,AC17-AC18)</f>
        <v>282866.208441711</v>
      </c>
      <c r="AD19" s="20" t="n">
        <f aca="false">MAX(0,AD17-AD18)</f>
        <v>288523.532610545</v>
      </c>
      <c r="AE19" s="20" t="n">
        <f aca="false">MAX(0,AE17-AE18)</f>
        <v>294294.003262756</v>
      </c>
      <c r="AF19" s="20" t="n">
        <f aca="false">MAX(0,AF17-AF18)</f>
        <v>300179.883328012</v>
      </c>
    </row>
    <row r="20" customFormat="false" ht="15" hidden="false" customHeight="true" outlineLevel="0" collapsed="false">
      <c r="B20" s="6" t="s">
        <v>348</v>
      </c>
      <c r="C20" s="20" t="n">
        <f aca="false">Tax_Bands!C$18*MIN(C19,Tax_Bands!C$9)+Tax_Bands!C$19*MAX(0,MIN(C19,Tax_Bands!C$10)-Tax_Bands!C$9)+Tax_Bands!C$20*MAX(0,C19-Tax_Bands!C$10)</f>
        <v>59553</v>
      </c>
      <c r="D20" s="20" t="n">
        <f aca="false">Tax_Bands!D$18*MIN(D19,Tax_Bands!D$9)+Tax_Bands!D$19*MAX(0,MIN(D19,Tax_Bands!D$10)-Tax_Bands!D$9)+Tax_Bands!D$20*MAX(0,D19-Tax_Bands!D$10)</f>
        <v>62298</v>
      </c>
      <c r="E20" s="20" t="n">
        <f aca="false">Tax_Bands!E$18*MIN(E19,Tax_Bands!E$9)+Tax_Bands!E$19*MAX(0,MIN(E19,Tax_Bands!E$10)-Tax_Bands!E$9)+Tax_Bands!E$20*MAX(0,E19-Tax_Bands!E$10)</f>
        <v>65341.8</v>
      </c>
      <c r="F20" s="20" t="n">
        <f aca="false">Tax_Bands!F$18*MIN(F19,Tax_Bands!F$9)+Tax_Bands!F$19*MAX(0,MIN(F19,Tax_Bands!F$10)-Tax_Bands!F$9)+Tax_Bands!F$20*MAX(0,F19-Tax_Bands!F$10)</f>
        <v>66924.576</v>
      </c>
      <c r="G20" s="20" t="n">
        <f aca="false">Tax_Bands!G$18*MIN(G19,Tax_Bands!G$9)+Tax_Bands!G$19*MAX(0,MIN(G19,Tax_Bands!G$10)-Tax_Bands!G$9)+Tax_Bands!G$20*MAX(0,G19-Tax_Bands!G$10)</f>
        <v>68539.00752</v>
      </c>
      <c r="H20" s="20" t="n">
        <f aca="false">Tax_Bands!H$18*MIN(H19,Tax_Bands!H$9)+Tax_Bands!H$19*MAX(0,MIN(H19,Tax_Bands!H$10)-Tax_Bands!H$9)+Tax_Bands!H$20*MAX(0,H19-Tax_Bands!H$10)</f>
        <v>69909.7876704</v>
      </c>
      <c r="I20" s="20" t="n">
        <f aca="false">Tax_Bands!I$18*MIN(I19,Tax_Bands!I$9)+Tax_Bands!I$19*MAX(0,MIN(I19,Tax_Bands!I$10)-Tax_Bands!I$9)+Tax_Bands!I$20*MAX(0,I19-Tax_Bands!I$10)</f>
        <v>71307.983423808</v>
      </c>
      <c r="J20" s="20" t="n">
        <f aca="false">Tax_Bands!J$18*MIN(J19,Tax_Bands!J$9)+Tax_Bands!J$19*MAX(0,MIN(J19,Tax_Bands!J$10)-Tax_Bands!J$9)+Tax_Bands!J$20*MAX(0,J19-Tax_Bands!J$10)</f>
        <v>72734.1430922842</v>
      </c>
      <c r="K20" s="20" t="n">
        <f aca="false">Tax_Bands!K$18*MIN(K19,Tax_Bands!K$9)+Tax_Bands!K$19*MAX(0,MIN(K19,Tax_Bands!K$10)-Tax_Bands!K$9)+Tax_Bands!K$20*MAX(0,K19-Tax_Bands!K$10)</f>
        <v>74188.8259541299</v>
      </c>
      <c r="L20" s="20" t="n">
        <f aca="false">Tax_Bands!L$18*MIN(L19,Tax_Bands!L$9)+Tax_Bands!L$19*MAX(0,MIN(L19,Tax_Bands!L$10)-Tax_Bands!L$9)+Tax_Bands!L$20*MAX(0,L19-Tax_Bands!L$10)</f>
        <v>75672.6024732125</v>
      </c>
      <c r="M20" s="20" t="n">
        <f aca="false">Tax_Bands!M$18*MIN(M19,Tax_Bands!M$9)+Tax_Bands!M$19*MAX(0,MIN(M19,Tax_Bands!M$10)-Tax_Bands!M$9)+Tax_Bands!M$20*MAX(0,M19-Tax_Bands!M$10)</f>
        <v>77186.0545226767</v>
      </c>
      <c r="N20" s="20" t="n">
        <f aca="false">Tax_Bands!N$18*MIN(N19,Tax_Bands!N$9)+Tax_Bands!N$19*MAX(0,MIN(N19,Tax_Bands!N$10)-Tax_Bands!N$9)+Tax_Bands!N$20*MAX(0,N19-Tax_Bands!N$10)</f>
        <v>78729.7756131302</v>
      </c>
      <c r="O20" s="20" t="n">
        <f aca="false">Tax_Bands!O$18*MIN(O19,Tax_Bands!O$9)+Tax_Bands!O$19*MAX(0,MIN(O19,Tax_Bands!O$10)-Tax_Bands!O$9)+Tax_Bands!O$20*MAX(0,O19-Tax_Bands!O$10)</f>
        <v>80304.3711253929</v>
      </c>
      <c r="P20" s="20" t="n">
        <f aca="false">Tax_Bands!P$18*MIN(P19,Tax_Bands!P$9)+Tax_Bands!P$19*MAX(0,MIN(P19,Tax_Bands!P$10)-Tax_Bands!P$9)+Tax_Bands!P$20*MAX(0,P19-Tax_Bands!P$10)</f>
        <v>81910.4585479007</v>
      </c>
      <c r="Q20" s="20" t="n">
        <f aca="false">Tax_Bands!Q$18*MIN(Q19,Tax_Bands!Q$9)+Tax_Bands!Q$19*MAX(0,MIN(Q19,Tax_Bands!Q$10)-Tax_Bands!Q$9)+Tax_Bands!Q$20*MAX(0,Q19-Tax_Bands!Q$10)</f>
        <v>83548.6677188587</v>
      </c>
      <c r="R20" s="20" t="n">
        <f aca="false">Tax_Bands!R$18*MIN(R19,Tax_Bands!R$9)+Tax_Bands!R$19*MAX(0,MIN(R19,Tax_Bands!R$10)-Tax_Bands!R$9)+Tax_Bands!R$20*MAX(0,R19-Tax_Bands!R$10)</f>
        <v>85219.6410732359</v>
      </c>
      <c r="S20" s="20" t="n">
        <f aca="false">Tax_Bands!S$18*MIN(S19,Tax_Bands!S$9)+Tax_Bands!S$19*MAX(0,MIN(S19,Tax_Bands!S$10)-Tax_Bands!S$9)+Tax_Bands!S$20*MAX(0,S19-Tax_Bands!S$10)</f>
        <v>86924.0338947006</v>
      </c>
      <c r="T20" s="20" t="n">
        <f aca="false">Tax_Bands!T$18*MIN(T19,Tax_Bands!T$9)+Tax_Bands!T$19*MAX(0,MIN(T19,Tax_Bands!T$10)-Tax_Bands!T$9)+Tax_Bands!T$20*MAX(0,T19-Tax_Bands!T$10)</f>
        <v>88662.5145725946</v>
      </c>
      <c r="U20" s="20" t="n">
        <f aca="false">Tax_Bands!U$18*MIN(U19,Tax_Bands!U$9)+Tax_Bands!U$19*MAX(0,MIN(U19,Tax_Bands!U$10)-Tax_Bands!U$9)+Tax_Bands!U$20*MAX(0,U19-Tax_Bands!U$10)</f>
        <v>90435.7648640465</v>
      </c>
      <c r="V20" s="20" t="n">
        <f aca="false">Tax_Bands!V$18*MIN(V19,Tax_Bands!V$9)+Tax_Bands!V$19*MAX(0,MIN(V19,Tax_Bands!V$10)-Tax_Bands!V$9)+Tax_Bands!V$20*MAX(0,V19-Tax_Bands!V$10)</f>
        <v>92244.4801613275</v>
      </c>
      <c r="W20" s="20" t="n">
        <f aca="false">Tax_Bands!W$18*MIN(W19,Tax_Bands!W$9)+Tax_Bands!W$19*MAX(0,MIN(W19,Tax_Bands!W$10)-Tax_Bands!W$9)+Tax_Bands!W$20*MAX(0,W19-Tax_Bands!W$10)</f>
        <v>94089.369764554</v>
      </c>
      <c r="X20" s="20" t="n">
        <f aca="false">Tax_Bands!X$18*MIN(X19,Tax_Bands!X$9)+Tax_Bands!X$19*MAX(0,MIN(X19,Tax_Bands!X$10)-Tax_Bands!X$9)+Tax_Bands!X$20*MAX(0,X19-Tax_Bands!X$10)</f>
        <v>95971.1571598451</v>
      </c>
      <c r="Y20" s="20" t="n">
        <f aca="false">Tax_Bands!Y$18*MIN(Y19,Tax_Bands!Y$9)+Tax_Bands!Y$19*MAX(0,MIN(Y19,Tax_Bands!Y$10)-Tax_Bands!Y$9)+Tax_Bands!Y$20*MAX(0,Y19-Tax_Bands!Y$10)</f>
        <v>97890.580303042</v>
      </c>
      <c r="Z20" s="20" t="n">
        <f aca="false">Tax_Bands!Z$18*MIN(Z19,Tax_Bands!Z$9)+Tax_Bands!Z$19*MAX(0,MIN(Z19,Tax_Bands!Z$10)-Tax_Bands!Z$9)+Tax_Bands!Z$20*MAX(0,Z19-Tax_Bands!Z$10)</f>
        <v>99848.3919091028</v>
      </c>
      <c r="AA20" s="20" t="n">
        <f aca="false">Tax_Bands!AA$18*MIN(AA19,Tax_Bands!AA$9)+Tax_Bands!AA$19*MAX(0,MIN(AA19,Tax_Bands!AA$10)-Tax_Bands!AA$9)+Tax_Bands!AA$20*MAX(0,AA19-Tax_Bands!AA$10)</f>
        <v>101845.359747285</v>
      </c>
      <c r="AB20" s="20" t="n">
        <f aca="false">Tax_Bands!AB$18*MIN(AB19,Tax_Bands!AB$9)+Tax_Bands!AB$19*MAX(0,MIN(AB19,Tax_Bands!AB$10)-Tax_Bands!AB$9)+Tax_Bands!AB$20*MAX(0,AB19-Tax_Bands!AB$10)</f>
        <v>103882.266942231</v>
      </c>
      <c r="AC20" s="20" t="n">
        <f aca="false">Tax_Bands!AC$18*MIN(AC19,Tax_Bands!AC$9)+Tax_Bands!AC$19*MAX(0,MIN(AC19,Tax_Bands!AC$10)-Tax_Bands!AC$9)+Tax_Bands!AC$20*MAX(0,AC19-Tax_Bands!AC$10)</f>
        <v>105959.912281075</v>
      </c>
      <c r="AD20" s="20" t="n">
        <f aca="false">Tax_Bands!AD$18*MIN(AD19,Tax_Bands!AD$9)+Tax_Bands!AD$19*MAX(0,MIN(AD19,Tax_Bands!AD$10)-Tax_Bands!AD$9)+Tax_Bands!AD$20*MAX(0,AD19-Tax_Bands!AD$10)</f>
        <v>108079.110526697</v>
      </c>
      <c r="AE20" s="20" t="n">
        <f aca="false">Tax_Bands!AE$18*MIN(AE19,Tax_Bands!AE$9)+Tax_Bands!AE$19*MAX(0,MIN(AE19,Tax_Bands!AE$10)-Tax_Bands!AE$9)+Tax_Bands!AE$20*MAX(0,AE19-Tax_Bands!AE$10)</f>
        <v>110240.692737231</v>
      </c>
      <c r="AF20" s="20" t="n">
        <f aca="false">Tax_Bands!AF$18*MIN(AF19,Tax_Bands!AF$9)+Tax_Bands!AF$19*MAX(0,MIN(AF19,Tax_Bands!AF$10)-Tax_Bands!AF$9)+Tax_Bands!AF$20*MAX(0,AF19-Tax_Bands!AF$10)</f>
        <v>112445.506591975</v>
      </c>
    </row>
    <row r="21" customFormat="false" ht="15" hidden="false" customHeight="true" outlineLevel="0" collapsed="false">
      <c r="B21" s="6" t="s">
        <v>349</v>
      </c>
      <c r="C21" s="20" t="n">
        <f aca="false">Tax_Bands!C$21*MAX(0,MIN(C8,Tax_Bands!C$12)-Tax_Bands!C$11)+Tax_Bands!C$22*MAX(0,C8-Tax_Bands!C$12)</f>
        <v>5410.6</v>
      </c>
      <c r="D21" s="20" t="n">
        <f aca="false">Tax_Bands!D$21*MAX(0,MIN(D8,Tax_Bands!D$12)-Tax_Bands!D$11)+Tax_Bands!D$22*MAX(0,D8-Tax_Bands!D$12)</f>
        <v>5546.6</v>
      </c>
      <c r="E21" s="20" t="n">
        <f aca="false">Tax_Bands!E$21*MAX(0,MIN(E8,Tax_Bands!E$12)-Tax_Bands!E$11)+Tax_Bands!E$22*MAX(0,E8-Tax_Bands!E$12)</f>
        <v>5688.04</v>
      </c>
      <c r="F21" s="20" t="n">
        <f aca="false">Tax_Bands!F$21*MAX(0,MIN(F8,Tax_Bands!F$12)-Tax_Bands!F$11)+Tax_Bands!F$22*MAX(0,F8-Tax_Bands!F$12)</f>
        <v>5761.5888</v>
      </c>
      <c r="G21" s="20" t="n">
        <f aca="false">Tax_Bands!G$21*MAX(0,MIN(G8,Tax_Bands!G$12)-Tax_Bands!G$11)+Tax_Bands!G$22*MAX(0,G8-Tax_Bands!G$12)</f>
        <v>5836.608576</v>
      </c>
      <c r="H21" s="20" t="n">
        <f aca="false">Tax_Bands!H$21*MAX(0,MIN(H8,Tax_Bands!H$12)-Tax_Bands!H$11)+Tax_Bands!H$22*MAX(0,H8-Tax_Bands!H$12)</f>
        <v>5953.34074752</v>
      </c>
      <c r="I21" s="20" t="n">
        <f aca="false">Tax_Bands!I$21*MAX(0,MIN(I8,Tax_Bands!I$12)-Tax_Bands!I$11)+Tax_Bands!I$22*MAX(0,I8-Tax_Bands!I$12)</f>
        <v>6072.4075624704</v>
      </c>
      <c r="J21" s="20" t="n">
        <f aca="false">Tax_Bands!J$21*MAX(0,MIN(J8,Tax_Bands!J$12)-Tax_Bands!J$11)+Tax_Bands!J$22*MAX(0,J8-Tax_Bands!J$12)</f>
        <v>6193.85571371981</v>
      </c>
      <c r="K21" s="20" t="n">
        <f aca="false">Tax_Bands!K$21*MAX(0,MIN(K8,Tax_Bands!K$12)-Tax_Bands!K$11)+Tax_Bands!K$22*MAX(0,K8-Tax_Bands!K$12)</f>
        <v>6317.73282799421</v>
      </c>
      <c r="L21" s="20" t="n">
        <f aca="false">Tax_Bands!L$21*MAX(0,MIN(L8,Tax_Bands!L$12)-Tax_Bands!L$11)+Tax_Bands!L$22*MAX(0,L8-Tax_Bands!L$12)</f>
        <v>6444.08748455409</v>
      </c>
      <c r="M21" s="20" t="n">
        <f aca="false">Tax_Bands!M$21*MAX(0,MIN(M8,Tax_Bands!M$12)-Tax_Bands!M$11)+Tax_Bands!M$22*MAX(0,M8-Tax_Bands!M$12)</f>
        <v>6572.96923424517</v>
      </c>
      <c r="N21" s="20" t="n">
        <f aca="false">Tax_Bands!N$21*MAX(0,MIN(N8,Tax_Bands!N$12)-Tax_Bands!N$11)+Tax_Bands!N$22*MAX(0,N8-Tax_Bands!N$12)</f>
        <v>6704.42861893008</v>
      </c>
      <c r="O21" s="20" t="n">
        <f aca="false">Tax_Bands!O$21*MAX(0,MIN(O8,Tax_Bands!O$12)-Tax_Bands!O$11)+Tax_Bands!O$22*MAX(0,O8-Tax_Bands!O$12)</f>
        <v>6838.51719130868</v>
      </c>
      <c r="P21" s="20" t="n">
        <f aca="false">Tax_Bands!P$21*MAX(0,MIN(P8,Tax_Bands!P$12)-Tax_Bands!P$11)+Tax_Bands!P$22*MAX(0,P8-Tax_Bands!P$12)</f>
        <v>6975.28753513485</v>
      </c>
      <c r="Q21" s="20" t="n">
        <f aca="false">Tax_Bands!Q$21*MAX(0,MIN(Q8,Tax_Bands!Q$12)-Tax_Bands!Q$11)+Tax_Bands!Q$22*MAX(0,Q8-Tax_Bands!Q$12)</f>
        <v>7114.79328583755</v>
      </c>
      <c r="R21" s="20" t="n">
        <f aca="false">Tax_Bands!R$21*MAX(0,MIN(R8,Tax_Bands!R$12)-Tax_Bands!R$11)+Tax_Bands!R$22*MAX(0,R8-Tax_Bands!R$12)</f>
        <v>7257.0891515543</v>
      </c>
      <c r="S21" s="20" t="n">
        <f aca="false">Tax_Bands!S$21*MAX(0,MIN(S8,Tax_Bands!S$12)-Tax_Bands!S$11)+Tax_Bands!S$22*MAX(0,S8-Tax_Bands!S$12)</f>
        <v>7402.23093458539</v>
      </c>
      <c r="T21" s="20" t="n">
        <f aca="false">Tax_Bands!T$21*MAX(0,MIN(T8,Tax_Bands!T$12)-Tax_Bands!T$11)+Tax_Bands!T$22*MAX(0,T8-Tax_Bands!T$12)</f>
        <v>7550.27555327709</v>
      </c>
      <c r="U21" s="20" t="n">
        <f aca="false">Tax_Bands!U$21*MAX(0,MIN(U8,Tax_Bands!U$12)-Tax_Bands!U$11)+Tax_Bands!U$22*MAX(0,U8-Tax_Bands!U$12)</f>
        <v>7701.28106434264</v>
      </c>
      <c r="V21" s="20" t="n">
        <f aca="false">Tax_Bands!V$21*MAX(0,MIN(V8,Tax_Bands!V$12)-Tax_Bands!V$11)+Tax_Bands!V$22*MAX(0,V8-Tax_Bands!V$12)</f>
        <v>7855.30668562949</v>
      </c>
      <c r="W21" s="20" t="n">
        <f aca="false">Tax_Bands!W$21*MAX(0,MIN(W8,Tax_Bands!W$12)-Tax_Bands!W$11)+Tax_Bands!W$22*MAX(0,W8-Tax_Bands!W$12)</f>
        <v>8012.41281934208</v>
      </c>
      <c r="X21" s="20" t="n">
        <f aca="false">Tax_Bands!X$21*MAX(0,MIN(X8,Tax_Bands!X$12)-Tax_Bands!X$11)+Tax_Bands!X$22*MAX(0,X8-Tax_Bands!X$12)</f>
        <v>8172.66107572892</v>
      </c>
      <c r="Y21" s="20" t="n">
        <f aca="false">Tax_Bands!Y$21*MAX(0,MIN(Y8,Tax_Bands!Y$12)-Tax_Bands!Y$11)+Tax_Bands!Y$22*MAX(0,Y8-Tax_Bands!Y$12)</f>
        <v>8336.1142972435</v>
      </c>
      <c r="Z21" s="20" t="n">
        <f aca="false">Tax_Bands!Z$21*MAX(0,MIN(Z8,Tax_Bands!Z$12)-Tax_Bands!Z$11)+Tax_Bands!Z$22*MAX(0,Z8-Tax_Bands!Z$12)</f>
        <v>8502.83658318837</v>
      </c>
      <c r="AA21" s="20" t="n">
        <f aca="false">Tax_Bands!AA$21*MAX(0,MIN(AA8,Tax_Bands!AA$12)-Tax_Bands!AA$11)+Tax_Bands!AA$22*MAX(0,AA8-Tax_Bands!AA$12)</f>
        <v>8672.89331485214</v>
      </c>
      <c r="AB21" s="20" t="n">
        <f aca="false">Tax_Bands!AB$21*MAX(0,MIN(AB8,Tax_Bands!AB$12)-Tax_Bands!AB$11)+Tax_Bands!AB$22*MAX(0,AB8-Tax_Bands!AB$12)</f>
        <v>8846.35118114918</v>
      </c>
      <c r="AC21" s="20" t="n">
        <f aca="false">Tax_Bands!AC$21*MAX(0,MIN(AC8,Tax_Bands!AC$12)-Tax_Bands!AC$11)+Tax_Bands!AC$22*MAX(0,AC8-Tax_Bands!AC$12)</f>
        <v>9023.27820477216</v>
      </c>
      <c r="AD21" s="20" t="n">
        <f aca="false">Tax_Bands!AD$21*MAX(0,MIN(AD8,Tax_Bands!AD$12)-Tax_Bands!AD$11)+Tax_Bands!AD$22*MAX(0,AD8-Tax_Bands!AD$12)</f>
        <v>9203.74376886761</v>
      </c>
      <c r="AE21" s="20" t="n">
        <f aca="false">Tax_Bands!AE$21*MAX(0,MIN(AE8,Tax_Bands!AE$12)-Tax_Bands!AE$11)+Tax_Bands!AE$22*MAX(0,AE8-Tax_Bands!AE$12)</f>
        <v>9387.81864424496</v>
      </c>
      <c r="AF21" s="20" t="n">
        <f aca="false">Tax_Bands!AF$21*MAX(0,MIN(AF8,Tax_Bands!AF$12)-Tax_Bands!AF$11)+Tax_Bands!AF$22*MAX(0,AF8-Tax_Bands!AF$12)</f>
        <v>9575.57501712986</v>
      </c>
    </row>
    <row r="22" customFormat="false" ht="15" hidden="false" customHeight="true" outlineLevel="0" collapsed="false">
      <c r="B22" s="16" t="s">
        <v>350</v>
      </c>
      <c r="C22" s="59" t="n">
        <f aca="false">C17-C20-C21</f>
        <v>98036.4</v>
      </c>
      <c r="D22" s="59" t="n">
        <f aca="false">D17-D20-D21</f>
        <v>101255.4</v>
      </c>
      <c r="E22" s="59" t="n">
        <f aca="false">E17-E20-E21</f>
        <v>104834.16</v>
      </c>
      <c r="F22" s="59" t="n">
        <f aca="false">F17-F20-F21</f>
        <v>106695.1152</v>
      </c>
      <c r="G22" s="59" t="n">
        <f aca="false">G17-G20-G21</f>
        <v>108593.289504</v>
      </c>
      <c r="H22" s="59" t="n">
        <f aca="false">H17-H20-H21</f>
        <v>110765.15529408</v>
      </c>
      <c r="I22" s="59" t="n">
        <f aca="false">I17-I20-I21</f>
        <v>112980.458399962</v>
      </c>
      <c r="J22" s="59" t="n">
        <f aca="false">J17-J20-J21</f>
        <v>115240.067567961</v>
      </c>
      <c r="K22" s="59" t="n">
        <f aca="false">K17-K20-K21</f>
        <v>117544.86891932</v>
      </c>
      <c r="L22" s="59" t="n">
        <f aca="false">L17-L20-L21</f>
        <v>119895.766297706</v>
      </c>
      <c r="M22" s="59" t="n">
        <f aca="false">M17-M20-M21</f>
        <v>122293.681623661</v>
      </c>
      <c r="N22" s="59" t="n">
        <f aca="false">N17-N20-N21</f>
        <v>124739.555256134</v>
      </c>
      <c r="O22" s="59" t="n">
        <f aca="false">O17-O20-O21</f>
        <v>127234.346361256</v>
      </c>
      <c r="P22" s="59" t="n">
        <f aca="false">P17-P20-P21</f>
        <v>129779.033288482</v>
      </c>
      <c r="Q22" s="59" t="n">
        <f aca="false">Q17-Q20-Q21</f>
        <v>132374.613954251</v>
      </c>
      <c r="R22" s="59" t="n">
        <f aca="false">R17-R20-R21</f>
        <v>135022.106233336</v>
      </c>
      <c r="S22" s="59" t="n">
        <f aca="false">S17-S20-S21</f>
        <v>137722.548358003</v>
      </c>
      <c r="T22" s="59" t="n">
        <f aca="false">T17-T20-T21</f>
        <v>140476.999325163</v>
      </c>
      <c r="U22" s="59" t="n">
        <f aca="false">U17-U20-U21</f>
        <v>143286.539311666</v>
      </c>
      <c r="V22" s="59" t="n">
        <f aca="false">V17-V20-V21</f>
        <v>146152.2700979</v>
      </c>
      <c r="W22" s="59" t="n">
        <f aca="false">W17-W20-W21</f>
        <v>149075.315499858</v>
      </c>
      <c r="X22" s="59" t="n">
        <f aca="false">X17-X20-X21</f>
        <v>152056.821809855</v>
      </c>
      <c r="Y22" s="59" t="n">
        <f aca="false">Y17-Y20-Y21</f>
        <v>155097.958246052</v>
      </c>
      <c r="Z22" s="59" t="n">
        <f aca="false">Z17-Z20-Z21</f>
        <v>158199.917410973</v>
      </c>
      <c r="AA22" s="59" t="n">
        <f aca="false">AA17-AA20-AA21</f>
        <v>161363.915759192</v>
      </c>
      <c r="AB22" s="59" t="n">
        <f aca="false">AB17-AB20-AB21</f>
        <v>164591.194074376</v>
      </c>
      <c r="AC22" s="59" t="n">
        <f aca="false">AC17-AC20-AC21</f>
        <v>167883.017955864</v>
      </c>
      <c r="AD22" s="59" t="n">
        <f aca="false">AD17-AD20-AD21</f>
        <v>171240.678314981</v>
      </c>
      <c r="AE22" s="59" t="n">
        <f aca="false">AE17-AE20-AE21</f>
        <v>174665.491881281</v>
      </c>
      <c r="AF22" s="59" t="n">
        <f aca="false">AF17-AF20-AF21</f>
        <v>178158.801718906</v>
      </c>
    </row>
    <row r="23" customFormat="false" ht="15" hidden="false" customHeight="true" outlineLevel="0" collapsed="false">
      <c r="A23" s="30" t="s">
        <v>351</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row>
    <row r="24" customFormat="false" ht="15" hidden="false" customHeight="true" outlineLevel="0" collapsed="false">
      <c r="B24" s="16" t="s">
        <v>352</v>
      </c>
      <c r="C24" s="60" t="n">
        <f aca="false">Household_Base!C$37</f>
        <v>39000</v>
      </c>
      <c r="D24" s="60" t="n">
        <f aca="false">Household_Base!D$37</f>
        <v>36900</v>
      </c>
      <c r="E24" s="60" t="n">
        <f aca="false">Household_Base!E$37</f>
        <v>35976</v>
      </c>
      <c r="F24" s="60" t="n">
        <f aca="false">Household_Base!F$37</f>
        <v>35495.52</v>
      </c>
      <c r="G24" s="60" t="n">
        <f aca="false">Household_Base!G$37</f>
        <v>35005.4304</v>
      </c>
      <c r="H24" s="60" t="n">
        <f aca="false">Household_Base!H$37</f>
        <v>35705.539008</v>
      </c>
      <c r="I24" s="60" t="n">
        <f aca="false">Household_Base!I$37</f>
        <v>36419.64978816</v>
      </c>
      <c r="J24" s="60" t="n">
        <f aca="false">Household_Base!J$37</f>
        <v>37148.0427839232</v>
      </c>
      <c r="K24" s="60" t="n">
        <f aca="false">Household_Base!K$37</f>
        <v>37891.0036396017</v>
      </c>
      <c r="L24" s="60" t="n">
        <f aca="false">Household_Base!L$37</f>
        <v>38648.8237123937</v>
      </c>
      <c r="M24" s="60" t="n">
        <f aca="false">Household_Base!M$37</f>
        <v>39421.8001866416</v>
      </c>
      <c r="N24" s="60" t="n">
        <f aca="false">Household_Base!N$37</f>
        <v>40210.2361903744</v>
      </c>
      <c r="O24" s="60" t="n">
        <f aca="false">Household_Base!O$37</f>
        <v>41014.4409141819</v>
      </c>
      <c r="P24" s="60" t="n">
        <f aca="false">Household_Base!P$37</f>
        <v>41834.7297324655</v>
      </c>
      <c r="Q24" s="60" t="n">
        <f aca="false">Household_Base!Q$37</f>
        <v>42671.4243271148</v>
      </c>
      <c r="R24" s="60" t="n">
        <f aca="false">Household_Base!R$37</f>
        <v>43524.8528136571</v>
      </c>
      <c r="S24" s="60" t="n">
        <f aca="false">Household_Base!S$37</f>
        <v>44395.3498699303</v>
      </c>
      <c r="T24" s="60" t="n">
        <f aca="false">Household_Base!T$37</f>
        <v>45283.2568673289</v>
      </c>
      <c r="U24" s="60" t="n">
        <f aca="false">Household_Base!U$37</f>
        <v>46188.9220046755</v>
      </c>
      <c r="V24" s="60" t="n">
        <f aca="false">Household_Base!V$37</f>
        <v>47112.700444769</v>
      </c>
      <c r="W24" s="60" t="n">
        <f aca="false">Household_Base!W$37</f>
        <v>48054.9544536643</v>
      </c>
      <c r="X24" s="60" t="n">
        <f aca="false">Household_Base!X$37</f>
        <v>49016.0535427377</v>
      </c>
      <c r="Y24" s="60" t="n">
        <f aca="false">Household_Base!Y$37</f>
        <v>49996.3746135924</v>
      </c>
      <c r="Z24" s="60" t="n">
        <f aca="false">Household_Base!Z$37</f>
        <v>50996.3021058643</v>
      </c>
      <c r="AA24" s="60" t="n">
        <f aca="false">Household_Base!AA$37</f>
        <v>52016.2281479815</v>
      </c>
      <c r="AB24" s="60" t="n">
        <f aca="false">Household_Base!AB$37</f>
        <v>53056.5527109412</v>
      </c>
      <c r="AC24" s="60" t="n">
        <f aca="false">Household_Base!AC$37</f>
        <v>54117.68376516</v>
      </c>
      <c r="AD24" s="60" t="n">
        <f aca="false">Household_Base!AD$37</f>
        <v>55200.0374404632</v>
      </c>
      <c r="AE24" s="60" t="n">
        <f aca="false">Household_Base!AE$37</f>
        <v>56304.0381892725</v>
      </c>
      <c r="AF24" s="60" t="n">
        <f aca="false">Household_Base!AF$37</f>
        <v>57430.1189530579</v>
      </c>
    </row>
    <row r="25" customFormat="false" ht="15" hidden="false" customHeight="true" outlineLevel="0" collapsed="false">
      <c r="B25" s="56" t="s">
        <v>353</v>
      </c>
      <c r="C25" s="20" t="n">
        <f aca="false">C17-C24</f>
        <v>124000</v>
      </c>
      <c r="D25" s="20" t="n">
        <f aca="false">D17-D24</f>
        <v>132200</v>
      </c>
      <c r="E25" s="20" t="n">
        <f aca="false">E17-E24</f>
        <v>139888</v>
      </c>
      <c r="F25" s="20" t="n">
        <f aca="false">F17-F24</f>
        <v>143885.76</v>
      </c>
      <c r="G25" s="20" t="n">
        <f aca="false">G17-G24</f>
        <v>147963.4752</v>
      </c>
      <c r="H25" s="20" t="n">
        <f aca="false">H17-H24</f>
        <v>150922.744704</v>
      </c>
      <c r="I25" s="20" t="n">
        <f aca="false">I17-I24</f>
        <v>153941.19959808</v>
      </c>
      <c r="J25" s="20" t="n">
        <f aca="false">J17-J24</f>
        <v>157020.023590042</v>
      </c>
      <c r="K25" s="20" t="n">
        <f aca="false">K17-K24</f>
        <v>160160.424061843</v>
      </c>
      <c r="L25" s="20" t="n">
        <f aca="false">L17-L24</f>
        <v>163363.632543079</v>
      </c>
      <c r="M25" s="20" t="n">
        <f aca="false">M17-M24</f>
        <v>166630.905193941</v>
      </c>
      <c r="N25" s="20" t="n">
        <f aca="false">N17-N24</f>
        <v>169963.52329782</v>
      </c>
      <c r="O25" s="20" t="n">
        <f aca="false">O17-O24</f>
        <v>173362.793763776</v>
      </c>
      <c r="P25" s="20" t="n">
        <f aca="false">P17-P24</f>
        <v>176830.049639052</v>
      </c>
      <c r="Q25" s="20" t="n">
        <f aca="false">Q17-Q24</f>
        <v>180366.650631833</v>
      </c>
      <c r="R25" s="20" t="n">
        <f aca="false">R17-R24</f>
        <v>183973.983644469</v>
      </c>
      <c r="S25" s="20" t="n">
        <f aca="false">S17-S24</f>
        <v>187653.463317359</v>
      </c>
      <c r="T25" s="20" t="n">
        <f aca="false">T17-T24</f>
        <v>191406.532583706</v>
      </c>
      <c r="U25" s="20" t="n">
        <f aca="false">U17-U24</f>
        <v>195234.66323538</v>
      </c>
      <c r="V25" s="20" t="n">
        <f aca="false">V17-V24</f>
        <v>199139.356500088</v>
      </c>
      <c r="W25" s="20" t="n">
        <f aca="false">W17-W24</f>
        <v>203122.143630089</v>
      </c>
      <c r="X25" s="20" t="n">
        <f aca="false">X17-X24</f>
        <v>207184.586502691</v>
      </c>
      <c r="Y25" s="20" t="n">
        <f aca="false">Y17-Y24</f>
        <v>211328.278232745</v>
      </c>
      <c r="Z25" s="20" t="n">
        <f aca="false">Z17-Z24</f>
        <v>215554.8437974</v>
      </c>
      <c r="AA25" s="20" t="n">
        <f aca="false">AA17-AA24</f>
        <v>219865.940673348</v>
      </c>
      <c r="AB25" s="20" t="n">
        <f aca="false">AB17-AB24</f>
        <v>224263.259486815</v>
      </c>
      <c r="AC25" s="20" t="n">
        <f aca="false">AC17-AC24</f>
        <v>228748.524676551</v>
      </c>
      <c r="AD25" s="20" t="n">
        <f aca="false">AD17-AD24</f>
        <v>233323.495170082</v>
      </c>
      <c r="AE25" s="20" t="n">
        <f aca="false">AE17-AE24</f>
        <v>237989.965073484</v>
      </c>
      <c r="AF25" s="20" t="n">
        <f aca="false">AF17-AF24</f>
        <v>242749.764374954</v>
      </c>
    </row>
    <row r="26" customFormat="false" ht="15" hidden="false" customHeight="true" outlineLevel="0" collapsed="false">
      <c r="B26" s="56" t="s">
        <v>346</v>
      </c>
      <c r="C26" s="20" t="n">
        <f aca="false">MAX(0,Tax_Bands!C$7-MAX(0,C25-Tax_Bands!C$8)/2)</f>
        <v>570</v>
      </c>
      <c r="D26" s="20" t="n">
        <f aca="false">MAX(0,Tax_Bands!D$7-MAX(0,D25-Tax_Bands!D$8)/2)</f>
        <v>0</v>
      </c>
      <c r="E26" s="20" t="n">
        <f aca="false">MAX(0,Tax_Bands!E$7-MAX(0,E25-Tax_Bands!E$8)/2)</f>
        <v>0</v>
      </c>
      <c r="F26" s="20" t="n">
        <f aca="false">MAX(0,Tax_Bands!F$7-MAX(0,F25-Tax_Bands!F$8)/2)</f>
        <v>0</v>
      </c>
      <c r="G26" s="20" t="n">
        <f aca="false">MAX(0,Tax_Bands!G$7-MAX(0,G25-Tax_Bands!G$8)/2)</f>
        <v>0</v>
      </c>
      <c r="H26" s="20" t="n">
        <f aca="false">MAX(0,Tax_Bands!H$7-MAX(0,H25-Tax_Bands!H$8)/2)</f>
        <v>0</v>
      </c>
      <c r="I26" s="20" t="n">
        <f aca="false">MAX(0,Tax_Bands!I$7-MAX(0,I25-Tax_Bands!I$8)/2)</f>
        <v>0</v>
      </c>
      <c r="J26" s="20" t="n">
        <f aca="false">MAX(0,Tax_Bands!J$7-MAX(0,J25-Tax_Bands!J$8)/2)</f>
        <v>0</v>
      </c>
      <c r="K26" s="20" t="n">
        <f aca="false">MAX(0,Tax_Bands!K$7-MAX(0,K25-Tax_Bands!K$8)/2)</f>
        <v>0</v>
      </c>
      <c r="L26" s="20" t="n">
        <f aca="false">MAX(0,Tax_Bands!L$7-MAX(0,L25-Tax_Bands!L$8)/2)</f>
        <v>0</v>
      </c>
      <c r="M26" s="20" t="n">
        <f aca="false">MAX(0,Tax_Bands!M$7-MAX(0,M25-Tax_Bands!M$8)/2)</f>
        <v>0</v>
      </c>
      <c r="N26" s="20" t="n">
        <f aca="false">MAX(0,Tax_Bands!N$7-MAX(0,N25-Tax_Bands!N$8)/2)</f>
        <v>0</v>
      </c>
      <c r="O26" s="20" t="n">
        <f aca="false">MAX(0,Tax_Bands!O$7-MAX(0,O25-Tax_Bands!O$8)/2)</f>
        <v>0</v>
      </c>
      <c r="P26" s="20" t="n">
        <f aca="false">MAX(0,Tax_Bands!P$7-MAX(0,P25-Tax_Bands!P$8)/2)</f>
        <v>0</v>
      </c>
      <c r="Q26" s="20" t="n">
        <f aca="false">MAX(0,Tax_Bands!Q$7-MAX(0,Q25-Tax_Bands!Q$8)/2)</f>
        <v>0</v>
      </c>
      <c r="R26" s="20" t="n">
        <f aca="false">MAX(0,Tax_Bands!R$7-MAX(0,R25-Tax_Bands!R$8)/2)</f>
        <v>0</v>
      </c>
      <c r="S26" s="20" t="n">
        <f aca="false">MAX(0,Tax_Bands!S$7-MAX(0,S25-Tax_Bands!S$8)/2)</f>
        <v>0</v>
      </c>
      <c r="T26" s="20" t="n">
        <f aca="false">MAX(0,Tax_Bands!T$7-MAX(0,T25-Tax_Bands!T$8)/2)</f>
        <v>0</v>
      </c>
      <c r="U26" s="20" t="n">
        <f aca="false">MAX(0,Tax_Bands!U$7-MAX(0,U25-Tax_Bands!U$8)/2)</f>
        <v>0</v>
      </c>
      <c r="V26" s="20" t="n">
        <f aca="false">MAX(0,Tax_Bands!V$7-MAX(0,V25-Tax_Bands!V$8)/2)</f>
        <v>0</v>
      </c>
      <c r="W26" s="20" t="n">
        <f aca="false">MAX(0,Tax_Bands!W$7-MAX(0,W25-Tax_Bands!W$8)/2)</f>
        <v>0</v>
      </c>
      <c r="X26" s="20" t="n">
        <f aca="false">MAX(0,Tax_Bands!X$7-MAX(0,X25-Tax_Bands!X$8)/2)</f>
        <v>0</v>
      </c>
      <c r="Y26" s="20" t="n">
        <f aca="false">MAX(0,Tax_Bands!Y$7-MAX(0,Y25-Tax_Bands!Y$8)/2)</f>
        <v>0</v>
      </c>
      <c r="Z26" s="20" t="n">
        <f aca="false">MAX(0,Tax_Bands!Z$7-MAX(0,Z25-Tax_Bands!Z$8)/2)</f>
        <v>0</v>
      </c>
      <c r="AA26" s="20" t="n">
        <f aca="false">MAX(0,Tax_Bands!AA$7-MAX(0,AA25-Tax_Bands!AA$8)/2)</f>
        <v>0</v>
      </c>
      <c r="AB26" s="20" t="n">
        <f aca="false">MAX(0,Tax_Bands!AB$7-MAX(0,AB25-Tax_Bands!AB$8)/2)</f>
        <v>0</v>
      </c>
      <c r="AC26" s="20" t="n">
        <f aca="false">MAX(0,Tax_Bands!AC$7-MAX(0,AC25-Tax_Bands!AC$8)/2)</f>
        <v>0</v>
      </c>
      <c r="AD26" s="20" t="n">
        <f aca="false">MAX(0,Tax_Bands!AD$7-MAX(0,AD25-Tax_Bands!AD$8)/2)</f>
        <v>0</v>
      </c>
      <c r="AE26" s="20" t="n">
        <f aca="false">MAX(0,Tax_Bands!AE$7-MAX(0,AE25-Tax_Bands!AE$8)/2)</f>
        <v>0</v>
      </c>
      <c r="AF26" s="20" t="n">
        <f aca="false">MAX(0,Tax_Bands!AF$7-MAX(0,AF25-Tax_Bands!AF$8)/2)</f>
        <v>0</v>
      </c>
    </row>
    <row r="27" customFormat="false" ht="15" hidden="false" customHeight="true" outlineLevel="0" collapsed="false">
      <c r="B27" s="56" t="s">
        <v>347</v>
      </c>
      <c r="C27" s="20" t="n">
        <f aca="false">MAX(0,C17-C26)</f>
        <v>162430</v>
      </c>
      <c r="D27" s="20" t="n">
        <f aca="false">MAX(0,D17-D26)</f>
        <v>169100</v>
      </c>
      <c r="E27" s="20" t="n">
        <f aca="false">MAX(0,E17-E26)</f>
        <v>175864</v>
      </c>
      <c r="F27" s="20" t="n">
        <f aca="false">MAX(0,F17-F26)</f>
        <v>179381.28</v>
      </c>
      <c r="G27" s="20" t="n">
        <f aca="false">MAX(0,G17-G26)</f>
        <v>182968.9056</v>
      </c>
      <c r="H27" s="20" t="n">
        <f aca="false">MAX(0,H17-H26)</f>
        <v>186628.283712</v>
      </c>
      <c r="I27" s="20" t="n">
        <f aca="false">MAX(0,I17-I26)</f>
        <v>190360.84938624</v>
      </c>
      <c r="J27" s="20" t="n">
        <f aca="false">MAX(0,J17-J26)</f>
        <v>194168.066373965</v>
      </c>
      <c r="K27" s="20" t="n">
        <f aca="false">MAX(0,K17-K26)</f>
        <v>198051.427701444</v>
      </c>
      <c r="L27" s="20" t="n">
        <f aca="false">MAX(0,L17-L26)</f>
        <v>202012.456255473</v>
      </c>
      <c r="M27" s="20" t="n">
        <f aca="false">MAX(0,M17-M26)</f>
        <v>206052.705380582</v>
      </c>
      <c r="N27" s="20" t="n">
        <f aca="false">MAX(0,N17-N26)</f>
        <v>210173.759488194</v>
      </c>
      <c r="O27" s="20" t="n">
        <f aca="false">MAX(0,O17-O26)</f>
        <v>214377.234677958</v>
      </c>
      <c r="P27" s="20" t="n">
        <f aca="false">MAX(0,P17-P26)</f>
        <v>218664.779371517</v>
      </c>
      <c r="Q27" s="20" t="n">
        <f aca="false">MAX(0,Q17-Q26)</f>
        <v>223038.074958948</v>
      </c>
      <c r="R27" s="20" t="n">
        <f aca="false">MAX(0,R17-R26)</f>
        <v>227498.836458127</v>
      </c>
      <c r="S27" s="20" t="n">
        <f aca="false">MAX(0,S17-S26)</f>
        <v>232048.813187289</v>
      </c>
      <c r="T27" s="20" t="n">
        <f aca="false">MAX(0,T17-T26)</f>
        <v>236689.789451035</v>
      </c>
      <c r="U27" s="20" t="n">
        <f aca="false">MAX(0,U17-U26)</f>
        <v>241423.585240056</v>
      </c>
      <c r="V27" s="20" t="n">
        <f aca="false">MAX(0,V17-V26)</f>
        <v>246252.056944857</v>
      </c>
      <c r="W27" s="20" t="n">
        <f aca="false">MAX(0,W17-W26)</f>
        <v>251177.098083754</v>
      </c>
      <c r="X27" s="20" t="n">
        <f aca="false">MAX(0,X17-X26)</f>
        <v>256200.640045429</v>
      </c>
      <c r="Y27" s="20" t="n">
        <f aca="false">MAX(0,Y17-Y26)</f>
        <v>261324.652846337</v>
      </c>
      <c r="Z27" s="20" t="n">
        <f aca="false">MAX(0,Z17-Z26)</f>
        <v>266551.145903264</v>
      </c>
      <c r="AA27" s="20" t="n">
        <f aca="false">MAX(0,AA17-AA26)</f>
        <v>271882.168821329</v>
      </c>
      <c r="AB27" s="20" t="n">
        <f aca="false">MAX(0,AB17-AB26)</f>
        <v>277319.812197756</v>
      </c>
      <c r="AC27" s="20" t="n">
        <f aca="false">MAX(0,AC17-AC26)</f>
        <v>282866.208441711</v>
      </c>
      <c r="AD27" s="20" t="n">
        <f aca="false">MAX(0,AD17-AD26)</f>
        <v>288523.532610545</v>
      </c>
      <c r="AE27" s="20" t="n">
        <f aca="false">MAX(0,AE17-AE26)</f>
        <v>294294.003262756</v>
      </c>
      <c r="AF27" s="20" t="n">
        <f aca="false">MAX(0,AF17-AF26)</f>
        <v>300179.883328012</v>
      </c>
    </row>
    <row r="28" customFormat="false" ht="15" hidden="false" customHeight="true" outlineLevel="0" collapsed="false">
      <c r="B28" s="6" t="s">
        <v>348</v>
      </c>
      <c r="C28" s="20" t="n">
        <f aca="false">Tax_Bands!C$18*MIN(C27,Tax_Bands!C$9+C24)+Tax_Bands!C$19*MAX(0,MIN(C27,Tax_Bands!C$10+C24)-(Tax_Bands!C$9+C24))+Tax_Bands!C$20*MAX(0,C27-(Tax_Bands!C$10+C24))</f>
        <v>49632</v>
      </c>
      <c r="D28" s="20" t="n">
        <f aca="false">Tax_Bands!D$18*MIN(D27,Tax_Bands!D$9+D24)+Tax_Bands!D$19*MAX(0,MIN(D27,Tax_Bands!D$10+D24)-(Tax_Bands!D$9+D24))+Tax_Bands!D$20*MAX(0,D27-(Tax_Bands!D$10+D24))</f>
        <v>53073</v>
      </c>
      <c r="E28" s="20" t="n">
        <f aca="false">Tax_Bands!E$18*MIN(E27,Tax_Bands!E$9+E24)+Tax_Bands!E$19*MAX(0,MIN(E27,Tax_Bands!E$10+E24)-(Tax_Bands!E$9+E24))+Tax_Bands!E$20*MAX(0,E27-(Tax_Bands!E$10+E24))</f>
        <v>56347.8</v>
      </c>
      <c r="F28" s="20" t="n">
        <f aca="false">Tax_Bands!F$18*MIN(F27,Tax_Bands!F$9+F24)+Tax_Bands!F$19*MAX(0,MIN(F27,Tax_Bands!F$10+F24)-(Tax_Bands!F$9+F24))+Tax_Bands!F$20*MAX(0,F27-(Tax_Bands!F$10+F24))</f>
        <v>58050.696</v>
      </c>
      <c r="G28" s="20" t="n">
        <f aca="false">Tax_Bands!G$18*MIN(G27,Tax_Bands!G$9+G24)+Tax_Bands!G$19*MAX(0,MIN(G27,Tax_Bands!G$10+G24)-(Tax_Bands!G$9+G24))+Tax_Bands!G$20*MAX(0,G27-(Tax_Bands!G$10+G24))</f>
        <v>59787.64992</v>
      </c>
      <c r="H28" s="20" t="n">
        <f aca="false">Tax_Bands!H$18*MIN(H27,Tax_Bands!H$9+H24)+Tax_Bands!H$19*MAX(0,MIN(H27,Tax_Bands!H$10+H24)-(Tax_Bands!H$9+H24))+Tax_Bands!H$20*MAX(0,H27-(Tax_Bands!H$10+H24))</f>
        <v>60983.4029184</v>
      </c>
      <c r="I28" s="20" t="n">
        <f aca="false">Tax_Bands!I$18*MIN(I27,Tax_Bands!I$9+I24)+Tax_Bands!I$19*MAX(0,MIN(I27,Tax_Bands!I$10+I24)-(Tax_Bands!I$9+I24))+Tax_Bands!I$20*MAX(0,I27-(Tax_Bands!I$10+I24))</f>
        <v>62203.070976768</v>
      </c>
      <c r="J28" s="20" t="n">
        <f aca="false">Tax_Bands!J$18*MIN(J27,Tax_Bands!J$9+J24)+Tax_Bands!J$19*MAX(0,MIN(J27,Tax_Bands!J$10+J24)-(Tax_Bands!J$9+J24))+Tax_Bands!J$20*MAX(0,J27-(Tax_Bands!J$10+J24))</f>
        <v>63447.1323963034</v>
      </c>
      <c r="K28" s="20" t="n">
        <f aca="false">Tax_Bands!K$18*MIN(K27,Tax_Bands!K$9+K24)+Tax_Bands!K$19*MAX(0,MIN(K27,Tax_Bands!K$10+K24)-(Tax_Bands!K$9+K24))+Tax_Bands!K$20*MAX(0,K27-(Tax_Bands!K$10+K24))</f>
        <v>64716.0750442295</v>
      </c>
      <c r="L28" s="20" t="n">
        <f aca="false">Tax_Bands!L$18*MIN(L27,Tax_Bands!L$9+L24)+Tax_Bands!L$19*MAX(0,MIN(L27,Tax_Bands!L$10+L24)-(Tax_Bands!L$9+L24))+Tax_Bands!L$20*MAX(0,L27-(Tax_Bands!L$10+L24))</f>
        <v>66010.396545114</v>
      </c>
      <c r="M28" s="20" t="n">
        <f aca="false">Tax_Bands!M$18*MIN(M27,Tax_Bands!M$9+M24)+Tax_Bands!M$19*MAX(0,MIN(M27,Tax_Bands!M$10+M24)-(Tax_Bands!M$9+M24))+Tax_Bands!M$20*MAX(0,M27-(Tax_Bands!M$10+M24))</f>
        <v>67330.6044760163</v>
      </c>
      <c r="N28" s="20" t="n">
        <f aca="false">Tax_Bands!N$18*MIN(N27,Tax_Bands!N$9+N24)+Tax_Bands!N$19*MAX(0,MIN(N27,Tax_Bands!N$10+N24)-(Tax_Bands!N$9+N24))+Tax_Bands!N$20*MAX(0,N27-(Tax_Bands!N$10+N24))</f>
        <v>68677.2165655366</v>
      </c>
      <c r="O28" s="20" t="n">
        <f aca="false">Tax_Bands!O$18*MIN(O27,Tax_Bands!O$9+O24)+Tax_Bands!O$19*MAX(0,MIN(O27,Tax_Bands!O$10+O24)-(Tax_Bands!O$9+O24))+Tax_Bands!O$20*MAX(0,O27-(Tax_Bands!O$10+O24))</f>
        <v>70050.7608968474</v>
      </c>
      <c r="P28" s="20" t="n">
        <f aca="false">Tax_Bands!P$18*MIN(P27,Tax_Bands!P$9+P24)+Tax_Bands!P$19*MAX(0,MIN(P27,Tax_Bands!P$10+P24)-(Tax_Bands!P$9+P24))+Tax_Bands!P$20*MAX(0,P27-(Tax_Bands!P$10+P24))</f>
        <v>71451.7761147843</v>
      </c>
      <c r="Q28" s="20" t="n">
        <f aca="false">Tax_Bands!Q$18*MIN(Q27,Tax_Bands!Q$9+Q24)+Tax_Bands!Q$19*MAX(0,MIN(Q27,Tax_Bands!Q$10+Q24)-(Tax_Bands!Q$9+Q24))+Tax_Bands!Q$20*MAX(0,Q27-(Tax_Bands!Q$10+Q24))</f>
        <v>72880.81163708</v>
      </c>
      <c r="R28" s="20" t="n">
        <f aca="false">Tax_Bands!R$18*MIN(R27,Tax_Bands!R$9+R24)+Tax_Bands!R$19*MAX(0,MIN(R27,Tax_Bands!R$10+R24)-(Tax_Bands!R$9+R24))+Tax_Bands!R$20*MAX(0,R27-(Tax_Bands!R$10+R24))</f>
        <v>74338.4278698216</v>
      </c>
      <c r="S28" s="20" t="n">
        <f aca="false">Tax_Bands!S$18*MIN(S27,Tax_Bands!S$9+S24)+Tax_Bands!S$19*MAX(0,MIN(S27,Tax_Bands!S$10+S24)-(Tax_Bands!S$9+S24))+Tax_Bands!S$20*MAX(0,S27-(Tax_Bands!S$10+S24))</f>
        <v>75825.1964272181</v>
      </c>
      <c r="T28" s="20" t="n">
        <f aca="false">Tax_Bands!T$18*MIN(T27,Tax_Bands!T$9+T24)+Tax_Bands!T$19*MAX(0,MIN(T27,Tax_Bands!T$10+T24)-(Tax_Bands!T$9+T24))+Tax_Bands!T$20*MAX(0,T27-(Tax_Bands!T$10+T24))</f>
        <v>77341.7003557624</v>
      </c>
      <c r="U28" s="20" t="n">
        <f aca="false">Tax_Bands!U$18*MIN(U27,Tax_Bands!U$9+U24)+Tax_Bands!U$19*MAX(0,MIN(U27,Tax_Bands!U$10+U24)-(Tax_Bands!U$9+U24))+Tax_Bands!U$20*MAX(0,U27-(Tax_Bands!U$10+U24))</f>
        <v>78888.5343628777</v>
      </c>
      <c r="V28" s="20" t="n">
        <f aca="false">Tax_Bands!V$18*MIN(V27,Tax_Bands!V$9+V24)+Tax_Bands!V$19*MAX(0,MIN(V27,Tax_Bands!V$10+V24)-(Tax_Bands!V$9+V24))+Tax_Bands!V$20*MAX(0,V27-(Tax_Bands!V$10+V24))</f>
        <v>80466.3050501352</v>
      </c>
      <c r="W28" s="20" t="n">
        <f aca="false">Tax_Bands!W$18*MIN(W27,Tax_Bands!W$9+W24)+Tax_Bands!W$19*MAX(0,MIN(W27,Tax_Bands!W$10+W24)-(Tax_Bands!W$9+W24))+Tax_Bands!W$20*MAX(0,W27-(Tax_Bands!W$10+W24))</f>
        <v>82075.6311511379</v>
      </c>
      <c r="X28" s="20" t="n">
        <f aca="false">Tax_Bands!X$18*MIN(X27,Tax_Bands!X$9+X24)+Tax_Bands!X$19*MAX(0,MIN(X27,Tax_Bands!X$10+X24)-(Tax_Bands!X$9+X24))+Tax_Bands!X$20*MAX(0,X27-(Tax_Bands!X$10+X24))</f>
        <v>83717.1437741607</v>
      </c>
      <c r="Y28" s="20" t="n">
        <f aca="false">Tax_Bands!Y$18*MIN(Y27,Tax_Bands!Y$9+Y24)+Tax_Bands!Y$19*MAX(0,MIN(Y27,Tax_Bands!Y$10+Y24)-(Tax_Bands!Y$9+Y24))+Tax_Bands!Y$20*MAX(0,Y27-(Tax_Bands!Y$10+Y24))</f>
        <v>85391.4866496439</v>
      </c>
      <c r="Z28" s="20" t="n">
        <f aca="false">Tax_Bands!Z$18*MIN(Z27,Tax_Bands!Z$9+Z24)+Tax_Bands!Z$19*MAX(0,MIN(Z27,Tax_Bands!Z$10+Z24)-(Tax_Bands!Z$9+Z24))+Tax_Bands!Z$20*MAX(0,Z27-(Tax_Bands!Z$10+Z24))</f>
        <v>87099.3163826368</v>
      </c>
      <c r="AA28" s="20" t="n">
        <f aca="false">Tax_Bands!AA$18*MIN(AA27,Tax_Bands!AA$9+AA24)+Tax_Bands!AA$19*MAX(0,MIN(AA27,Tax_Bands!AA$10+AA24)-(Tax_Bands!AA$9+AA24))+Tax_Bands!AA$20*MAX(0,AA27-(Tax_Bands!AA$10+AA24))</f>
        <v>88841.3027102895</v>
      </c>
      <c r="AB28" s="20" t="n">
        <f aca="false">Tax_Bands!AB$18*MIN(AB27,Tax_Bands!AB$9+AB24)+Tax_Bands!AB$19*MAX(0,MIN(AB27,Tax_Bands!AB$10+AB24)-(Tax_Bands!AB$9+AB24))+Tax_Bands!AB$20*MAX(0,AB27-(Tax_Bands!AB$10+AB24))</f>
        <v>90618.1287644953</v>
      </c>
      <c r="AC28" s="20" t="n">
        <f aca="false">Tax_Bands!AC$18*MIN(AC27,Tax_Bands!AC$9+AC24)+Tax_Bands!AC$19*MAX(0,MIN(AC27,Tax_Bands!AC$10+AC24)-(Tax_Bands!AC$9+AC24))+Tax_Bands!AC$20*MAX(0,AC27-(Tax_Bands!AC$10+AC24))</f>
        <v>92430.4913397852</v>
      </c>
      <c r="AD28" s="20" t="n">
        <f aca="false">Tax_Bands!AD$18*MIN(AD27,Tax_Bands!AD$9+AD24)+Tax_Bands!AD$19*MAX(0,MIN(AD27,Tax_Bands!AD$10+AD24)-(Tax_Bands!AD$9+AD24))+Tax_Bands!AD$20*MAX(0,AD27-(Tax_Bands!AD$10+AD24))</f>
        <v>94279.1011665809</v>
      </c>
      <c r="AE28" s="20" t="n">
        <f aca="false">Tax_Bands!AE$18*MIN(AE27,Tax_Bands!AE$9+AE24)+Tax_Bands!AE$19*MAX(0,MIN(AE27,Tax_Bands!AE$10+AE24)-(Tax_Bands!AE$9+AE24))+Tax_Bands!AE$20*MAX(0,AE27-(Tax_Bands!AE$10+AE24))</f>
        <v>96164.6831899126</v>
      </c>
      <c r="AF28" s="20" t="n">
        <f aca="false">Tax_Bands!AF$18*MIN(AF27,Tax_Bands!AF$9+AF24)+Tax_Bands!AF$19*MAX(0,MIN(AF27,Tax_Bands!AF$10+AF24)-(Tax_Bands!AF$9+AF24))+Tax_Bands!AF$20*MAX(0,AF27-(Tax_Bands!AF$10+AF24))</f>
        <v>98087.9768537108</v>
      </c>
    </row>
    <row r="29" customFormat="false" ht="15" hidden="false" customHeight="true" outlineLevel="0" collapsed="false">
      <c r="B29" s="16" t="s">
        <v>354</v>
      </c>
      <c r="C29" s="58" t="n">
        <f aca="false">C20-C28</f>
        <v>9921</v>
      </c>
      <c r="D29" s="58" t="n">
        <f aca="false">D20-D28</f>
        <v>9225</v>
      </c>
      <c r="E29" s="58" t="n">
        <f aca="false">E20-E28</f>
        <v>8994.00000000001</v>
      </c>
      <c r="F29" s="58" t="n">
        <f aca="false">F20-F28</f>
        <v>8873.88</v>
      </c>
      <c r="G29" s="58" t="n">
        <f aca="false">G20-G28</f>
        <v>8751.3576</v>
      </c>
      <c r="H29" s="58" t="n">
        <f aca="false">H20-H28</f>
        <v>8926.38475200001</v>
      </c>
      <c r="I29" s="58" t="n">
        <f aca="false">I20-I28</f>
        <v>9104.91244704</v>
      </c>
      <c r="J29" s="58" t="n">
        <f aca="false">J20-J28</f>
        <v>9287.0106959808</v>
      </c>
      <c r="K29" s="58" t="n">
        <f aca="false">K20-K28</f>
        <v>9472.75090990041</v>
      </c>
      <c r="L29" s="58" t="n">
        <f aca="false">L20-L28</f>
        <v>9662.20592809843</v>
      </c>
      <c r="M29" s="58" t="n">
        <f aca="false">M20-M28</f>
        <v>9855.45004666039</v>
      </c>
      <c r="N29" s="58" t="n">
        <f aca="false">N20-N28</f>
        <v>10052.5590475936</v>
      </c>
      <c r="O29" s="58" t="n">
        <f aca="false">O20-O28</f>
        <v>10253.6102285455</v>
      </c>
      <c r="P29" s="58" t="n">
        <f aca="false">P20-P28</f>
        <v>10458.6824331164</v>
      </c>
      <c r="Q29" s="58" t="n">
        <f aca="false">Q20-Q28</f>
        <v>10667.8560817787</v>
      </c>
      <c r="R29" s="58" t="n">
        <f aca="false">R20-R28</f>
        <v>10881.2132034143</v>
      </c>
      <c r="S29" s="58" t="n">
        <f aca="false">S20-S28</f>
        <v>11098.8374674826</v>
      </c>
      <c r="T29" s="58" t="n">
        <f aca="false">T20-T28</f>
        <v>11320.8142168322</v>
      </c>
      <c r="U29" s="58" t="n">
        <f aca="false">U20-U28</f>
        <v>11547.2305011689</v>
      </c>
      <c r="V29" s="58" t="n">
        <f aca="false">V20-V28</f>
        <v>11778.1751111923</v>
      </c>
      <c r="W29" s="58" t="n">
        <f aca="false">W20-W28</f>
        <v>12013.7386134161</v>
      </c>
      <c r="X29" s="58" t="n">
        <f aca="false">X20-X28</f>
        <v>12254.0133856844</v>
      </c>
      <c r="Y29" s="58" t="n">
        <f aca="false">Y20-Y28</f>
        <v>12499.0936533981</v>
      </c>
      <c r="Z29" s="58" t="n">
        <f aca="false">Z20-Z28</f>
        <v>12749.0755264661</v>
      </c>
      <c r="AA29" s="58" t="n">
        <f aca="false">AA20-AA28</f>
        <v>13004.0570369954</v>
      </c>
      <c r="AB29" s="58" t="n">
        <f aca="false">AB20-AB28</f>
        <v>13264.1381777353</v>
      </c>
      <c r="AC29" s="58" t="n">
        <f aca="false">AC20-AC28</f>
        <v>13529.42094129</v>
      </c>
      <c r="AD29" s="58" t="n">
        <f aca="false">AD20-AD28</f>
        <v>13800.0093601158</v>
      </c>
      <c r="AE29" s="58" t="n">
        <f aca="false">AE20-AE28</f>
        <v>14076.0095473181</v>
      </c>
      <c r="AF29" s="58" t="n">
        <f aca="false">AF20-AF28</f>
        <v>14357.5297382645</v>
      </c>
    </row>
    <row r="30" customFormat="false" ht="15" hidden="false" customHeight="true" outlineLevel="0" collapsed="false">
      <c r="B30" s="16" t="s">
        <v>355</v>
      </c>
      <c r="C30" s="59" t="n">
        <f aca="false">C8-C28-C21</f>
        <v>114957.4</v>
      </c>
      <c r="D30" s="59" t="n">
        <f aca="false">D8-D28-D21</f>
        <v>118180.4</v>
      </c>
      <c r="E30" s="59" t="n">
        <f aca="false">E8-E28-E21</f>
        <v>121836.16</v>
      </c>
      <c r="F30" s="59" t="n">
        <f aca="false">F8-F28-F21</f>
        <v>123737.1552</v>
      </c>
      <c r="G30" s="59" t="n">
        <f aca="false">G8-G28-G21</f>
        <v>125676.170304</v>
      </c>
      <c r="H30" s="59" t="n">
        <f aca="false">H8-H28-H21</f>
        <v>128189.69371008</v>
      </c>
      <c r="I30" s="59" t="n">
        <f aca="false">I8-I28-I21</f>
        <v>130753.487584282</v>
      </c>
      <c r="J30" s="59" t="n">
        <f aca="false">J8-J28-J21</f>
        <v>133368.557335967</v>
      </c>
      <c r="K30" s="59" t="n">
        <f aca="false">K8-K28-K21</f>
        <v>136035.928482687</v>
      </c>
      <c r="L30" s="59" t="n">
        <f aca="false">L8-L28-L21</f>
        <v>138756.64705234</v>
      </c>
      <c r="M30" s="59" t="n">
        <f aca="false">M8-M28-M21</f>
        <v>141531.779993387</v>
      </c>
      <c r="N30" s="59" t="n">
        <f aca="false">N8-N28-N21</f>
        <v>144362.415593255</v>
      </c>
      <c r="O30" s="59" t="n">
        <f aca="false">O8-O28-O21</f>
        <v>147249.66390512</v>
      </c>
      <c r="P30" s="59" t="n">
        <f aca="false">P8-P28-P21</f>
        <v>150194.657183222</v>
      </c>
      <c r="Q30" s="59" t="n">
        <f aca="false">Q8-Q28-Q21</f>
        <v>153198.550326887</v>
      </c>
      <c r="R30" s="59" t="n">
        <f aca="false">R8-R28-R21</f>
        <v>156262.521333425</v>
      </c>
      <c r="S30" s="59" t="n">
        <f aca="false">S8-S28-S21</f>
        <v>159387.771760093</v>
      </c>
      <c r="T30" s="59" t="n">
        <f aca="false">T8-T28-T21</f>
        <v>162575.527195295</v>
      </c>
      <c r="U30" s="59" t="n">
        <f aca="false">U8-U28-U21</f>
        <v>165827.037739201</v>
      </c>
      <c r="V30" s="59" t="n">
        <f aca="false">V8-V28-V21</f>
        <v>169143.578493985</v>
      </c>
      <c r="W30" s="59" t="n">
        <f aca="false">W8-W28-W21</f>
        <v>172526.450063865</v>
      </c>
      <c r="X30" s="59" t="n">
        <f aca="false">X8-X28-X21</f>
        <v>175976.979065142</v>
      </c>
      <c r="Y30" s="59" t="n">
        <f aca="false">Y8-Y28-Y21</f>
        <v>179496.518646445</v>
      </c>
      <c r="Z30" s="59" t="n">
        <f aca="false">Z8-Z28-Z21</f>
        <v>183086.449019374</v>
      </c>
      <c r="AA30" s="59" t="n">
        <f aca="false">AA8-AA28-AA21</f>
        <v>186748.177999761</v>
      </c>
      <c r="AB30" s="59" t="n">
        <f aca="false">AB8-AB28-AB21</f>
        <v>190483.141559756</v>
      </c>
      <c r="AC30" s="59" t="n">
        <f aca="false">AC8-AC28-AC21</f>
        <v>194292.804390951</v>
      </c>
      <c r="AD30" s="59" t="n">
        <f aca="false">AD8-AD28-AD21</f>
        <v>198178.66047877</v>
      </c>
      <c r="AE30" s="59" t="n">
        <f aca="false">AE8-AE28-AE21</f>
        <v>202142.233688346</v>
      </c>
      <c r="AF30" s="59" t="n">
        <f aca="false">AF8-AF28-AF21</f>
        <v>206185.078362113</v>
      </c>
    </row>
    <row r="31" customFormat="false" ht="15" hidden="false" customHeight="true" outlineLevel="0" collapsed="false">
      <c r="B31" s="56" t="s">
        <v>356</v>
      </c>
      <c r="C31" s="61" t="n">
        <f aca="false">IF(C8=0,0,(C28+C21)/C8)</f>
        <v>0.32378</v>
      </c>
      <c r="D31" s="61" t="n">
        <f aca="false">IF(D8=0,0,(D28+D21)/D8)</f>
        <v>0.331558823529412</v>
      </c>
      <c r="E31" s="61" t="n">
        <f aca="false">IF(E8=0,0,(E28+E21)/E8)</f>
        <v>0.337386007657501</v>
      </c>
      <c r="F31" s="61" t="n">
        <f aca="false">IF(F8=0,0,(F28+F21)/F8)</f>
        <v>0.340242470465388</v>
      </c>
      <c r="G31" s="61" t="n">
        <f aca="false">IF(G8=0,0,(G28+G21)/G8)</f>
        <v>0.34304292419861</v>
      </c>
      <c r="H31" s="61" t="n">
        <f aca="false">IF(H8=0,0,(H28+H21)/H8)</f>
        <v>0.34304292419861</v>
      </c>
      <c r="I31" s="61" t="n">
        <f aca="false">IF(I8=0,0,(I28+I21)/I8)</f>
        <v>0.34304292419861</v>
      </c>
      <c r="J31" s="61" t="n">
        <f aca="false">IF(J8=0,0,(J28+J21)/J8)</f>
        <v>0.34304292419861</v>
      </c>
      <c r="K31" s="61" t="n">
        <f aca="false">IF(K8=0,0,(K28+K21)/K8)</f>
        <v>0.34304292419861</v>
      </c>
      <c r="L31" s="61" t="n">
        <f aca="false">IF(L8=0,0,(L28+L21)/L8)</f>
        <v>0.34304292419861</v>
      </c>
      <c r="M31" s="61" t="n">
        <f aca="false">IF(M8=0,0,(M28+M21)/M8)</f>
        <v>0.34304292419861</v>
      </c>
      <c r="N31" s="61" t="n">
        <f aca="false">IF(N8=0,0,(N28+N21)/N8)</f>
        <v>0.34304292419861</v>
      </c>
      <c r="O31" s="61" t="n">
        <f aca="false">IF(O8=0,0,(O28+O21)/O8)</f>
        <v>0.34304292419861</v>
      </c>
      <c r="P31" s="61" t="n">
        <f aca="false">IF(P8=0,0,(P28+P21)/P8)</f>
        <v>0.34304292419861</v>
      </c>
      <c r="Q31" s="61" t="n">
        <f aca="false">IF(Q8=0,0,(Q28+Q21)/Q8)</f>
        <v>0.34304292419861</v>
      </c>
      <c r="R31" s="61" t="n">
        <f aca="false">IF(R8=0,0,(R28+R21)/R8)</f>
        <v>0.34304292419861</v>
      </c>
      <c r="S31" s="61" t="n">
        <f aca="false">IF(S8=0,0,(S28+S21)/S8)</f>
        <v>0.34304292419861</v>
      </c>
      <c r="T31" s="61" t="n">
        <f aca="false">IF(T8=0,0,(T28+T21)/T8)</f>
        <v>0.34304292419861</v>
      </c>
      <c r="U31" s="61" t="n">
        <f aca="false">IF(U8=0,0,(U28+U21)/U8)</f>
        <v>0.34304292419861</v>
      </c>
      <c r="V31" s="61" t="n">
        <f aca="false">IF(V8=0,0,(V28+V21)/V8)</f>
        <v>0.34304292419861</v>
      </c>
      <c r="W31" s="61" t="n">
        <f aca="false">IF(W8=0,0,(W28+W21)/W8)</f>
        <v>0.34304292419861</v>
      </c>
      <c r="X31" s="61" t="n">
        <f aca="false">IF(X8=0,0,(X28+X21)/X8)</f>
        <v>0.34304292419861</v>
      </c>
      <c r="Y31" s="61" t="n">
        <f aca="false">IF(Y8=0,0,(Y28+Y21)/Y8)</f>
        <v>0.34304292419861</v>
      </c>
      <c r="Z31" s="61" t="n">
        <f aca="false">IF(Z8=0,0,(Z28+Z21)/Z8)</f>
        <v>0.34304292419861</v>
      </c>
      <c r="AA31" s="61" t="n">
        <f aca="false">IF(AA8=0,0,(AA28+AA21)/AA8)</f>
        <v>0.34304292419861</v>
      </c>
      <c r="AB31" s="61" t="n">
        <f aca="false">IF(AB8=0,0,(AB28+AB21)/AB8)</f>
        <v>0.34304292419861</v>
      </c>
      <c r="AC31" s="61" t="n">
        <f aca="false">IF(AC8=0,0,(AC28+AC21)/AC8)</f>
        <v>0.34304292419861</v>
      </c>
      <c r="AD31" s="61" t="n">
        <f aca="false">IF(AD8=0,0,(AD28+AD21)/AD8)</f>
        <v>0.34304292419861</v>
      </c>
      <c r="AE31" s="61" t="n">
        <f aca="false">IF(AE8=0,0,(AE28+AE21)/AE8)</f>
        <v>0.34304292419861</v>
      </c>
      <c r="AF31" s="61" t="n">
        <f aca="false">IF(AF8=0,0,(AF28+AF21)/AF8)</f>
        <v>0.34304292419861</v>
      </c>
    </row>
    <row r="32" customFormat="false" ht="15" hidden="false" customHeight="true" outlineLevel="0" collapsed="false">
      <c r="A32" s="30" t="s">
        <v>357</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row>
    <row r="33" customFormat="false" ht="15" hidden="false" customHeight="true" outlineLevel="0" collapsed="false">
      <c r="B33" s="6" t="s">
        <v>358</v>
      </c>
      <c r="C33" s="20" t="n">
        <f aca="false">Assumptions!$C$26</f>
        <v>480000</v>
      </c>
      <c r="D33" s="20" t="n">
        <f aca="false">C37</f>
        <v>578400</v>
      </c>
      <c r="E33" s="20" t="n">
        <f aca="false">D37</f>
        <v>684672</v>
      </c>
      <c r="F33" s="20" t="n">
        <f aca="false">E37</f>
        <v>799445.76</v>
      </c>
      <c r="G33" s="20" t="n">
        <f aca="false">F37</f>
        <v>923401.4208</v>
      </c>
      <c r="H33" s="20" t="n">
        <f aca="false">G37</f>
        <v>1057273.534464</v>
      </c>
      <c r="I33" s="20" t="n">
        <f aca="false">H37</f>
        <v>1203055.41722112</v>
      </c>
      <c r="J33" s="20" t="n">
        <f aca="false">I37</f>
        <v>1361723.85059881</v>
      </c>
      <c r="K33" s="20" t="n">
        <f aca="false">J37</f>
        <v>1534334.23864671</v>
      </c>
      <c r="L33" s="20" t="n">
        <f aca="false">K37</f>
        <v>1722026.90733845</v>
      </c>
      <c r="M33" s="20" t="n">
        <f aca="false">L37</f>
        <v>1926033.90811753</v>
      </c>
      <c r="N33" s="20" t="n">
        <f aca="false">M37</f>
        <v>2147686.36592277</v>
      </c>
      <c r="O33" s="20" t="n">
        <f aca="false">N37</f>
        <v>2388422.41525555</v>
      </c>
      <c r="P33" s="20" t="n">
        <f aca="false">O37</f>
        <v>2649795.77133613</v>
      </c>
      <c r="Q33" s="20" t="n">
        <f aca="false">P37</f>
        <v>2933484.98716036</v>
      </c>
      <c r="R33" s="20" t="n">
        <f aca="false">Q37</f>
        <v>3241303.45133287</v>
      </c>
      <c r="S33" s="20" t="n">
        <f aca="false">R37</f>
        <v>3575210.18594318</v>
      </c>
      <c r="T33" s="20" t="n">
        <f aca="false">S37</f>
        <v>3926595.87793456</v>
      </c>
      <c r="U33" s="20" t="n">
        <f aca="false">T37</f>
        <v>4294780.37072894</v>
      </c>
      <c r="V33" s="20" t="n">
        <f aca="false">U37</f>
        <v>4678878.50283447</v>
      </c>
      <c r="W33" s="20" t="n">
        <f aca="false">V37</f>
        <v>5077794.34132666</v>
      </c>
      <c r="X33" s="20" t="n">
        <f aca="false">W37</f>
        <v>5490218.11581833</v>
      </c>
      <c r="Y33" s="20" t="n">
        <f aca="false">X37</f>
        <v>5914626.12415061</v>
      </c>
      <c r="Z33" s="20" t="n">
        <f aca="false">Y37</f>
        <v>6349283.84033008</v>
      </c>
      <c r="AA33" s="20" t="n">
        <f aca="false">Z37</f>
        <v>6792252.40574023</v>
      </c>
      <c r="AB33" s="20" t="n">
        <f aca="false">AA37</f>
        <v>7241398.62700316</v>
      </c>
      <c r="AC33" s="20" t="n">
        <f aca="false">AB37</f>
        <v>7694408.5389872</v>
      </c>
      <c r="AD33" s="20" t="n">
        <f aca="false">AC37</f>
        <v>8148804.52056615</v>
      </c>
      <c r="AE33" s="20" t="n">
        <f aca="false">AD37</f>
        <v>8601965.87532254</v>
      </c>
      <c r="AF33" s="20" t="n">
        <f aca="false">AE37</f>
        <v>9051152.71117928</v>
      </c>
    </row>
    <row r="34" customFormat="false" ht="15" hidden="false" customHeight="true" outlineLevel="0" collapsed="false">
      <c r="B34" s="56" t="s">
        <v>359</v>
      </c>
      <c r="C34" s="20" t="n">
        <f aca="false">C12</f>
        <v>21000</v>
      </c>
      <c r="D34" s="20" t="n">
        <f aca="false">D12</f>
        <v>23100</v>
      </c>
      <c r="E34" s="20" t="n">
        <f aca="false">E12</f>
        <v>24024</v>
      </c>
      <c r="F34" s="20" t="n">
        <f aca="false">F12</f>
        <v>24504.48</v>
      </c>
      <c r="G34" s="20" t="n">
        <f aca="false">G12</f>
        <v>24994.5696</v>
      </c>
      <c r="H34" s="20" t="n">
        <f aca="false">H12</f>
        <v>25494.460992</v>
      </c>
      <c r="I34" s="20" t="n">
        <f aca="false">I12</f>
        <v>26004.35021184</v>
      </c>
      <c r="J34" s="20" t="n">
        <f aca="false">J12</f>
        <v>26524.4372160768</v>
      </c>
      <c r="K34" s="20" t="n">
        <f aca="false">K12</f>
        <v>27054.9259603984</v>
      </c>
      <c r="L34" s="20" t="n">
        <f aca="false">L12</f>
        <v>27596.0244796063</v>
      </c>
      <c r="M34" s="20" t="n">
        <f aca="false">M12</f>
        <v>28147.9449691984</v>
      </c>
      <c r="N34" s="20" t="n">
        <f aca="false">N12</f>
        <v>28710.9038685824</v>
      </c>
      <c r="O34" s="20" t="n">
        <f aca="false">O12</f>
        <v>29285.1219459541</v>
      </c>
      <c r="P34" s="20" t="n">
        <f aca="false">P12</f>
        <v>29870.8243848731</v>
      </c>
      <c r="Q34" s="20" t="n">
        <f aca="false">Q12</f>
        <v>30468.2408725706</v>
      </c>
      <c r="R34" s="20" t="n">
        <f aca="false">R12</f>
        <v>31077.605690022</v>
      </c>
      <c r="S34" s="20" t="n">
        <f aca="false">S12</f>
        <v>31699.1578038225</v>
      </c>
      <c r="T34" s="20" t="n">
        <f aca="false">T12</f>
        <v>32333.1409598989</v>
      </c>
      <c r="U34" s="20" t="n">
        <f aca="false">U12</f>
        <v>32979.8037790969</v>
      </c>
      <c r="V34" s="20" t="n">
        <f aca="false">V12</f>
        <v>33639.3998546788</v>
      </c>
      <c r="W34" s="20" t="n">
        <f aca="false">W12</f>
        <v>34312.1878517724</v>
      </c>
      <c r="X34" s="20" t="n">
        <f aca="false">X12</f>
        <v>34998.4316088078</v>
      </c>
      <c r="Y34" s="20" t="n">
        <f aca="false">Y12</f>
        <v>35698.400240984</v>
      </c>
      <c r="Z34" s="20" t="n">
        <f aca="false">Z12</f>
        <v>36412.3682458037</v>
      </c>
      <c r="AA34" s="20" t="n">
        <f aca="false">AA12</f>
        <v>37140.6156107198</v>
      </c>
      <c r="AB34" s="20" t="n">
        <f aca="false">AB12</f>
        <v>37883.4279229342</v>
      </c>
      <c r="AC34" s="20" t="n">
        <f aca="false">AC12</f>
        <v>38641.0964813928</v>
      </c>
      <c r="AD34" s="20" t="n">
        <f aca="false">AD12</f>
        <v>39413.9184110207</v>
      </c>
      <c r="AE34" s="20" t="n">
        <f aca="false">AE12</f>
        <v>40202.1967792411</v>
      </c>
      <c r="AF34" s="20" t="n">
        <f aca="false">AF12</f>
        <v>41006.2407148259</v>
      </c>
    </row>
    <row r="35" customFormat="false" ht="15" hidden="false" customHeight="true" outlineLevel="0" collapsed="false">
      <c r="B35" s="56" t="s">
        <v>360</v>
      </c>
      <c r="C35" s="20" t="n">
        <f aca="false">C24</f>
        <v>39000</v>
      </c>
      <c r="D35" s="20" t="n">
        <f aca="false">D24</f>
        <v>36900</v>
      </c>
      <c r="E35" s="20" t="n">
        <f aca="false">E24</f>
        <v>35976</v>
      </c>
      <c r="F35" s="20" t="n">
        <f aca="false">F24</f>
        <v>35495.52</v>
      </c>
      <c r="G35" s="20" t="n">
        <f aca="false">G24</f>
        <v>35005.4304</v>
      </c>
      <c r="H35" s="20" t="n">
        <f aca="false">H24</f>
        <v>35705.539008</v>
      </c>
      <c r="I35" s="20" t="n">
        <f aca="false">I24</f>
        <v>36419.64978816</v>
      </c>
      <c r="J35" s="20" t="n">
        <f aca="false">J24</f>
        <v>37148.0427839232</v>
      </c>
      <c r="K35" s="20" t="n">
        <f aca="false">K24</f>
        <v>37891.0036396017</v>
      </c>
      <c r="L35" s="20" t="n">
        <f aca="false">L24</f>
        <v>38648.8237123937</v>
      </c>
      <c r="M35" s="20" t="n">
        <f aca="false">M24</f>
        <v>39421.8001866416</v>
      </c>
      <c r="N35" s="20" t="n">
        <f aca="false">N24</f>
        <v>40210.2361903744</v>
      </c>
      <c r="O35" s="20" t="n">
        <f aca="false">O24</f>
        <v>41014.4409141819</v>
      </c>
      <c r="P35" s="20" t="n">
        <f aca="false">P24</f>
        <v>41834.7297324655</v>
      </c>
      <c r="Q35" s="20" t="n">
        <f aca="false">Q24</f>
        <v>42671.4243271148</v>
      </c>
      <c r="R35" s="20" t="n">
        <f aca="false">R24</f>
        <v>43524.8528136571</v>
      </c>
      <c r="S35" s="20" t="n">
        <f aca="false">S24</f>
        <v>44395.3498699303</v>
      </c>
      <c r="T35" s="20" t="n">
        <f aca="false">T24</f>
        <v>45283.2568673289</v>
      </c>
      <c r="U35" s="20" t="n">
        <f aca="false">U24</f>
        <v>46188.9220046755</v>
      </c>
      <c r="V35" s="20" t="n">
        <f aca="false">V24</f>
        <v>47112.700444769</v>
      </c>
      <c r="W35" s="20" t="n">
        <f aca="false">W24</f>
        <v>48054.9544536643</v>
      </c>
      <c r="X35" s="20" t="n">
        <f aca="false">X24</f>
        <v>49016.0535427377</v>
      </c>
      <c r="Y35" s="20" t="n">
        <f aca="false">Y24</f>
        <v>49996.3746135924</v>
      </c>
      <c r="Z35" s="20" t="n">
        <f aca="false">Z24</f>
        <v>50996.3021058643</v>
      </c>
      <c r="AA35" s="20" t="n">
        <f aca="false">AA24</f>
        <v>52016.2281479815</v>
      </c>
      <c r="AB35" s="20" t="n">
        <f aca="false">AB24</f>
        <v>53056.5527109412</v>
      </c>
      <c r="AC35" s="20" t="n">
        <f aca="false">AC24</f>
        <v>54117.68376516</v>
      </c>
      <c r="AD35" s="20" t="n">
        <f aca="false">AD24</f>
        <v>55200.0374404632</v>
      </c>
      <c r="AE35" s="20" t="n">
        <f aca="false">AE24</f>
        <v>56304.0381892725</v>
      </c>
      <c r="AF35" s="20" t="n">
        <f aca="false">AF24</f>
        <v>57430.1189530579</v>
      </c>
    </row>
    <row r="36" customFormat="false" ht="15" hidden="false" customHeight="true" outlineLevel="0" collapsed="false">
      <c r="B36" s="56" t="s">
        <v>361</v>
      </c>
      <c r="C36" s="20" t="n">
        <f aca="false">C33*Returns!C$9</f>
        <v>38400</v>
      </c>
      <c r="D36" s="20" t="n">
        <f aca="false">D33*Returns!D$9</f>
        <v>46272</v>
      </c>
      <c r="E36" s="20" t="n">
        <f aca="false">E33*Returns!E$9</f>
        <v>54773.76</v>
      </c>
      <c r="F36" s="20" t="n">
        <f aca="false">F33*Returns!F$9</f>
        <v>63955.6608</v>
      </c>
      <c r="G36" s="20" t="n">
        <f aca="false">G33*Returns!G$9</f>
        <v>73872.113664</v>
      </c>
      <c r="H36" s="20" t="n">
        <f aca="false">H33*Returns!H$9</f>
        <v>84581.88275712</v>
      </c>
      <c r="I36" s="20" t="n">
        <f aca="false">I33*Returns!I$9</f>
        <v>96244.4333776896</v>
      </c>
      <c r="J36" s="20" t="n">
        <f aca="false">J33*Returns!J$9</f>
        <v>108937.908047905</v>
      </c>
      <c r="K36" s="20" t="n">
        <f aca="false">K33*Returns!K$9</f>
        <v>122746.739091737</v>
      </c>
      <c r="L36" s="20" t="n">
        <f aca="false">L33*Returns!L$9</f>
        <v>137762.152587076</v>
      </c>
      <c r="M36" s="20" t="n">
        <f aca="false">M33*Returns!M$9</f>
        <v>154082.712649402</v>
      </c>
      <c r="N36" s="20" t="n">
        <f aca="false">N33*Returns!N$9</f>
        <v>171814.909273822</v>
      </c>
      <c r="O36" s="20" t="n">
        <f aca="false">O33*Returns!O$9</f>
        <v>191073.793220444</v>
      </c>
      <c r="P36" s="20" t="n">
        <f aca="false">P33*Returns!P$9</f>
        <v>211983.66170689</v>
      </c>
      <c r="Q36" s="20" t="n">
        <f aca="false">Q33*Returns!Q$9</f>
        <v>234678.798972829</v>
      </c>
      <c r="R36" s="20" t="n">
        <f aca="false">R33*Returns!R$9</f>
        <v>259304.27610663</v>
      </c>
      <c r="S36" s="20" t="n">
        <f aca="false">S33*Returns!S$9</f>
        <v>275291.184317625</v>
      </c>
      <c r="T36" s="20" t="n">
        <f aca="false">T33*Returns!T$9</f>
        <v>290568.094967157</v>
      </c>
      <c r="U36" s="20" t="n">
        <f aca="false">U33*Returns!U$9</f>
        <v>304929.406321755</v>
      </c>
      <c r="V36" s="20" t="n">
        <f aca="false">V33*Returns!V$9</f>
        <v>318163.738192744</v>
      </c>
      <c r="W36" s="20" t="n">
        <f aca="false">W33*Returns!W$9</f>
        <v>330056.632186233</v>
      </c>
      <c r="X36" s="20" t="n">
        <f aca="false">X33*Returns!X$9</f>
        <v>340393.523180737</v>
      </c>
      <c r="Y36" s="20" t="n">
        <f aca="false">Y33*Returns!Y$9</f>
        <v>348962.941324886</v>
      </c>
      <c r="Z36" s="20" t="n">
        <f aca="false">Z33*Returns!Z$9</f>
        <v>355559.895058484</v>
      </c>
      <c r="AA36" s="20" t="n">
        <f aca="false">AA33*Returns!AA$9</f>
        <v>359989.377504232</v>
      </c>
      <c r="AB36" s="20" t="n">
        <f aca="false">AB33*Returns!AB$9</f>
        <v>362069.931350158</v>
      </c>
      <c r="AC36" s="20" t="n">
        <f aca="false">AC33*Returns!AC$9</f>
        <v>361637.201332398</v>
      </c>
      <c r="AD36" s="20" t="n">
        <f aca="false">AD33*Returns!AD$9</f>
        <v>358547.398904911</v>
      </c>
      <c r="AE36" s="20" t="n">
        <f aca="false">AE33*Returns!AE$9</f>
        <v>352680.600888224</v>
      </c>
      <c r="AF36" s="20" t="n">
        <f aca="false">AF33*Returns!AF$9</f>
        <v>343943.803024813</v>
      </c>
    </row>
    <row r="37" customFormat="false" ht="15" hidden="false" customHeight="true" outlineLevel="0" collapsed="false">
      <c r="B37" s="16" t="s">
        <v>362</v>
      </c>
      <c r="C37" s="59" t="n">
        <f aca="false">C33+C34+C35+C36</f>
        <v>578400</v>
      </c>
      <c r="D37" s="59" t="n">
        <f aca="false">D33+D34+D35+D36</f>
        <v>684672</v>
      </c>
      <c r="E37" s="59" t="n">
        <f aca="false">E33+E34+E35+E36</f>
        <v>799445.76</v>
      </c>
      <c r="F37" s="59" t="n">
        <f aca="false">F33+F34+F35+F36</f>
        <v>923401.4208</v>
      </c>
      <c r="G37" s="59" t="n">
        <f aca="false">G33+G34+G35+G36</f>
        <v>1057273.534464</v>
      </c>
      <c r="H37" s="59" t="n">
        <f aca="false">H33+H34+H35+H36</f>
        <v>1203055.41722112</v>
      </c>
      <c r="I37" s="59" t="n">
        <f aca="false">I33+I34+I35+I36</f>
        <v>1361723.85059881</v>
      </c>
      <c r="J37" s="59" t="n">
        <f aca="false">J33+J34+J35+J36</f>
        <v>1534334.23864671</v>
      </c>
      <c r="K37" s="59" t="n">
        <f aca="false">K33+K34+K35+K36</f>
        <v>1722026.90733845</v>
      </c>
      <c r="L37" s="59" t="n">
        <f aca="false">L33+L34+L35+L36</f>
        <v>1926033.90811753</v>
      </c>
      <c r="M37" s="59" t="n">
        <f aca="false">M33+M34+M35+M36</f>
        <v>2147686.36592277</v>
      </c>
      <c r="N37" s="59" t="n">
        <f aca="false">N33+N34+N35+N36</f>
        <v>2388422.41525555</v>
      </c>
      <c r="O37" s="59" t="n">
        <f aca="false">O33+O34+O35+O36</f>
        <v>2649795.77133613</v>
      </c>
      <c r="P37" s="59" t="n">
        <f aca="false">P33+P34+P35+P36</f>
        <v>2933484.98716036</v>
      </c>
      <c r="Q37" s="59" t="n">
        <f aca="false">Q33+Q34+Q35+Q36</f>
        <v>3241303.45133287</v>
      </c>
      <c r="R37" s="59" t="n">
        <f aca="false">R33+R34+R35+R36</f>
        <v>3575210.18594318</v>
      </c>
      <c r="S37" s="59" t="n">
        <f aca="false">S33+S34+S35+S36</f>
        <v>3926595.87793456</v>
      </c>
      <c r="T37" s="59" t="n">
        <f aca="false">T33+T34+T35+T36</f>
        <v>4294780.37072894</v>
      </c>
      <c r="U37" s="59" t="n">
        <f aca="false">U33+U34+U35+U36</f>
        <v>4678878.50283447</v>
      </c>
      <c r="V37" s="59" t="n">
        <f aca="false">V33+V34+V35+V36</f>
        <v>5077794.34132666</v>
      </c>
      <c r="W37" s="59" t="n">
        <f aca="false">W33+W34+W35+W36</f>
        <v>5490218.11581833</v>
      </c>
      <c r="X37" s="59" t="n">
        <f aca="false">X33+X34+X35+X36</f>
        <v>5914626.12415061</v>
      </c>
      <c r="Y37" s="59" t="n">
        <f aca="false">Y33+Y34+Y35+Y36</f>
        <v>6349283.84033008</v>
      </c>
      <c r="Z37" s="59" t="n">
        <f aca="false">Z33+Z34+Z35+Z36</f>
        <v>6792252.40574023</v>
      </c>
      <c r="AA37" s="59" t="n">
        <f aca="false">AA33+AA34+AA35+AA36</f>
        <v>7241398.62700316</v>
      </c>
      <c r="AB37" s="59" t="n">
        <f aca="false">AB33+AB34+AB35+AB36</f>
        <v>7694408.5389872</v>
      </c>
      <c r="AC37" s="59" t="n">
        <f aca="false">AC33+AC34+AC35+AC36</f>
        <v>8148804.52056615</v>
      </c>
      <c r="AD37" s="59" t="n">
        <f aca="false">AD33+AD34+AD35+AD36</f>
        <v>8601965.87532254</v>
      </c>
      <c r="AE37" s="59" t="n">
        <f aca="false">AE33+AE34+AE35+AE36</f>
        <v>9051152.71117928</v>
      </c>
      <c r="AF37" s="59" t="n">
        <f aca="false">AF33+AF34+AF35+AF36</f>
        <v>9493532.87387198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363</v>
      </c>
    </row>
    <row r="2" customFormat="false" ht="15" hidden="false" customHeight="true" outlineLevel="0" collapsed="false">
      <c r="A2" s="29" t="s">
        <v>333</v>
      </c>
    </row>
    <row r="4" customFormat="false" ht="15" hidden="false" customHeight="true" outlineLevel="0" collapsed="false">
      <c r="A4" s="30" t="s">
        <v>364</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335</v>
      </c>
      <c r="C6" s="50" t="n">
        <f aca="false">Assumptions!C$13</f>
        <v>44</v>
      </c>
      <c r="D6" s="50" t="n">
        <f aca="false">Assumptions!D$13</f>
        <v>45</v>
      </c>
      <c r="E6" s="50" t="n">
        <f aca="false">Assumptions!E$13</f>
        <v>46</v>
      </c>
      <c r="F6" s="50" t="n">
        <f aca="false">Assumptions!F$13</f>
        <v>47</v>
      </c>
      <c r="G6" s="50" t="n">
        <f aca="false">Assumptions!G$13</f>
        <v>48</v>
      </c>
      <c r="H6" s="50" t="n">
        <f aca="false">Assumptions!H$13</f>
        <v>49</v>
      </c>
      <c r="I6" s="50" t="n">
        <f aca="false">Assumptions!I$13</f>
        <v>50</v>
      </c>
      <c r="J6" s="50" t="n">
        <f aca="false">Assumptions!J$13</f>
        <v>51</v>
      </c>
      <c r="K6" s="50" t="n">
        <f aca="false">Assumptions!K$13</f>
        <v>52</v>
      </c>
      <c r="L6" s="50" t="n">
        <f aca="false">Assumptions!L$13</f>
        <v>53</v>
      </c>
      <c r="M6" s="50" t="n">
        <f aca="false">Assumptions!M$13</f>
        <v>54</v>
      </c>
      <c r="N6" s="50" t="n">
        <f aca="false">Assumptions!N$13</f>
        <v>55</v>
      </c>
      <c r="O6" s="50" t="n">
        <f aca="false">Assumptions!O$13</f>
        <v>56</v>
      </c>
      <c r="P6" s="50" t="n">
        <f aca="false">Assumptions!P$13</f>
        <v>57</v>
      </c>
      <c r="Q6" s="50" t="n">
        <f aca="false">Assumptions!Q$13</f>
        <v>58</v>
      </c>
      <c r="R6" s="50" t="n">
        <f aca="false">Assumptions!R$13</f>
        <v>59</v>
      </c>
      <c r="S6" s="50" t="n">
        <f aca="false">Assumptions!S$13</f>
        <v>60</v>
      </c>
      <c r="T6" s="50" t="n">
        <f aca="false">Assumptions!T$13</f>
        <v>61</v>
      </c>
      <c r="U6" s="50" t="n">
        <f aca="false">Assumptions!U$13</f>
        <v>62</v>
      </c>
      <c r="V6" s="50" t="n">
        <f aca="false">Assumptions!V$13</f>
        <v>63</v>
      </c>
      <c r="W6" s="50" t="n">
        <f aca="false">Assumptions!W$13</f>
        <v>64</v>
      </c>
      <c r="X6" s="50" t="n">
        <f aca="false">Assumptions!X$13</f>
        <v>65</v>
      </c>
      <c r="Y6" s="50" t="n">
        <f aca="false">Assumptions!Y$13</f>
        <v>66</v>
      </c>
      <c r="Z6" s="50" t="n">
        <f aca="false">Assumptions!Z$13</f>
        <v>67</v>
      </c>
      <c r="AA6" s="50" t="n">
        <f aca="false">Assumptions!AA$13</f>
        <v>68</v>
      </c>
      <c r="AB6" s="50" t="n">
        <f aca="false">Assumptions!AB$13</f>
        <v>69</v>
      </c>
      <c r="AC6" s="50" t="n">
        <f aca="false">Assumptions!AC$13</f>
        <v>70</v>
      </c>
      <c r="AD6" s="50" t="n">
        <f aca="false">Assumptions!AD$13</f>
        <v>71</v>
      </c>
      <c r="AE6" s="50" t="n">
        <f aca="false">Assumptions!AE$13</f>
        <v>72</v>
      </c>
      <c r="AF6" s="50" t="n">
        <f aca="false">Assumptions!AF$13</f>
        <v>73</v>
      </c>
    </row>
    <row r="8" customFormat="false" ht="15" hidden="false" customHeight="true" outlineLevel="0" collapsed="false">
      <c r="B8" s="16" t="s">
        <v>336</v>
      </c>
      <c r="C8" s="58" t="n">
        <f aca="false">Assumptions!$D$21*Assumptions!C$9</f>
        <v>190000</v>
      </c>
      <c r="D8" s="58" t="n">
        <f aca="false">Assumptions!$D$21*Assumptions!D$9</f>
        <v>197600</v>
      </c>
      <c r="E8" s="58" t="n">
        <f aca="false">Assumptions!$D$21*Assumptions!E$9</f>
        <v>205504</v>
      </c>
      <c r="F8" s="58" t="n">
        <f aca="false">Assumptions!$D$21*Assumptions!F$9</f>
        <v>209614.08</v>
      </c>
      <c r="G8" s="58" t="n">
        <f aca="false">Assumptions!$D$21*Assumptions!G$9</f>
        <v>213806.3616</v>
      </c>
      <c r="H8" s="58" t="n">
        <f aca="false">Assumptions!$D$21*Assumptions!H$9</f>
        <v>218082.488832</v>
      </c>
      <c r="I8" s="58" t="n">
        <f aca="false">Assumptions!$D$21*Assumptions!I$9</f>
        <v>222444.13860864</v>
      </c>
      <c r="J8" s="58" t="n">
        <f aca="false">Assumptions!$D$21*Assumptions!J$9</f>
        <v>226893.021380813</v>
      </c>
      <c r="K8" s="58" t="n">
        <f aca="false">Assumptions!$D$21*Assumptions!K$9</f>
        <v>231430.881808429</v>
      </c>
      <c r="L8" s="58" t="n">
        <f aca="false">Assumptions!$D$21*Assumptions!L$9</f>
        <v>236059.499444598</v>
      </c>
      <c r="M8" s="58" t="n">
        <f aca="false">Assumptions!$D$21*Assumptions!M$9</f>
        <v>240780.68943349</v>
      </c>
      <c r="N8" s="58" t="n">
        <f aca="false">Assumptions!$D$21*Assumptions!N$9</f>
        <v>245596.303222159</v>
      </c>
      <c r="O8" s="58" t="n">
        <f aca="false">Assumptions!$D$21*Assumptions!O$9</f>
        <v>250508.229286603</v>
      </c>
      <c r="P8" s="58" t="n">
        <f aca="false">Assumptions!$D$21*Assumptions!P$9</f>
        <v>255518.393872335</v>
      </c>
      <c r="Q8" s="58" t="n">
        <f aca="false">Assumptions!$D$21*Assumptions!Q$9</f>
        <v>260628.761749781</v>
      </c>
      <c r="R8" s="58" t="n">
        <f aca="false">Assumptions!$D$21*Assumptions!R$9</f>
        <v>265841.336984777</v>
      </c>
      <c r="S8" s="58" t="n">
        <f aca="false">Assumptions!$D$21*Assumptions!S$9</f>
        <v>271158.163724473</v>
      </c>
      <c r="T8" s="58" t="n">
        <f aca="false">Assumptions!$D$21*Assumptions!T$9</f>
        <v>276581.326998962</v>
      </c>
      <c r="U8" s="58" t="n">
        <f aca="false">Assumptions!$D$21*Assumptions!U$9</f>
        <v>282112.953538941</v>
      </c>
      <c r="V8" s="58" t="n">
        <f aca="false">Assumptions!$D$21*Assumptions!V$9</f>
        <v>287755.21260972</v>
      </c>
      <c r="W8" s="58" t="n">
        <f aca="false">Assumptions!$D$21*Assumptions!W$9</f>
        <v>293510.316861915</v>
      </c>
      <c r="X8" s="58" t="n">
        <f aca="false">Assumptions!$D$21*Assumptions!X$9</f>
        <v>299380.523199153</v>
      </c>
      <c r="Y8" s="58" t="n">
        <f aca="false">Assumptions!$D$21*Assumptions!Y$9</f>
        <v>305368.133663136</v>
      </c>
      <c r="Z8" s="58" t="n">
        <f aca="false">Assumptions!$D$21*Assumptions!Z$9</f>
        <v>311475.496336399</v>
      </c>
      <c r="AA8" s="58" t="n">
        <f aca="false">Assumptions!$D$21*Assumptions!AA$9</f>
        <v>317705.006263127</v>
      </c>
      <c r="AB8" s="58" t="n">
        <f aca="false">Assumptions!$D$21*Assumptions!AB$9</f>
        <v>324059.106388389</v>
      </c>
      <c r="AC8" s="58" t="n">
        <f aca="false">Assumptions!$D$21*Assumptions!AC$9</f>
        <v>330540.288516157</v>
      </c>
      <c r="AD8" s="58" t="n">
        <f aca="false">Assumptions!$D$21*Assumptions!AD$9</f>
        <v>337151.09428648</v>
      </c>
      <c r="AE8" s="58" t="n">
        <f aca="false">Assumptions!$D$21*Assumptions!AE$9</f>
        <v>343894.11617221</v>
      </c>
      <c r="AF8" s="58" t="n">
        <f aca="false">Assumptions!$D$21*Assumptions!AF$9</f>
        <v>350771.998495654</v>
      </c>
    </row>
    <row r="9" customFormat="false" ht="15" hidden="false" customHeight="true" outlineLevel="0" collapsed="false">
      <c r="B9" s="6" t="s">
        <v>337</v>
      </c>
      <c r="C9" s="20" t="n">
        <f aca="false">Assumptions!$D$22</f>
        <v>130000</v>
      </c>
      <c r="D9" s="20" t="n">
        <f aca="false">IF(Assumptions!$D$23&gt;0,Assumptions!$D$23*Assumptions!D$9/Assumptions!$D$9,Assumptions!$D$22*Assumptions!D$9)</f>
        <v>135200</v>
      </c>
      <c r="E9" s="20" t="n">
        <f aca="false">IF(Assumptions!$D$23&gt;0,Assumptions!$D$23*Assumptions!E$9/Assumptions!$D$9,Assumptions!$D$22*Assumptions!E$9)</f>
        <v>140608</v>
      </c>
      <c r="F9" s="20" t="n">
        <f aca="false">IF(Assumptions!$D$23&gt;0,Assumptions!$D$23*Assumptions!F$9/Assumptions!$D$9,Assumptions!$D$22*Assumptions!F$9)</f>
        <v>143420.16</v>
      </c>
      <c r="G9" s="20" t="n">
        <f aca="false">IF(Assumptions!$D$23&gt;0,Assumptions!$D$23*Assumptions!G$9/Assumptions!$D$9,Assumptions!$D$22*Assumptions!G$9)</f>
        <v>146288.5632</v>
      </c>
      <c r="H9" s="20" t="n">
        <f aca="false">IF(Assumptions!$D$23&gt;0,Assumptions!$D$23*Assumptions!H$9/Assumptions!$D$9,Assumptions!$D$22*Assumptions!H$9)</f>
        <v>149214.334464</v>
      </c>
      <c r="I9" s="20" t="n">
        <f aca="false">IF(Assumptions!$D$23&gt;0,Assumptions!$D$23*Assumptions!I$9/Assumptions!$D$9,Assumptions!$D$22*Assumptions!I$9)</f>
        <v>152198.62115328</v>
      </c>
      <c r="J9" s="20" t="n">
        <f aca="false">IF(Assumptions!$D$23&gt;0,Assumptions!$D$23*Assumptions!J$9/Assumptions!$D$9,Assumptions!$D$22*Assumptions!J$9)</f>
        <v>155242.593576346</v>
      </c>
      <c r="K9" s="20" t="n">
        <f aca="false">IF(Assumptions!$D$23&gt;0,Assumptions!$D$23*Assumptions!K$9/Assumptions!$D$9,Assumptions!$D$22*Assumptions!K$9)</f>
        <v>158347.445447873</v>
      </c>
      <c r="L9" s="20" t="n">
        <f aca="false">IF(Assumptions!$D$23&gt;0,Assumptions!$D$23*Assumptions!L$9/Assumptions!$D$9,Assumptions!$D$22*Assumptions!L$9)</f>
        <v>161514.39435683</v>
      </c>
      <c r="M9" s="20" t="n">
        <f aca="false">IF(Assumptions!$D$23&gt;0,Assumptions!$D$23*Assumptions!M$9/Assumptions!$D$9,Assumptions!$D$22*Assumptions!M$9)</f>
        <v>164744.682243967</v>
      </c>
      <c r="N9" s="20" t="n">
        <f aca="false">IF(Assumptions!$D$23&gt;0,Assumptions!$D$23*Assumptions!N$9/Assumptions!$D$9,Assumptions!$D$22*Assumptions!N$9)</f>
        <v>168039.575888846</v>
      </c>
      <c r="O9" s="20" t="n">
        <f aca="false">IF(Assumptions!$D$23&gt;0,Assumptions!$D$23*Assumptions!O$9/Assumptions!$D$9,Assumptions!$D$22*Assumptions!O$9)</f>
        <v>171400.367406623</v>
      </c>
      <c r="P9" s="20" t="n">
        <f aca="false">IF(Assumptions!$D$23&gt;0,Assumptions!$D$23*Assumptions!P$9/Assumptions!$D$9,Assumptions!$D$22*Assumptions!P$9)</f>
        <v>174828.374754755</v>
      </c>
      <c r="Q9" s="20" t="n">
        <f aca="false">IF(Assumptions!$D$23&gt;0,Assumptions!$D$23*Assumptions!Q$9/Assumptions!$D$9,Assumptions!$D$22*Assumptions!Q$9)</f>
        <v>178324.94224985</v>
      </c>
      <c r="R9" s="20" t="n">
        <f aca="false">IF(Assumptions!$D$23&gt;0,Assumptions!$D$23*Assumptions!R$9/Assumptions!$D$9,Assumptions!$D$22*Assumptions!R$9)</f>
        <v>181891.441094847</v>
      </c>
      <c r="S9" s="20" t="n">
        <f aca="false">IF(Assumptions!$D$23&gt;0,Assumptions!$D$23*Assumptions!S$9/Assumptions!$D$9,Assumptions!$D$22*Assumptions!S$9)</f>
        <v>185529.269916744</v>
      </c>
      <c r="T9" s="20" t="n">
        <f aca="false">IF(Assumptions!$D$23&gt;0,Assumptions!$D$23*Assumptions!T$9/Assumptions!$D$9,Assumptions!$D$22*Assumptions!T$9)</f>
        <v>189239.855315079</v>
      </c>
      <c r="U9" s="20" t="n">
        <f aca="false">IF(Assumptions!$D$23&gt;0,Assumptions!$D$23*Assumptions!U$9/Assumptions!$D$9,Assumptions!$D$22*Assumptions!U$9)</f>
        <v>193024.652421381</v>
      </c>
      <c r="V9" s="20" t="n">
        <f aca="false">IF(Assumptions!$D$23&gt;0,Assumptions!$D$23*Assumptions!V$9/Assumptions!$D$9,Assumptions!$D$22*Assumptions!V$9)</f>
        <v>196885.145469808</v>
      </c>
      <c r="W9" s="20" t="n">
        <f aca="false">IF(Assumptions!$D$23&gt;0,Assumptions!$D$23*Assumptions!W$9/Assumptions!$D$9,Assumptions!$D$22*Assumptions!W$9)</f>
        <v>200822.848379205</v>
      </c>
      <c r="X9" s="20" t="n">
        <f aca="false">IF(Assumptions!$D$23&gt;0,Assumptions!$D$23*Assumptions!X$9/Assumptions!$D$9,Assumptions!$D$22*Assumptions!X$9)</f>
        <v>204839.305346789</v>
      </c>
      <c r="Y9" s="20" t="n">
        <f aca="false">IF(Assumptions!$D$23&gt;0,Assumptions!$D$23*Assumptions!Y$9/Assumptions!$D$9,Assumptions!$D$22*Assumptions!Y$9)</f>
        <v>208936.091453725</v>
      </c>
      <c r="Z9" s="20" t="n">
        <f aca="false">IF(Assumptions!$D$23&gt;0,Assumptions!$D$23*Assumptions!Z$9/Assumptions!$D$9,Assumptions!$D$22*Assumptions!Z$9)</f>
        <v>213114.813282799</v>
      </c>
      <c r="AA9" s="20" t="n">
        <f aca="false">IF(Assumptions!$D$23&gt;0,Assumptions!$D$23*Assumptions!AA$9/Assumptions!$D$9,Assumptions!$D$22*Assumptions!AA$9)</f>
        <v>217377.109548455</v>
      </c>
      <c r="AB9" s="20" t="n">
        <f aca="false">IF(Assumptions!$D$23&gt;0,Assumptions!$D$23*Assumptions!AB$9/Assumptions!$D$9,Assumptions!$D$22*Assumptions!AB$9)</f>
        <v>221724.651739424</v>
      </c>
      <c r="AC9" s="20" t="n">
        <f aca="false">IF(Assumptions!$D$23&gt;0,Assumptions!$D$23*Assumptions!AC$9/Assumptions!$D$9,Assumptions!$D$22*Assumptions!AC$9)</f>
        <v>226159.144774213</v>
      </c>
      <c r="AD9" s="20" t="n">
        <f aca="false">IF(Assumptions!$D$23&gt;0,Assumptions!$D$23*Assumptions!AD$9/Assumptions!$D$9,Assumptions!$D$22*Assumptions!AD$9)</f>
        <v>230682.327669697</v>
      </c>
      <c r="AE9" s="20" t="n">
        <f aca="false">IF(Assumptions!$D$23&gt;0,Assumptions!$D$23*Assumptions!AE$9/Assumptions!$D$9,Assumptions!$D$22*Assumptions!AE$9)</f>
        <v>235295.974223091</v>
      </c>
      <c r="AF9" s="20" t="n">
        <f aca="false">IF(Assumptions!$D$23&gt;0,Assumptions!$D$23*Assumptions!AF$9/Assumptions!$D$9,Assumptions!$D$22*Assumptions!AF$9)</f>
        <v>240001.893707553</v>
      </c>
    </row>
    <row r="10" customFormat="false" ht="15" hidden="false" customHeight="true" outlineLevel="0" collapsed="false">
      <c r="B10" s="56" t="s">
        <v>338</v>
      </c>
      <c r="C10" s="20" t="n">
        <f aca="false">C9*Assumptions!$D$28</f>
        <v>15600</v>
      </c>
      <c r="D10" s="20" t="n">
        <f aca="false">D9*Assumptions!$D$28</f>
        <v>16224</v>
      </c>
      <c r="E10" s="20" t="n">
        <f aca="false">E9*Assumptions!$D$28</f>
        <v>16872.96</v>
      </c>
      <c r="F10" s="20" t="n">
        <f aca="false">F9*Assumptions!$D$28</f>
        <v>17210.4192</v>
      </c>
      <c r="G10" s="20" t="n">
        <f aca="false">G9*Assumptions!$D$28</f>
        <v>17554.627584</v>
      </c>
      <c r="H10" s="20" t="n">
        <f aca="false">H9*Assumptions!$D$28</f>
        <v>17905.72013568</v>
      </c>
      <c r="I10" s="20" t="n">
        <f aca="false">I9*Assumptions!$D$28</f>
        <v>18263.8345383936</v>
      </c>
      <c r="J10" s="20" t="n">
        <f aca="false">J9*Assumptions!$D$28</f>
        <v>18629.1112291615</v>
      </c>
      <c r="K10" s="20" t="n">
        <f aca="false">K9*Assumptions!$D$28</f>
        <v>19001.6934537447</v>
      </c>
      <c r="L10" s="20" t="n">
        <f aca="false">L9*Assumptions!$D$28</f>
        <v>19381.7273228196</v>
      </c>
      <c r="M10" s="20" t="n">
        <f aca="false">M9*Assumptions!$D$28</f>
        <v>19769.361869276</v>
      </c>
      <c r="N10" s="20" t="n">
        <f aca="false">N9*Assumptions!$D$28</f>
        <v>20164.7491066615</v>
      </c>
      <c r="O10" s="20" t="n">
        <f aca="false">O9*Assumptions!$D$28</f>
        <v>20568.0440887947</v>
      </c>
      <c r="P10" s="20" t="n">
        <f aca="false">P9*Assumptions!$D$28</f>
        <v>20979.4049705706</v>
      </c>
      <c r="Q10" s="20" t="n">
        <f aca="false">Q9*Assumptions!$D$28</f>
        <v>21398.993069982</v>
      </c>
      <c r="R10" s="20" t="n">
        <f aca="false">R9*Assumptions!$D$28</f>
        <v>21826.9729313817</v>
      </c>
      <c r="S10" s="20" t="n">
        <f aca="false">S9*Assumptions!$D$28</f>
        <v>22263.5123900093</v>
      </c>
      <c r="T10" s="20" t="n">
        <f aca="false">T9*Assumptions!$D$28</f>
        <v>22708.7826378095</v>
      </c>
      <c r="U10" s="20" t="n">
        <f aca="false">U9*Assumptions!$D$28</f>
        <v>23162.9582905657</v>
      </c>
      <c r="V10" s="20" t="n">
        <f aca="false">V9*Assumptions!$D$28</f>
        <v>23626.217456377</v>
      </c>
      <c r="W10" s="20" t="n">
        <f aca="false">W9*Assumptions!$D$28</f>
        <v>24098.7418055046</v>
      </c>
      <c r="X10" s="20" t="n">
        <f aca="false">X9*Assumptions!$D$28</f>
        <v>24580.7166416147</v>
      </c>
      <c r="Y10" s="20" t="n">
        <f aca="false">Y9*Assumptions!$D$28</f>
        <v>25072.3309744469</v>
      </c>
      <c r="Z10" s="20" t="n">
        <f aca="false">Z9*Assumptions!$D$28</f>
        <v>25573.7775939359</v>
      </c>
      <c r="AA10" s="20" t="n">
        <f aca="false">AA9*Assumptions!$D$28</f>
        <v>26085.2531458146</v>
      </c>
      <c r="AB10" s="20" t="n">
        <f aca="false">AB9*Assumptions!$D$28</f>
        <v>26606.9582087309</v>
      </c>
      <c r="AC10" s="20" t="n">
        <f aca="false">AC9*Assumptions!$D$28</f>
        <v>27139.0973729055</v>
      </c>
      <c r="AD10" s="20" t="n">
        <f aca="false">AD9*Assumptions!$D$28</f>
        <v>27681.8793203636</v>
      </c>
      <c r="AE10" s="20" t="n">
        <f aca="false">AE9*Assumptions!$D$28</f>
        <v>28235.5169067709</v>
      </c>
      <c r="AF10" s="20" t="n">
        <f aca="false">AF9*Assumptions!$D$28</f>
        <v>28800.2272449063</v>
      </c>
    </row>
    <row r="11" customFormat="false" ht="15" hidden="false" customHeight="true" outlineLevel="0" collapsed="false">
      <c r="B11" s="56" t="s">
        <v>339</v>
      </c>
      <c r="C11" s="20" t="n">
        <f aca="false">C9*Assumptions!$D$29</f>
        <v>15600</v>
      </c>
      <c r="D11" s="20" t="n">
        <f aca="false">D9*Assumptions!$D$29</f>
        <v>16224</v>
      </c>
      <c r="E11" s="20" t="n">
        <f aca="false">E9*Assumptions!$D$29</f>
        <v>16872.96</v>
      </c>
      <c r="F11" s="20" t="n">
        <f aca="false">F9*Assumptions!$D$29</f>
        <v>17210.4192</v>
      </c>
      <c r="G11" s="20" t="n">
        <f aca="false">G9*Assumptions!$D$29</f>
        <v>17554.627584</v>
      </c>
      <c r="H11" s="20" t="n">
        <f aca="false">H9*Assumptions!$D$29</f>
        <v>17905.72013568</v>
      </c>
      <c r="I11" s="20" t="n">
        <f aca="false">I9*Assumptions!$D$29</f>
        <v>18263.8345383936</v>
      </c>
      <c r="J11" s="20" t="n">
        <f aca="false">J9*Assumptions!$D$29</f>
        <v>18629.1112291615</v>
      </c>
      <c r="K11" s="20" t="n">
        <f aca="false">K9*Assumptions!$D$29</f>
        <v>19001.6934537447</v>
      </c>
      <c r="L11" s="20" t="n">
        <f aca="false">L9*Assumptions!$D$29</f>
        <v>19381.7273228196</v>
      </c>
      <c r="M11" s="20" t="n">
        <f aca="false">M9*Assumptions!$D$29</f>
        <v>19769.361869276</v>
      </c>
      <c r="N11" s="20" t="n">
        <f aca="false">N9*Assumptions!$D$29</f>
        <v>20164.7491066615</v>
      </c>
      <c r="O11" s="20" t="n">
        <f aca="false">O9*Assumptions!$D$29</f>
        <v>20568.0440887947</v>
      </c>
      <c r="P11" s="20" t="n">
        <f aca="false">P9*Assumptions!$D$29</f>
        <v>20979.4049705706</v>
      </c>
      <c r="Q11" s="20" t="n">
        <f aca="false">Q9*Assumptions!$D$29</f>
        <v>21398.993069982</v>
      </c>
      <c r="R11" s="20" t="n">
        <f aca="false">R9*Assumptions!$D$29</f>
        <v>21826.9729313817</v>
      </c>
      <c r="S11" s="20" t="n">
        <f aca="false">S9*Assumptions!$D$29</f>
        <v>22263.5123900093</v>
      </c>
      <c r="T11" s="20" t="n">
        <f aca="false">T9*Assumptions!$D$29</f>
        <v>22708.7826378095</v>
      </c>
      <c r="U11" s="20" t="n">
        <f aca="false">U9*Assumptions!$D$29</f>
        <v>23162.9582905657</v>
      </c>
      <c r="V11" s="20" t="n">
        <f aca="false">V9*Assumptions!$D$29</f>
        <v>23626.217456377</v>
      </c>
      <c r="W11" s="20" t="n">
        <f aca="false">W9*Assumptions!$D$29</f>
        <v>24098.7418055046</v>
      </c>
      <c r="X11" s="20" t="n">
        <f aca="false">X9*Assumptions!$D$29</f>
        <v>24580.7166416147</v>
      </c>
      <c r="Y11" s="20" t="n">
        <f aca="false">Y9*Assumptions!$D$29</f>
        <v>25072.3309744469</v>
      </c>
      <c r="Z11" s="20" t="n">
        <f aca="false">Z9*Assumptions!$D$29</f>
        <v>25573.7775939359</v>
      </c>
      <c r="AA11" s="20" t="n">
        <f aca="false">AA9*Assumptions!$D$29</f>
        <v>26085.2531458146</v>
      </c>
      <c r="AB11" s="20" t="n">
        <f aca="false">AB9*Assumptions!$D$29</f>
        <v>26606.9582087309</v>
      </c>
      <c r="AC11" s="20" t="n">
        <f aca="false">AC9*Assumptions!$D$29</f>
        <v>27139.0973729055</v>
      </c>
      <c r="AD11" s="20" t="n">
        <f aca="false">AD9*Assumptions!$D$29</f>
        <v>27681.8793203636</v>
      </c>
      <c r="AE11" s="20" t="n">
        <f aca="false">AE9*Assumptions!$D$29</f>
        <v>28235.5169067709</v>
      </c>
      <c r="AF11" s="20" t="n">
        <f aca="false">AF9*Assumptions!$D$29</f>
        <v>28800.2272449063</v>
      </c>
    </row>
    <row r="12" customFormat="false" ht="15" hidden="false" customHeight="true" outlineLevel="0" collapsed="false">
      <c r="B12" s="16" t="s">
        <v>340</v>
      </c>
      <c r="C12" s="58" t="n">
        <f aca="false">C10+C11</f>
        <v>31200</v>
      </c>
      <c r="D12" s="58" t="n">
        <f aca="false">D10+D11</f>
        <v>32448</v>
      </c>
      <c r="E12" s="58" t="n">
        <f aca="false">E10+E11</f>
        <v>33745.92</v>
      </c>
      <c r="F12" s="58" t="n">
        <f aca="false">F10+F11</f>
        <v>34420.8384</v>
      </c>
      <c r="G12" s="58" t="n">
        <f aca="false">G10+G11</f>
        <v>35109.255168</v>
      </c>
      <c r="H12" s="58" t="n">
        <f aca="false">H10+H11</f>
        <v>35811.44027136</v>
      </c>
      <c r="I12" s="58" t="n">
        <f aca="false">I10+I11</f>
        <v>36527.6690767872</v>
      </c>
      <c r="J12" s="58" t="n">
        <f aca="false">J10+J11</f>
        <v>37258.222458323</v>
      </c>
      <c r="K12" s="58" t="n">
        <f aca="false">K10+K11</f>
        <v>38003.3869074894</v>
      </c>
      <c r="L12" s="58" t="n">
        <f aca="false">L10+L11</f>
        <v>38763.4546456392</v>
      </c>
      <c r="M12" s="58" t="n">
        <f aca="false">M10+M11</f>
        <v>39538.723738552</v>
      </c>
      <c r="N12" s="58" t="n">
        <f aca="false">N10+N11</f>
        <v>40329.498213323</v>
      </c>
      <c r="O12" s="58" t="n">
        <f aca="false">O10+O11</f>
        <v>41136.0881775895</v>
      </c>
      <c r="P12" s="58" t="n">
        <f aca="false">P10+P11</f>
        <v>41958.8099411413</v>
      </c>
      <c r="Q12" s="58" t="n">
        <f aca="false">Q10+Q11</f>
        <v>42797.9861399641</v>
      </c>
      <c r="R12" s="58" t="n">
        <f aca="false">R10+R11</f>
        <v>43653.9458627634</v>
      </c>
      <c r="S12" s="58" t="n">
        <f aca="false">S10+S11</f>
        <v>44527.0247800187</v>
      </c>
      <c r="T12" s="58" t="n">
        <f aca="false">T10+T11</f>
        <v>45417.565275619</v>
      </c>
      <c r="U12" s="58" t="n">
        <f aca="false">U10+U11</f>
        <v>46325.9165811314</v>
      </c>
      <c r="V12" s="58" t="n">
        <f aca="false">V10+V11</f>
        <v>47252.434912754</v>
      </c>
      <c r="W12" s="58" t="n">
        <f aca="false">W10+W11</f>
        <v>48197.4836110091</v>
      </c>
      <c r="X12" s="58" t="n">
        <f aca="false">X10+X11</f>
        <v>49161.4332832293</v>
      </c>
      <c r="Y12" s="58" t="n">
        <f aca="false">Y10+Y11</f>
        <v>50144.6619488939</v>
      </c>
      <c r="Z12" s="58" t="n">
        <f aca="false">Z10+Z11</f>
        <v>51147.5551878718</v>
      </c>
      <c r="AA12" s="58" t="n">
        <f aca="false">AA10+AA11</f>
        <v>52170.5062916292</v>
      </c>
      <c r="AB12" s="58" t="n">
        <f aca="false">AB10+AB11</f>
        <v>53213.9164174618</v>
      </c>
      <c r="AC12" s="58" t="n">
        <f aca="false">AC10+AC11</f>
        <v>54278.194745811</v>
      </c>
      <c r="AD12" s="58" t="n">
        <f aca="false">AD10+AD11</f>
        <v>55363.7586407273</v>
      </c>
      <c r="AE12" s="58" t="n">
        <f aca="false">AE10+AE11</f>
        <v>56471.0338135418</v>
      </c>
      <c r="AF12" s="58" t="n">
        <f aca="false">AF10+AF11</f>
        <v>57600.4544898126</v>
      </c>
    </row>
    <row r="13" customFormat="false" ht="15" hidden="false" customHeight="true" outlineLevel="0" collapsed="false">
      <c r="B13" s="56" t="s">
        <v>341</v>
      </c>
      <c r="C13" s="20" t="n">
        <f aca="false">C8+C11</f>
        <v>205600</v>
      </c>
      <c r="D13" s="20" t="n">
        <f aca="false">D8+D11</f>
        <v>213824</v>
      </c>
      <c r="E13" s="20" t="n">
        <f aca="false">E8+E11</f>
        <v>222376.96</v>
      </c>
      <c r="F13" s="20" t="n">
        <f aca="false">F8+F11</f>
        <v>226824.4992</v>
      </c>
      <c r="G13" s="20" t="n">
        <f aca="false">G8+G11</f>
        <v>231360.989184</v>
      </c>
      <c r="H13" s="20" t="n">
        <f aca="false">H8+H11</f>
        <v>235988.20896768</v>
      </c>
      <c r="I13" s="20" t="n">
        <f aca="false">I8+I11</f>
        <v>240707.973147034</v>
      </c>
      <c r="J13" s="20" t="n">
        <f aca="false">J8+J11</f>
        <v>245522.132609974</v>
      </c>
      <c r="K13" s="20" t="n">
        <f aca="false">K8+K11</f>
        <v>250432.575262174</v>
      </c>
      <c r="L13" s="20" t="n">
        <f aca="false">L8+L11</f>
        <v>255441.226767417</v>
      </c>
      <c r="M13" s="20" t="n">
        <f aca="false">M8+M11</f>
        <v>260550.051302766</v>
      </c>
      <c r="N13" s="20" t="n">
        <f aca="false">N8+N11</f>
        <v>265761.052328821</v>
      </c>
      <c r="O13" s="20" t="n">
        <f aca="false">O8+O11</f>
        <v>271076.273375397</v>
      </c>
      <c r="P13" s="20" t="n">
        <f aca="false">P8+P11</f>
        <v>276497.798842905</v>
      </c>
      <c r="Q13" s="20" t="n">
        <f aca="false">Q8+Q11</f>
        <v>282027.754819763</v>
      </c>
      <c r="R13" s="20" t="n">
        <f aca="false">R8+R11</f>
        <v>287668.309916159</v>
      </c>
      <c r="S13" s="20" t="n">
        <f aca="false">S8+S11</f>
        <v>293421.676114482</v>
      </c>
      <c r="T13" s="20" t="n">
        <f aca="false">T8+T11</f>
        <v>299290.109636772</v>
      </c>
      <c r="U13" s="20" t="n">
        <f aca="false">U8+U11</f>
        <v>305275.911829507</v>
      </c>
      <c r="V13" s="20" t="n">
        <f aca="false">V8+V11</f>
        <v>311381.430066097</v>
      </c>
      <c r="W13" s="20" t="n">
        <f aca="false">W8+W11</f>
        <v>317609.058667419</v>
      </c>
      <c r="X13" s="20" t="n">
        <f aca="false">X8+X11</f>
        <v>323961.239840767</v>
      </c>
      <c r="Y13" s="20" t="n">
        <f aca="false">Y8+Y11</f>
        <v>330440.464637583</v>
      </c>
      <c r="Z13" s="20" t="n">
        <f aca="false">Z8+Z11</f>
        <v>337049.273930335</v>
      </c>
      <c r="AA13" s="20" t="n">
        <f aca="false">AA8+AA11</f>
        <v>343790.259408941</v>
      </c>
      <c r="AB13" s="20" t="n">
        <f aca="false">AB8+AB11</f>
        <v>350666.06459712</v>
      </c>
      <c r="AC13" s="20" t="n">
        <f aca="false">AC8+AC11</f>
        <v>357679.385889062</v>
      </c>
      <c r="AD13" s="20" t="n">
        <f aca="false">AD8+AD11</f>
        <v>364832.973606844</v>
      </c>
      <c r="AE13" s="20" t="n">
        <f aca="false">AE8+AE11</f>
        <v>372129.633078981</v>
      </c>
      <c r="AF13" s="20" t="n">
        <f aca="false">AF8+AF11</f>
        <v>379572.22574056</v>
      </c>
    </row>
    <row r="14" customFormat="false" ht="15" hidden="false" customHeight="true" outlineLevel="0" collapsed="false">
      <c r="B14" s="56" t="s">
        <v>342</v>
      </c>
      <c r="C14" s="20" t="n">
        <f aca="false">MAX(Tax_Bands!C$15,Tax_Bands!C$13-MAX(0,C13-Tax_Bands!C$14)/2)</f>
        <v>60000</v>
      </c>
      <c r="D14" s="20" t="n">
        <f aca="false">MAX(Tax_Bands!D$15,Tax_Bands!D$13-MAX(0,D13-Tax_Bands!D$14)/2)</f>
        <v>60000</v>
      </c>
      <c r="E14" s="20" t="n">
        <f aca="false">MAX(Tax_Bands!E$15,Tax_Bands!E$13-MAX(0,E13-Tax_Bands!E$14)/2)</f>
        <v>60000</v>
      </c>
      <c r="F14" s="20" t="n">
        <f aca="false">MAX(Tax_Bands!F$15,Tax_Bands!F$13-MAX(0,F13-Tax_Bands!F$14)/2)</f>
        <v>60000</v>
      </c>
      <c r="G14" s="20" t="n">
        <f aca="false">MAX(Tax_Bands!G$15,Tax_Bands!G$13-MAX(0,G13-Tax_Bands!G$14)/2)</f>
        <v>60000</v>
      </c>
      <c r="H14" s="20" t="n">
        <f aca="false">MAX(Tax_Bands!H$15,Tax_Bands!H$13-MAX(0,H13-Tax_Bands!H$14)/2)</f>
        <v>61200</v>
      </c>
      <c r="I14" s="20" t="n">
        <f aca="false">MAX(Tax_Bands!I$15,Tax_Bands!I$13-MAX(0,I13-Tax_Bands!I$14)/2)</f>
        <v>62424</v>
      </c>
      <c r="J14" s="20" t="n">
        <f aca="false">MAX(Tax_Bands!J$15,Tax_Bands!J$13-MAX(0,J13-Tax_Bands!J$14)/2)</f>
        <v>63672.48</v>
      </c>
      <c r="K14" s="20" t="n">
        <f aca="false">MAX(Tax_Bands!K$15,Tax_Bands!K$13-MAX(0,K13-Tax_Bands!K$14)/2)</f>
        <v>64945.9296</v>
      </c>
      <c r="L14" s="20" t="n">
        <f aca="false">MAX(Tax_Bands!L$15,Tax_Bands!L$13-MAX(0,L13-Tax_Bands!L$14)/2)</f>
        <v>66244.848192</v>
      </c>
      <c r="M14" s="20" t="n">
        <f aca="false">MAX(Tax_Bands!M$15,Tax_Bands!M$13-MAX(0,M13-Tax_Bands!M$14)/2)</f>
        <v>67569.74515584</v>
      </c>
      <c r="N14" s="20" t="n">
        <f aca="false">MAX(Tax_Bands!N$15,Tax_Bands!N$13-MAX(0,N13-Tax_Bands!N$14)/2)</f>
        <v>68921.1400589568</v>
      </c>
      <c r="O14" s="20" t="n">
        <f aca="false">MAX(Tax_Bands!O$15,Tax_Bands!O$13-MAX(0,O13-Tax_Bands!O$14)/2)</f>
        <v>70299.562860136</v>
      </c>
      <c r="P14" s="20" t="n">
        <f aca="false">MAX(Tax_Bands!P$15,Tax_Bands!P$13-MAX(0,P13-Tax_Bands!P$14)/2)</f>
        <v>71705.5541173387</v>
      </c>
      <c r="Q14" s="20" t="n">
        <f aca="false">MAX(Tax_Bands!Q$15,Tax_Bands!Q$13-MAX(0,Q13-Tax_Bands!Q$14)/2)</f>
        <v>73139.6651996854</v>
      </c>
      <c r="R14" s="20" t="n">
        <f aca="false">MAX(Tax_Bands!R$15,Tax_Bands!R$13-MAX(0,R13-Tax_Bands!R$14)/2)</f>
        <v>74602.4585036792</v>
      </c>
      <c r="S14" s="20" t="n">
        <f aca="false">MAX(Tax_Bands!S$15,Tax_Bands!S$13-MAX(0,S13-Tax_Bands!S$14)/2)</f>
        <v>76094.5076737527</v>
      </c>
      <c r="T14" s="20" t="n">
        <f aca="false">MAX(Tax_Bands!T$15,Tax_Bands!T$13-MAX(0,T13-Tax_Bands!T$14)/2)</f>
        <v>77616.3978272278</v>
      </c>
      <c r="U14" s="20" t="n">
        <f aca="false">MAX(Tax_Bands!U$15,Tax_Bands!U$13-MAX(0,U13-Tax_Bands!U$14)/2)</f>
        <v>79168.7257837723</v>
      </c>
      <c r="V14" s="20" t="n">
        <f aca="false">MAX(Tax_Bands!V$15,Tax_Bands!V$13-MAX(0,V13-Tax_Bands!V$14)/2)</f>
        <v>80752.1002994478</v>
      </c>
      <c r="W14" s="20" t="n">
        <f aca="false">MAX(Tax_Bands!W$15,Tax_Bands!W$13-MAX(0,W13-Tax_Bands!W$14)/2)</f>
        <v>82367.1423054368</v>
      </c>
      <c r="X14" s="20" t="n">
        <f aca="false">MAX(Tax_Bands!X$15,Tax_Bands!X$13-MAX(0,X13-Tax_Bands!X$14)/2)</f>
        <v>84014.4851515455</v>
      </c>
      <c r="Y14" s="20" t="n">
        <f aca="false">MAX(Tax_Bands!Y$15,Tax_Bands!Y$13-MAX(0,Y13-Tax_Bands!Y$14)/2)</f>
        <v>85694.7748545764</v>
      </c>
      <c r="Z14" s="20" t="n">
        <f aca="false">MAX(Tax_Bands!Z$15,Tax_Bands!Z$13-MAX(0,Z13-Tax_Bands!Z$14)/2)</f>
        <v>87408.6703516679</v>
      </c>
      <c r="AA14" s="20" t="n">
        <f aca="false">MAX(Tax_Bands!AA$15,Tax_Bands!AA$13-MAX(0,AA13-Tax_Bands!AA$14)/2)</f>
        <v>89156.8437587013</v>
      </c>
      <c r="AB14" s="20" t="n">
        <f aca="false">MAX(Tax_Bands!AB$15,Tax_Bands!AB$13-MAX(0,AB13-Tax_Bands!AB$14)/2)</f>
        <v>90939.9806338753</v>
      </c>
      <c r="AC14" s="20" t="n">
        <f aca="false">MAX(Tax_Bands!AC$15,Tax_Bands!AC$13-MAX(0,AC13-Tax_Bands!AC$14)/2)</f>
        <v>92758.7802465528</v>
      </c>
      <c r="AD14" s="20" t="n">
        <f aca="false">MAX(Tax_Bands!AD$15,Tax_Bands!AD$13-MAX(0,AD13-Tax_Bands!AD$14)/2)</f>
        <v>94613.9558514839</v>
      </c>
      <c r="AE14" s="20" t="n">
        <f aca="false">MAX(Tax_Bands!AE$15,Tax_Bands!AE$13-MAX(0,AE13-Tax_Bands!AE$14)/2)</f>
        <v>96506.2349685136</v>
      </c>
      <c r="AF14" s="20" t="n">
        <f aca="false">MAX(Tax_Bands!AF$15,Tax_Bands!AF$13-MAX(0,AF13-Tax_Bands!AF$14)/2)</f>
        <v>98436.3596678838</v>
      </c>
    </row>
    <row r="15" customFormat="false" ht="15" hidden="false" customHeight="true" outlineLevel="0" collapsed="false">
      <c r="B15" s="16" t="s">
        <v>343</v>
      </c>
      <c r="C15" s="59" t="n">
        <f aca="false">MAX(0,MIN(C14-C12,C8-C10))</f>
        <v>28800</v>
      </c>
      <c r="D15" s="59" t="n">
        <f aca="false">MAX(0,MIN(D14-D12,D8-D10))</f>
        <v>27552</v>
      </c>
      <c r="E15" s="59" t="n">
        <f aca="false">MAX(0,MIN(E14-E12,E8-E10))</f>
        <v>26254.08</v>
      </c>
      <c r="F15" s="59" t="n">
        <f aca="false">MAX(0,MIN(F14-F12,F8-F10))</f>
        <v>25579.1616</v>
      </c>
      <c r="G15" s="59" t="n">
        <f aca="false">MAX(0,MIN(G14-G12,G8-G10))</f>
        <v>24890.744832</v>
      </c>
      <c r="H15" s="59" t="n">
        <f aca="false">MAX(0,MIN(H14-H12,H8-H10))</f>
        <v>25388.55972864</v>
      </c>
      <c r="I15" s="59" t="n">
        <f aca="false">MAX(0,MIN(I14-I12,I8-I10))</f>
        <v>25896.3309232128</v>
      </c>
      <c r="J15" s="59" t="n">
        <f aca="false">MAX(0,MIN(J14-J12,J8-J10))</f>
        <v>26414.257541677</v>
      </c>
      <c r="K15" s="59" t="n">
        <f aca="false">MAX(0,MIN(K14-K12,K8-K10))</f>
        <v>26942.5426925106</v>
      </c>
      <c r="L15" s="59" t="n">
        <f aca="false">MAX(0,MIN(L14-L12,L8-L10))</f>
        <v>27481.3935463608</v>
      </c>
      <c r="M15" s="59" t="n">
        <f aca="false">MAX(0,MIN(M14-M12,M8-M10))</f>
        <v>28031.021417288</v>
      </c>
      <c r="N15" s="59" t="n">
        <f aca="false">MAX(0,MIN(N14-N12,N8-N10))</f>
        <v>28591.6418456338</v>
      </c>
      <c r="O15" s="59" t="n">
        <f aca="false">MAX(0,MIN(O14-O12,O8-O10))</f>
        <v>29163.4746825465</v>
      </c>
      <c r="P15" s="59" t="n">
        <f aca="false">MAX(0,MIN(P14-P12,P8-P10))</f>
        <v>29746.7441761974</v>
      </c>
      <c r="Q15" s="59" t="n">
        <f aca="false">MAX(0,MIN(Q14-Q12,Q8-Q10))</f>
        <v>30341.6790597213</v>
      </c>
      <c r="R15" s="59" t="n">
        <f aca="false">MAX(0,MIN(R14-R12,R8-R10))</f>
        <v>30948.5126409158</v>
      </c>
      <c r="S15" s="59" t="n">
        <f aca="false">MAX(0,MIN(S14-S12,S8-S10))</f>
        <v>31567.4828937341</v>
      </c>
      <c r="T15" s="59" t="n">
        <f aca="false">MAX(0,MIN(T14-T12,T8-T10))</f>
        <v>32198.8325516088</v>
      </c>
      <c r="U15" s="59" t="n">
        <f aca="false">MAX(0,MIN(U14-U12,U8-U10))</f>
        <v>32842.8092026409</v>
      </c>
      <c r="V15" s="59" t="n">
        <f aca="false">MAX(0,MIN(V14-V12,V8-V10))</f>
        <v>33499.6653866938</v>
      </c>
      <c r="W15" s="59" t="n">
        <f aca="false">MAX(0,MIN(W14-W12,W8-W10))</f>
        <v>34169.6586944276</v>
      </c>
      <c r="X15" s="59" t="n">
        <f aca="false">MAX(0,MIN(X14-X12,X8-X10))</f>
        <v>34853.0518683162</v>
      </c>
      <c r="Y15" s="59" t="n">
        <f aca="false">MAX(0,MIN(Y14-Y12,Y8-Y10))</f>
        <v>35550.1129056825</v>
      </c>
      <c r="Z15" s="59" t="n">
        <f aca="false">MAX(0,MIN(Z14-Z12,Z8-Z10))</f>
        <v>36261.1151637962</v>
      </c>
      <c r="AA15" s="59" t="n">
        <f aca="false">MAX(0,MIN(AA14-AA12,AA8-AA10))</f>
        <v>36986.3374670721</v>
      </c>
      <c r="AB15" s="59" t="n">
        <f aca="false">MAX(0,MIN(AB14-AB12,AB8-AB10))</f>
        <v>37726.0642164135</v>
      </c>
      <c r="AC15" s="59" t="n">
        <f aca="false">MAX(0,MIN(AC14-AC12,AC8-AC10))</f>
        <v>38480.5855007418</v>
      </c>
      <c r="AD15" s="59" t="n">
        <f aca="false">MAX(0,MIN(AD14-AD12,AD8-AD10))</f>
        <v>39250.1972107566</v>
      </c>
      <c r="AE15" s="59" t="n">
        <f aca="false">MAX(0,MIN(AE14-AE12,AE8-AE10))</f>
        <v>40035.2011549718</v>
      </c>
      <c r="AF15" s="59" t="n">
        <f aca="false">MAX(0,MIN(AF14-AF12,AF8-AF10))</f>
        <v>40835.9051780712</v>
      </c>
    </row>
    <row r="16" customFormat="false" ht="15" hidden="false" customHeight="true" outlineLevel="0" collapsed="false">
      <c r="A16" s="30" t="s">
        <v>365</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row>
    <row r="17" customFormat="false" ht="15" hidden="false" customHeight="true" outlineLevel="0" collapsed="false">
      <c r="B17" s="56" t="s">
        <v>345</v>
      </c>
      <c r="C17" s="20" t="n">
        <f aca="false">C8-C10</f>
        <v>174400</v>
      </c>
      <c r="D17" s="20" t="n">
        <f aca="false">D8-D10</f>
        <v>181376</v>
      </c>
      <c r="E17" s="20" t="n">
        <f aca="false">E8-E10</f>
        <v>188631.04</v>
      </c>
      <c r="F17" s="20" t="n">
        <f aca="false">F8-F10</f>
        <v>192403.6608</v>
      </c>
      <c r="G17" s="20" t="n">
        <f aca="false">G8-G10</f>
        <v>196251.734016</v>
      </c>
      <c r="H17" s="20" t="n">
        <f aca="false">H8-H10</f>
        <v>200176.76869632</v>
      </c>
      <c r="I17" s="20" t="n">
        <f aca="false">I8-I10</f>
        <v>204180.304070247</v>
      </c>
      <c r="J17" s="20" t="n">
        <f aca="false">J8-J10</f>
        <v>208263.910151651</v>
      </c>
      <c r="K17" s="20" t="n">
        <f aca="false">K8-K10</f>
        <v>212429.188354684</v>
      </c>
      <c r="L17" s="20" t="n">
        <f aca="false">L8-L10</f>
        <v>216677.772121778</v>
      </c>
      <c r="M17" s="20" t="n">
        <f aca="false">M8-M10</f>
        <v>221011.327564214</v>
      </c>
      <c r="N17" s="20" t="n">
        <f aca="false">N8-N10</f>
        <v>225431.554115498</v>
      </c>
      <c r="O17" s="20" t="n">
        <f aca="false">O8-O10</f>
        <v>229940.185197808</v>
      </c>
      <c r="P17" s="20" t="n">
        <f aca="false">P8-P10</f>
        <v>234538.988901764</v>
      </c>
      <c r="Q17" s="20" t="n">
        <f aca="false">Q8-Q10</f>
        <v>239229.768679799</v>
      </c>
      <c r="R17" s="20" t="n">
        <f aca="false">R8-R10</f>
        <v>244014.364053395</v>
      </c>
      <c r="S17" s="20" t="n">
        <f aca="false">S8-S10</f>
        <v>248894.651334463</v>
      </c>
      <c r="T17" s="20" t="n">
        <f aca="false">T8-T10</f>
        <v>253872.544361153</v>
      </c>
      <c r="U17" s="20" t="n">
        <f aca="false">U8-U10</f>
        <v>258949.995248376</v>
      </c>
      <c r="V17" s="20" t="n">
        <f aca="false">V8-V10</f>
        <v>264128.995153343</v>
      </c>
      <c r="W17" s="20" t="n">
        <f aca="false">W8-W10</f>
        <v>269411.57505641</v>
      </c>
      <c r="X17" s="20" t="n">
        <f aca="false">X8-X10</f>
        <v>274799.806557538</v>
      </c>
      <c r="Y17" s="20" t="n">
        <f aca="false">Y8-Y10</f>
        <v>280295.802688689</v>
      </c>
      <c r="Z17" s="20" t="n">
        <f aca="false">Z8-Z10</f>
        <v>285901.718742463</v>
      </c>
      <c r="AA17" s="20" t="n">
        <f aca="false">AA8-AA10</f>
        <v>291619.753117312</v>
      </c>
      <c r="AB17" s="20" t="n">
        <f aca="false">AB8-AB10</f>
        <v>297452.148179658</v>
      </c>
      <c r="AC17" s="20" t="n">
        <f aca="false">AC8-AC10</f>
        <v>303401.191143251</v>
      </c>
      <c r="AD17" s="20" t="n">
        <f aca="false">AD8-AD10</f>
        <v>309469.214966116</v>
      </c>
      <c r="AE17" s="20" t="n">
        <f aca="false">AE8-AE10</f>
        <v>315658.599265439</v>
      </c>
      <c r="AF17" s="20" t="n">
        <f aca="false">AF8-AF10</f>
        <v>321971.771250748</v>
      </c>
    </row>
    <row r="18" customFormat="false" ht="15" hidden="false" customHeight="true" outlineLevel="0" collapsed="false">
      <c r="B18" s="56" t="s">
        <v>346</v>
      </c>
      <c r="C18" s="20" t="n">
        <f aca="false">MAX(0,Tax_Bands!C$7-MAX(0,C17-Tax_Bands!C$8)/2)</f>
        <v>0</v>
      </c>
      <c r="D18" s="20" t="n">
        <f aca="false">MAX(0,Tax_Bands!D$7-MAX(0,D17-Tax_Bands!D$8)/2)</f>
        <v>0</v>
      </c>
      <c r="E18" s="20" t="n">
        <f aca="false">MAX(0,Tax_Bands!E$7-MAX(0,E17-Tax_Bands!E$8)/2)</f>
        <v>0</v>
      </c>
      <c r="F18" s="20" t="n">
        <f aca="false">MAX(0,Tax_Bands!F$7-MAX(0,F17-Tax_Bands!F$8)/2)</f>
        <v>0</v>
      </c>
      <c r="G18" s="20" t="n">
        <f aca="false">MAX(0,Tax_Bands!G$7-MAX(0,G17-Tax_Bands!G$8)/2)</f>
        <v>0</v>
      </c>
      <c r="H18" s="20" t="n">
        <f aca="false">MAX(0,Tax_Bands!H$7-MAX(0,H17-Tax_Bands!H$8)/2)</f>
        <v>0</v>
      </c>
      <c r="I18" s="20" t="n">
        <f aca="false">MAX(0,Tax_Bands!I$7-MAX(0,I17-Tax_Bands!I$8)/2)</f>
        <v>0</v>
      </c>
      <c r="J18" s="20" t="n">
        <f aca="false">MAX(0,Tax_Bands!J$7-MAX(0,J17-Tax_Bands!J$8)/2)</f>
        <v>0</v>
      </c>
      <c r="K18" s="20" t="n">
        <f aca="false">MAX(0,Tax_Bands!K$7-MAX(0,K17-Tax_Bands!K$8)/2)</f>
        <v>0</v>
      </c>
      <c r="L18" s="20" t="n">
        <f aca="false">MAX(0,Tax_Bands!L$7-MAX(0,L17-Tax_Bands!L$8)/2)</f>
        <v>0</v>
      </c>
      <c r="M18" s="20" t="n">
        <f aca="false">MAX(0,Tax_Bands!M$7-MAX(0,M17-Tax_Bands!M$8)/2)</f>
        <v>0</v>
      </c>
      <c r="N18" s="20" t="n">
        <f aca="false">MAX(0,Tax_Bands!N$7-MAX(0,N17-Tax_Bands!N$8)/2)</f>
        <v>0</v>
      </c>
      <c r="O18" s="20" t="n">
        <f aca="false">MAX(0,Tax_Bands!O$7-MAX(0,O17-Tax_Bands!O$8)/2)</f>
        <v>0</v>
      </c>
      <c r="P18" s="20" t="n">
        <f aca="false">MAX(0,Tax_Bands!P$7-MAX(0,P17-Tax_Bands!P$8)/2)</f>
        <v>0</v>
      </c>
      <c r="Q18" s="20" t="n">
        <f aca="false">MAX(0,Tax_Bands!Q$7-MAX(0,Q17-Tax_Bands!Q$8)/2)</f>
        <v>0</v>
      </c>
      <c r="R18" s="20" t="n">
        <f aca="false">MAX(0,Tax_Bands!R$7-MAX(0,R17-Tax_Bands!R$8)/2)</f>
        <v>0</v>
      </c>
      <c r="S18" s="20" t="n">
        <f aca="false">MAX(0,Tax_Bands!S$7-MAX(0,S17-Tax_Bands!S$8)/2)</f>
        <v>0</v>
      </c>
      <c r="T18" s="20" t="n">
        <f aca="false">MAX(0,Tax_Bands!T$7-MAX(0,T17-Tax_Bands!T$8)/2)</f>
        <v>0</v>
      </c>
      <c r="U18" s="20" t="n">
        <f aca="false">MAX(0,Tax_Bands!U$7-MAX(0,U17-Tax_Bands!U$8)/2)</f>
        <v>0</v>
      </c>
      <c r="V18" s="20" t="n">
        <f aca="false">MAX(0,Tax_Bands!V$7-MAX(0,V17-Tax_Bands!V$8)/2)</f>
        <v>0</v>
      </c>
      <c r="W18" s="20" t="n">
        <f aca="false">MAX(0,Tax_Bands!W$7-MAX(0,W17-Tax_Bands!W$8)/2)</f>
        <v>0</v>
      </c>
      <c r="X18" s="20" t="n">
        <f aca="false">MAX(0,Tax_Bands!X$7-MAX(0,X17-Tax_Bands!X$8)/2)</f>
        <v>0</v>
      </c>
      <c r="Y18" s="20" t="n">
        <f aca="false">MAX(0,Tax_Bands!Y$7-MAX(0,Y17-Tax_Bands!Y$8)/2)</f>
        <v>0</v>
      </c>
      <c r="Z18" s="20" t="n">
        <f aca="false">MAX(0,Tax_Bands!Z$7-MAX(0,Z17-Tax_Bands!Z$8)/2)</f>
        <v>0</v>
      </c>
      <c r="AA18" s="20" t="n">
        <f aca="false">MAX(0,Tax_Bands!AA$7-MAX(0,AA17-Tax_Bands!AA$8)/2)</f>
        <v>0</v>
      </c>
      <c r="AB18" s="20" t="n">
        <f aca="false">MAX(0,Tax_Bands!AB$7-MAX(0,AB17-Tax_Bands!AB$8)/2)</f>
        <v>0</v>
      </c>
      <c r="AC18" s="20" t="n">
        <f aca="false">MAX(0,Tax_Bands!AC$7-MAX(0,AC17-Tax_Bands!AC$8)/2)</f>
        <v>0</v>
      </c>
      <c r="AD18" s="20" t="n">
        <f aca="false">MAX(0,Tax_Bands!AD$7-MAX(0,AD17-Tax_Bands!AD$8)/2)</f>
        <v>0</v>
      </c>
      <c r="AE18" s="20" t="n">
        <f aca="false">MAX(0,Tax_Bands!AE$7-MAX(0,AE17-Tax_Bands!AE$8)/2)</f>
        <v>0</v>
      </c>
      <c r="AF18" s="20" t="n">
        <f aca="false">MAX(0,Tax_Bands!AF$7-MAX(0,AF17-Tax_Bands!AF$8)/2)</f>
        <v>0</v>
      </c>
    </row>
    <row r="19" customFormat="false" ht="15" hidden="false" customHeight="true" outlineLevel="0" collapsed="false">
      <c r="B19" s="56" t="s">
        <v>347</v>
      </c>
      <c r="C19" s="20" t="n">
        <f aca="false">MAX(0,C17-C18)</f>
        <v>174400</v>
      </c>
      <c r="D19" s="20" t="n">
        <f aca="false">MAX(0,D17-D18)</f>
        <v>181376</v>
      </c>
      <c r="E19" s="20" t="n">
        <f aca="false">MAX(0,E17-E18)</f>
        <v>188631.04</v>
      </c>
      <c r="F19" s="20" t="n">
        <f aca="false">MAX(0,F17-F18)</f>
        <v>192403.6608</v>
      </c>
      <c r="G19" s="20" t="n">
        <f aca="false">MAX(0,G17-G18)</f>
        <v>196251.734016</v>
      </c>
      <c r="H19" s="20" t="n">
        <f aca="false">MAX(0,H17-H18)</f>
        <v>200176.76869632</v>
      </c>
      <c r="I19" s="20" t="n">
        <f aca="false">MAX(0,I17-I18)</f>
        <v>204180.304070247</v>
      </c>
      <c r="J19" s="20" t="n">
        <f aca="false">MAX(0,J17-J18)</f>
        <v>208263.910151651</v>
      </c>
      <c r="K19" s="20" t="n">
        <f aca="false">MAX(0,K17-K18)</f>
        <v>212429.188354684</v>
      </c>
      <c r="L19" s="20" t="n">
        <f aca="false">MAX(0,L17-L18)</f>
        <v>216677.772121778</v>
      </c>
      <c r="M19" s="20" t="n">
        <f aca="false">MAX(0,M17-M18)</f>
        <v>221011.327564214</v>
      </c>
      <c r="N19" s="20" t="n">
        <f aca="false">MAX(0,N17-N18)</f>
        <v>225431.554115498</v>
      </c>
      <c r="O19" s="20" t="n">
        <f aca="false">MAX(0,O17-O18)</f>
        <v>229940.185197808</v>
      </c>
      <c r="P19" s="20" t="n">
        <f aca="false">MAX(0,P17-P18)</f>
        <v>234538.988901764</v>
      </c>
      <c r="Q19" s="20" t="n">
        <f aca="false">MAX(0,Q17-Q18)</f>
        <v>239229.768679799</v>
      </c>
      <c r="R19" s="20" t="n">
        <f aca="false">MAX(0,R17-R18)</f>
        <v>244014.364053395</v>
      </c>
      <c r="S19" s="20" t="n">
        <f aca="false">MAX(0,S17-S18)</f>
        <v>248894.651334463</v>
      </c>
      <c r="T19" s="20" t="n">
        <f aca="false">MAX(0,T17-T18)</f>
        <v>253872.544361153</v>
      </c>
      <c r="U19" s="20" t="n">
        <f aca="false">MAX(0,U17-U18)</f>
        <v>258949.995248376</v>
      </c>
      <c r="V19" s="20" t="n">
        <f aca="false">MAX(0,V17-V18)</f>
        <v>264128.995153343</v>
      </c>
      <c r="W19" s="20" t="n">
        <f aca="false">MAX(0,W17-W18)</f>
        <v>269411.57505641</v>
      </c>
      <c r="X19" s="20" t="n">
        <f aca="false">MAX(0,X17-X18)</f>
        <v>274799.806557538</v>
      </c>
      <c r="Y19" s="20" t="n">
        <f aca="false">MAX(0,Y17-Y18)</f>
        <v>280295.802688689</v>
      </c>
      <c r="Z19" s="20" t="n">
        <f aca="false">MAX(0,Z17-Z18)</f>
        <v>285901.718742463</v>
      </c>
      <c r="AA19" s="20" t="n">
        <f aca="false">MAX(0,AA17-AA18)</f>
        <v>291619.753117312</v>
      </c>
      <c r="AB19" s="20" t="n">
        <f aca="false">MAX(0,AB17-AB18)</f>
        <v>297452.148179658</v>
      </c>
      <c r="AC19" s="20" t="n">
        <f aca="false">MAX(0,AC17-AC18)</f>
        <v>303401.191143251</v>
      </c>
      <c r="AD19" s="20" t="n">
        <f aca="false">MAX(0,AD17-AD18)</f>
        <v>309469.214966116</v>
      </c>
      <c r="AE19" s="20" t="n">
        <f aca="false">MAX(0,AE17-AE18)</f>
        <v>315658.599265439</v>
      </c>
      <c r="AF19" s="20" t="n">
        <f aca="false">MAX(0,AF17-AF18)</f>
        <v>321971.771250748</v>
      </c>
    </row>
    <row r="20" customFormat="false" ht="15" hidden="false" customHeight="true" outlineLevel="0" collapsed="false">
      <c r="B20" s="6" t="s">
        <v>348</v>
      </c>
      <c r="C20" s="20" t="n">
        <f aca="false">Tax_Bands!C$18*MIN(C19,Tax_Bands!C$9)+Tax_Bands!C$19*MAX(0,MIN(C19,Tax_Bands!C$10)-Tax_Bands!C$9)+Tax_Bands!C$20*MAX(0,C19-Tax_Bands!C$10)</f>
        <v>64683</v>
      </c>
      <c r="D20" s="20" t="n">
        <f aca="false">Tax_Bands!D$18*MIN(D19,Tax_Bands!D$9)+Tax_Bands!D$19*MAX(0,MIN(D19,Tax_Bands!D$10)-Tax_Bands!D$9)+Tax_Bands!D$20*MAX(0,D19-Tax_Bands!D$10)</f>
        <v>67822.2</v>
      </c>
      <c r="E20" s="20" t="n">
        <f aca="false">Tax_Bands!E$18*MIN(E19,Tax_Bands!E$9)+Tax_Bands!E$19*MAX(0,MIN(E19,Tax_Bands!E$10)-Tax_Bands!E$9)+Tax_Bands!E$20*MAX(0,E19-Tax_Bands!E$10)</f>
        <v>71086.968</v>
      </c>
      <c r="F20" s="20" t="n">
        <f aca="false">Tax_Bands!F$18*MIN(F19,Tax_Bands!F$9)+Tax_Bands!F$19*MAX(0,MIN(F19,Tax_Bands!F$10)-Tax_Bands!F$9)+Tax_Bands!F$20*MAX(0,F19-Tax_Bands!F$10)</f>
        <v>72784.64736</v>
      </c>
      <c r="G20" s="20" t="n">
        <f aca="false">Tax_Bands!G$18*MIN(G19,Tax_Bands!G$9)+Tax_Bands!G$19*MAX(0,MIN(G19,Tax_Bands!G$10)-Tax_Bands!G$9)+Tax_Bands!G$20*MAX(0,G19-Tax_Bands!G$10)</f>
        <v>74516.2803072</v>
      </c>
      <c r="H20" s="20" t="n">
        <f aca="false">Tax_Bands!H$18*MIN(H19,Tax_Bands!H$9)+Tax_Bands!H$19*MAX(0,MIN(H19,Tax_Bands!H$10)-Tax_Bands!H$9)+Tax_Bands!H$20*MAX(0,H19-Tax_Bands!H$10)</f>
        <v>76006.605913344</v>
      </c>
      <c r="I20" s="20" t="n">
        <f aca="false">Tax_Bands!I$18*MIN(I19,Tax_Bands!I$9)+Tax_Bands!I$19*MAX(0,MIN(I19,Tax_Bands!I$10)-Tax_Bands!I$9)+Tax_Bands!I$20*MAX(0,I19-Tax_Bands!I$10)</f>
        <v>77526.7380316109</v>
      </c>
      <c r="J20" s="20" t="n">
        <f aca="false">Tax_Bands!J$18*MIN(J19,Tax_Bands!J$9)+Tax_Bands!J$19*MAX(0,MIN(J19,Tax_Bands!J$10)-Tax_Bands!J$9)+Tax_Bands!J$20*MAX(0,J19-Tax_Bands!J$10)</f>
        <v>79077.2727922431</v>
      </c>
      <c r="K20" s="20" t="n">
        <f aca="false">Tax_Bands!K$18*MIN(K19,Tax_Bands!K$9)+Tax_Bands!K$19*MAX(0,MIN(K19,Tax_Bands!K$10)-Tax_Bands!K$9)+Tax_Bands!K$20*MAX(0,K19-Tax_Bands!K$10)</f>
        <v>80658.818248088</v>
      </c>
      <c r="L20" s="20" t="n">
        <f aca="false">Tax_Bands!L$18*MIN(L19,Tax_Bands!L$9)+Tax_Bands!L$19*MAX(0,MIN(L19,Tax_Bands!L$10)-Tax_Bands!L$9)+Tax_Bands!L$20*MAX(0,L19-Tax_Bands!L$10)</f>
        <v>82271.9946130498</v>
      </c>
      <c r="M20" s="20" t="n">
        <f aca="false">Tax_Bands!M$18*MIN(M19,Tax_Bands!M$9)+Tax_Bands!M$19*MAX(0,MIN(M19,Tax_Bands!M$10)-Tax_Bands!M$9)+Tax_Bands!M$20*MAX(0,M19-Tax_Bands!M$10)</f>
        <v>83917.4345053108</v>
      </c>
      <c r="N20" s="20" t="n">
        <f aca="false">Tax_Bands!N$18*MIN(N19,Tax_Bands!N$9)+Tax_Bands!N$19*MAX(0,MIN(N19,Tax_Bands!N$10)-Tax_Bands!N$9)+Tax_Bands!N$20*MAX(0,N19-Tax_Bands!N$10)</f>
        <v>85595.783195417</v>
      </c>
      <c r="O20" s="20" t="n">
        <f aca="false">Tax_Bands!O$18*MIN(O19,Tax_Bands!O$9)+Tax_Bands!O$19*MAX(0,MIN(O19,Tax_Bands!O$10)-Tax_Bands!O$9)+Tax_Bands!O$20*MAX(0,O19-Tax_Bands!O$10)</f>
        <v>87307.6988593253</v>
      </c>
      <c r="P20" s="20" t="n">
        <f aca="false">Tax_Bands!P$18*MIN(P19,Tax_Bands!P$9)+Tax_Bands!P$19*MAX(0,MIN(P19,Tax_Bands!P$10)-Tax_Bands!P$9)+Tax_Bands!P$20*MAX(0,P19-Tax_Bands!P$10)</f>
        <v>89053.8528365118</v>
      </c>
      <c r="Q20" s="20" t="n">
        <f aca="false">Tax_Bands!Q$18*MIN(Q19,Tax_Bands!Q$9)+Tax_Bands!Q$19*MAX(0,MIN(Q19,Tax_Bands!Q$10)-Tax_Bands!Q$9)+Tax_Bands!Q$20*MAX(0,Q19-Tax_Bands!Q$10)</f>
        <v>90834.929893242</v>
      </c>
      <c r="R20" s="20" t="n">
        <f aca="false">Tax_Bands!R$18*MIN(R19,Tax_Bands!R$9)+Tax_Bands!R$19*MAX(0,MIN(R19,Tax_Bands!R$10)-Tax_Bands!R$9)+Tax_Bands!R$20*MAX(0,R19-Tax_Bands!R$10)</f>
        <v>92651.6284911069</v>
      </c>
      <c r="S20" s="20" t="n">
        <f aca="false">Tax_Bands!S$18*MIN(S19,Tax_Bands!S$9)+Tax_Bands!S$19*MAX(0,MIN(S19,Tax_Bands!S$10)-Tax_Bands!S$9)+Tax_Bands!S$20*MAX(0,S19-Tax_Bands!S$10)</f>
        <v>94504.661060929</v>
      </c>
      <c r="T20" s="20" t="n">
        <f aca="false">Tax_Bands!T$18*MIN(T19,Tax_Bands!T$9)+Tax_Bands!T$19*MAX(0,MIN(T19,Tax_Bands!T$10)-Tax_Bands!T$9)+Tax_Bands!T$20*MAX(0,T19-Tax_Bands!T$10)</f>
        <v>96394.7542821476</v>
      </c>
      <c r="U20" s="20" t="n">
        <f aca="false">Tax_Bands!U$18*MIN(U19,Tax_Bands!U$9)+Tax_Bands!U$19*MAX(0,MIN(U19,Tax_Bands!U$10)-Tax_Bands!U$9)+Tax_Bands!U$20*MAX(0,U19-Tax_Bands!U$10)</f>
        <v>98322.6493677906</v>
      </c>
      <c r="V20" s="20" t="n">
        <f aca="false">Tax_Bands!V$18*MIN(V19,Tax_Bands!V$9)+Tax_Bands!V$19*MAX(0,MIN(V19,Tax_Bands!V$10)-Tax_Bands!V$9)+Tax_Bands!V$20*MAX(0,V19-Tax_Bands!V$10)</f>
        <v>100289.102355146</v>
      </c>
      <c r="W20" s="20" t="n">
        <f aca="false">Tax_Bands!W$18*MIN(W19,Tax_Bands!W$9)+Tax_Bands!W$19*MAX(0,MIN(W19,Tax_Bands!W$10)-Tax_Bands!W$9)+Tax_Bands!W$20*MAX(0,W19-Tax_Bands!W$10)</f>
        <v>102294.884402249</v>
      </c>
      <c r="X20" s="20" t="n">
        <f aca="false">Tax_Bands!X$18*MIN(X19,Tax_Bands!X$9)+Tax_Bands!X$19*MAX(0,MIN(X19,Tax_Bands!X$10)-Tax_Bands!X$9)+Tax_Bands!X$20*MAX(0,X19-Tax_Bands!X$10)</f>
        <v>104340.782090294</v>
      </c>
      <c r="Y20" s="20" t="n">
        <f aca="false">Tax_Bands!Y$18*MIN(Y19,Tax_Bands!Y$9)+Tax_Bands!Y$19*MAX(0,MIN(Y19,Tax_Bands!Y$10)-Tax_Bands!Y$9)+Tax_Bands!Y$20*MAX(0,Y19-Tax_Bands!Y$10)</f>
        <v>106427.5977321</v>
      </c>
      <c r="Z20" s="20" t="n">
        <f aca="false">Tax_Bands!Z$18*MIN(Z19,Tax_Bands!Z$9)+Tax_Bands!Z$19*MAX(0,MIN(Z19,Tax_Bands!Z$10)-Tax_Bands!Z$9)+Tax_Bands!Z$20*MAX(0,Z19-Tax_Bands!Z$10)</f>
        <v>108556.149686742</v>
      </c>
      <c r="AA20" s="20" t="n">
        <f aca="false">Tax_Bands!AA$18*MIN(AA19,Tax_Bands!AA$9)+Tax_Bands!AA$19*MAX(0,MIN(AA19,Tax_Bands!AA$10)-Tax_Bands!AA$9)+Tax_Bands!AA$20*MAX(0,AA19-Tax_Bands!AA$10)</f>
        <v>110727.272680477</v>
      </c>
      <c r="AB20" s="20" t="n">
        <f aca="false">Tax_Bands!AB$18*MIN(AB19,Tax_Bands!AB$9)+Tax_Bands!AB$19*MAX(0,MIN(AB19,Tax_Bands!AB$10)-Tax_Bands!AB$9)+Tax_Bands!AB$20*MAX(0,AB19-Tax_Bands!AB$10)</f>
        <v>112941.818134087</v>
      </c>
      <c r="AC20" s="20" t="n">
        <f aca="false">Tax_Bands!AC$18*MIN(AC19,Tax_Bands!AC$9)+Tax_Bands!AC$19*MAX(0,MIN(AC19,Tax_Bands!AC$10)-Tax_Bands!AC$9)+Tax_Bands!AC$20*MAX(0,AC19-Tax_Bands!AC$10)</f>
        <v>115200.654496768</v>
      </c>
      <c r="AD20" s="20" t="n">
        <f aca="false">Tax_Bands!AD$18*MIN(AD19,Tax_Bands!AD$9)+Tax_Bands!AD$19*MAX(0,MIN(AD19,Tax_Bands!AD$10)-Tax_Bands!AD$9)+Tax_Bands!AD$20*MAX(0,AD19-Tax_Bands!AD$10)</f>
        <v>117504.667586704</v>
      </c>
      <c r="AE20" s="20" t="n">
        <f aca="false">Tax_Bands!AE$18*MIN(AE19,Tax_Bands!AE$9)+Tax_Bands!AE$19*MAX(0,MIN(AE19,Tax_Bands!AE$10)-Tax_Bands!AE$9)+Tax_Bands!AE$20*MAX(0,AE19-Tax_Bands!AE$10)</f>
        <v>119854.760938438</v>
      </c>
      <c r="AF20" s="20" t="n">
        <f aca="false">Tax_Bands!AF$18*MIN(AF19,Tax_Bands!AF$9)+Tax_Bands!AF$19*MAX(0,MIN(AF19,Tax_Bands!AF$10)-Tax_Bands!AF$9)+Tax_Bands!AF$20*MAX(0,AF19-Tax_Bands!AF$10)</f>
        <v>122251.856157207</v>
      </c>
    </row>
    <row r="21" customFormat="false" ht="15" hidden="false" customHeight="true" outlineLevel="0" collapsed="false">
      <c r="B21" s="6" t="s">
        <v>349</v>
      </c>
      <c r="C21" s="20" t="n">
        <f aca="false">Tax_Bands!C$21*MAX(0,MIN(C8,Tax_Bands!C$12)-Tax_Bands!C$11)+Tax_Bands!C$22*MAX(0,C8-Tax_Bands!C$12)</f>
        <v>5810.6</v>
      </c>
      <c r="D21" s="20" t="n">
        <f aca="false">Tax_Bands!D$21*MAX(0,MIN(D8,Tax_Bands!D$12)-Tax_Bands!D$11)+Tax_Bands!D$22*MAX(0,D8-Tax_Bands!D$12)</f>
        <v>5962.6</v>
      </c>
      <c r="E21" s="20" t="n">
        <f aca="false">Tax_Bands!E$21*MAX(0,MIN(E8,Tax_Bands!E$12)-Tax_Bands!E$11)+Tax_Bands!E$22*MAX(0,E8-Tax_Bands!E$12)</f>
        <v>6120.68</v>
      </c>
      <c r="F21" s="20" t="n">
        <f aca="false">Tax_Bands!F$21*MAX(0,MIN(F8,Tax_Bands!F$12)-Tax_Bands!F$11)+Tax_Bands!F$22*MAX(0,F8-Tax_Bands!F$12)</f>
        <v>6202.8816</v>
      </c>
      <c r="G21" s="20" t="n">
        <f aca="false">Tax_Bands!G$21*MAX(0,MIN(G8,Tax_Bands!G$12)-Tax_Bands!G$11)+Tax_Bands!G$22*MAX(0,G8-Tax_Bands!G$12)</f>
        <v>6286.727232</v>
      </c>
      <c r="H21" s="20" t="n">
        <f aca="false">Tax_Bands!H$21*MAX(0,MIN(H8,Tax_Bands!H$12)-Tax_Bands!H$11)+Tax_Bands!H$22*MAX(0,H8-Tax_Bands!H$12)</f>
        <v>6412.46177664</v>
      </c>
      <c r="I21" s="20" t="n">
        <f aca="false">Tax_Bands!I$21*MAX(0,MIN(I8,Tax_Bands!I$12)-Tax_Bands!I$11)+Tax_Bands!I$22*MAX(0,I8-Tax_Bands!I$12)</f>
        <v>6540.7110121728</v>
      </c>
      <c r="J21" s="20" t="n">
        <f aca="false">Tax_Bands!J$21*MAX(0,MIN(J8,Tax_Bands!J$12)-Tax_Bands!J$11)+Tax_Bands!J$22*MAX(0,J8-Tax_Bands!J$12)</f>
        <v>6671.52523241626</v>
      </c>
      <c r="K21" s="20" t="n">
        <f aca="false">Tax_Bands!K$21*MAX(0,MIN(K8,Tax_Bands!K$12)-Tax_Bands!K$11)+Tax_Bands!K$22*MAX(0,K8-Tax_Bands!K$12)</f>
        <v>6804.95573706458</v>
      </c>
      <c r="L21" s="20" t="n">
        <f aca="false">Tax_Bands!L$21*MAX(0,MIN(L8,Tax_Bands!L$12)-Tax_Bands!L$11)+Tax_Bands!L$22*MAX(0,L8-Tax_Bands!L$12)</f>
        <v>6941.05485180588</v>
      </c>
      <c r="M21" s="20" t="n">
        <f aca="false">Tax_Bands!M$21*MAX(0,MIN(M8,Tax_Bands!M$12)-Tax_Bands!M$11)+Tax_Bands!M$22*MAX(0,M8-Tax_Bands!M$12)</f>
        <v>7079.87594884199</v>
      </c>
      <c r="N21" s="20" t="n">
        <f aca="false">Tax_Bands!N$21*MAX(0,MIN(N8,Tax_Bands!N$12)-Tax_Bands!N$11)+Tax_Bands!N$22*MAX(0,N8-Tax_Bands!N$12)</f>
        <v>7221.47346781883</v>
      </c>
      <c r="O21" s="20" t="n">
        <f aca="false">Tax_Bands!O$21*MAX(0,MIN(O8,Tax_Bands!O$12)-Tax_Bands!O$11)+Tax_Bands!O$22*MAX(0,O8-Tax_Bands!O$12)</f>
        <v>7365.90293717521</v>
      </c>
      <c r="P21" s="20" t="n">
        <f aca="false">Tax_Bands!P$21*MAX(0,MIN(P8,Tax_Bands!P$12)-Tax_Bands!P$11)+Tax_Bands!P$22*MAX(0,P8-Tax_Bands!P$12)</f>
        <v>7513.22099591871</v>
      </c>
      <c r="Q21" s="20" t="n">
        <f aca="false">Tax_Bands!Q$21*MAX(0,MIN(Q8,Tax_Bands!Q$12)-Tax_Bands!Q$11)+Tax_Bands!Q$22*MAX(0,Q8-Tax_Bands!Q$12)</f>
        <v>7663.48541583709</v>
      </c>
      <c r="R21" s="20" t="n">
        <f aca="false">Tax_Bands!R$21*MAX(0,MIN(R8,Tax_Bands!R$12)-Tax_Bands!R$11)+Tax_Bands!R$22*MAX(0,R8-Tax_Bands!R$12)</f>
        <v>7816.75512415383</v>
      </c>
      <c r="S21" s="20" t="n">
        <f aca="false">Tax_Bands!S$21*MAX(0,MIN(S8,Tax_Bands!S$12)-Tax_Bands!S$11)+Tax_Bands!S$22*MAX(0,S8-Tax_Bands!S$12)</f>
        <v>7973.09022663691</v>
      </c>
      <c r="T21" s="20" t="n">
        <f aca="false">Tax_Bands!T$21*MAX(0,MIN(T8,Tax_Bands!T$12)-Tax_Bands!T$11)+Tax_Bands!T$22*MAX(0,T8-Tax_Bands!T$12)</f>
        <v>8132.55203116964</v>
      </c>
      <c r="U21" s="20" t="n">
        <f aca="false">Tax_Bands!U$21*MAX(0,MIN(U8,Tax_Bands!U$12)-Tax_Bands!U$11)+Tax_Bands!U$22*MAX(0,U8-Tax_Bands!U$12)</f>
        <v>8295.20307179304</v>
      </c>
      <c r="V21" s="20" t="n">
        <f aca="false">Tax_Bands!V$21*MAX(0,MIN(V8,Tax_Bands!V$12)-Tax_Bands!V$11)+Tax_Bands!V$22*MAX(0,V8-Tax_Bands!V$12)</f>
        <v>8461.1071332289</v>
      </c>
      <c r="W21" s="20" t="n">
        <f aca="false">Tax_Bands!W$21*MAX(0,MIN(W8,Tax_Bands!W$12)-Tax_Bands!W$11)+Tax_Bands!W$22*MAX(0,W8-Tax_Bands!W$12)</f>
        <v>8630.32927589348</v>
      </c>
      <c r="X21" s="20" t="n">
        <f aca="false">Tax_Bands!X$21*MAX(0,MIN(X8,Tax_Bands!X$12)-Tax_Bands!X$11)+Tax_Bands!X$22*MAX(0,X8-Tax_Bands!X$12)</f>
        <v>8802.93586141134</v>
      </c>
      <c r="Y21" s="20" t="n">
        <f aca="false">Tax_Bands!Y$21*MAX(0,MIN(Y8,Tax_Bands!Y$12)-Tax_Bands!Y$11)+Tax_Bands!Y$22*MAX(0,Y8-Tax_Bands!Y$12)</f>
        <v>8978.99457863957</v>
      </c>
      <c r="Z21" s="20" t="n">
        <f aca="false">Tax_Bands!Z$21*MAX(0,MIN(Z8,Tax_Bands!Z$12)-Tax_Bands!Z$11)+Tax_Bands!Z$22*MAX(0,Z8-Tax_Bands!Z$12)</f>
        <v>9158.57447021236</v>
      </c>
      <c r="AA21" s="20" t="n">
        <f aca="false">Tax_Bands!AA$21*MAX(0,MIN(AA8,Tax_Bands!AA$12)-Tax_Bands!AA$11)+Tax_Bands!AA$22*MAX(0,AA8-Tax_Bands!AA$12)</f>
        <v>9341.74595961661</v>
      </c>
      <c r="AB21" s="20" t="n">
        <f aca="false">Tax_Bands!AB$21*MAX(0,MIN(AB8,Tax_Bands!AB$12)-Tax_Bands!AB$11)+Tax_Bands!AB$22*MAX(0,AB8-Tax_Bands!AB$12)</f>
        <v>9528.58087880895</v>
      </c>
      <c r="AC21" s="20" t="n">
        <f aca="false">Tax_Bands!AC$21*MAX(0,MIN(AC8,Tax_Bands!AC$12)-Tax_Bands!AC$11)+Tax_Bands!AC$22*MAX(0,AC8-Tax_Bands!AC$12)</f>
        <v>9719.15249638512</v>
      </c>
      <c r="AD21" s="20" t="n">
        <f aca="false">Tax_Bands!AD$21*MAX(0,MIN(AD8,Tax_Bands!AD$12)-Tax_Bands!AD$11)+Tax_Bands!AD$22*MAX(0,AD8-Tax_Bands!AD$12)</f>
        <v>9913.53554631283</v>
      </c>
      <c r="AE21" s="20" t="n">
        <f aca="false">Tax_Bands!AE$21*MAX(0,MIN(AE8,Tax_Bands!AE$12)-Tax_Bands!AE$11)+Tax_Bands!AE$22*MAX(0,AE8-Tax_Bands!AE$12)</f>
        <v>10111.8062572391</v>
      </c>
      <c r="AF21" s="20" t="n">
        <f aca="false">Tax_Bands!AF$21*MAX(0,MIN(AF8,Tax_Bands!AF$12)-Tax_Bands!AF$11)+Tax_Bands!AF$22*MAX(0,AF8-Tax_Bands!AF$12)</f>
        <v>10314.0423823839</v>
      </c>
    </row>
    <row r="22" customFormat="false" ht="15" hidden="false" customHeight="true" outlineLevel="0" collapsed="false">
      <c r="B22" s="16" t="s">
        <v>350</v>
      </c>
      <c r="C22" s="59" t="n">
        <f aca="false">C17-C20-C21</f>
        <v>103906.4</v>
      </c>
      <c r="D22" s="59" t="n">
        <f aca="false">D17-D20-D21</f>
        <v>107591.2</v>
      </c>
      <c r="E22" s="59" t="n">
        <f aca="false">E17-E20-E21</f>
        <v>111423.392</v>
      </c>
      <c r="F22" s="59" t="n">
        <f aca="false">F17-F20-F21</f>
        <v>113416.13184</v>
      </c>
      <c r="G22" s="59" t="n">
        <f aca="false">G17-G20-G21</f>
        <v>115448.7264768</v>
      </c>
      <c r="H22" s="59" t="n">
        <f aca="false">H17-H20-H21</f>
        <v>117757.701006336</v>
      </c>
      <c r="I22" s="59" t="n">
        <f aca="false">I17-I20-I21</f>
        <v>120112.855026463</v>
      </c>
      <c r="J22" s="59" t="n">
        <f aca="false">J17-J20-J21</f>
        <v>122515.112126992</v>
      </c>
      <c r="K22" s="59" t="n">
        <f aca="false">K17-K20-K21</f>
        <v>124965.414369532</v>
      </c>
      <c r="L22" s="59" t="n">
        <f aca="false">L17-L20-L21</f>
        <v>127464.722656922</v>
      </c>
      <c r="M22" s="59" t="n">
        <f aca="false">M17-M20-M21</f>
        <v>130014.017110061</v>
      </c>
      <c r="N22" s="59" t="n">
        <f aca="false">N17-N20-N21</f>
        <v>132614.297452262</v>
      </c>
      <c r="O22" s="59" t="n">
        <f aca="false">O17-O20-O21</f>
        <v>135266.583401307</v>
      </c>
      <c r="P22" s="59" t="n">
        <f aca="false">P17-P20-P21</f>
        <v>137971.915069334</v>
      </c>
      <c r="Q22" s="59" t="n">
        <f aca="false">Q17-Q20-Q21</f>
        <v>140731.35337072</v>
      </c>
      <c r="R22" s="59" t="n">
        <f aca="false">R17-R20-R21</f>
        <v>143545.980438135</v>
      </c>
      <c r="S22" s="59" t="n">
        <f aca="false">S17-S20-S21</f>
        <v>146416.900046897</v>
      </c>
      <c r="T22" s="59" t="n">
        <f aca="false">T17-T20-T21</f>
        <v>149345.238047835</v>
      </c>
      <c r="U22" s="59" t="n">
        <f aca="false">U17-U20-U21</f>
        <v>152332.142808792</v>
      </c>
      <c r="V22" s="59" t="n">
        <f aca="false">V17-V20-V21</f>
        <v>155378.785664968</v>
      </c>
      <c r="W22" s="59" t="n">
        <f aca="false">W17-W20-W21</f>
        <v>158486.361378267</v>
      </c>
      <c r="X22" s="59" t="n">
        <f aca="false">X17-X20-X21</f>
        <v>161656.088605832</v>
      </c>
      <c r="Y22" s="59" t="n">
        <f aca="false">Y17-Y20-Y21</f>
        <v>164889.210377949</v>
      </c>
      <c r="Z22" s="59" t="n">
        <f aca="false">Z17-Z20-Z21</f>
        <v>168186.994585508</v>
      </c>
      <c r="AA22" s="59" t="n">
        <f aca="false">AA17-AA20-AA21</f>
        <v>171550.734477218</v>
      </c>
      <c r="AB22" s="59" t="n">
        <f aca="false">AB17-AB20-AB21</f>
        <v>174981.749166763</v>
      </c>
      <c r="AC22" s="59" t="n">
        <f aca="false">AC17-AC20-AC21</f>
        <v>178481.384150098</v>
      </c>
      <c r="AD22" s="59" t="n">
        <f aca="false">AD17-AD20-AD21</f>
        <v>182051.0118331</v>
      </c>
      <c r="AE22" s="59" t="n">
        <f aca="false">AE17-AE20-AE21</f>
        <v>185692.032069762</v>
      </c>
      <c r="AF22" s="59" t="n">
        <f aca="false">AF17-AF20-AF21</f>
        <v>189405.872711157</v>
      </c>
    </row>
    <row r="23" customFormat="false" ht="15" hidden="false" customHeight="true" outlineLevel="0" collapsed="false">
      <c r="A23" s="30" t="s">
        <v>366</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row>
    <row r="24" customFormat="false" ht="15" hidden="false" customHeight="true" outlineLevel="0" collapsed="false">
      <c r="B24" s="16" t="s">
        <v>352</v>
      </c>
      <c r="C24" s="60" t="n">
        <f aca="false">Household_Base!C$38</f>
        <v>28800</v>
      </c>
      <c r="D24" s="60" t="n">
        <f aca="false">Household_Base!D$38</f>
        <v>27552</v>
      </c>
      <c r="E24" s="60" t="n">
        <f aca="false">Household_Base!E$38</f>
        <v>26254.08</v>
      </c>
      <c r="F24" s="60" t="n">
        <f aca="false">Household_Base!F$38</f>
        <v>25579.1616</v>
      </c>
      <c r="G24" s="60" t="n">
        <f aca="false">Household_Base!G$38</f>
        <v>24890.744832</v>
      </c>
      <c r="H24" s="60" t="n">
        <f aca="false">Household_Base!H$38</f>
        <v>25388.55972864</v>
      </c>
      <c r="I24" s="60" t="n">
        <f aca="false">Household_Base!I$38</f>
        <v>25896.3309232128</v>
      </c>
      <c r="J24" s="60" t="n">
        <f aca="false">Household_Base!J$38</f>
        <v>26414.257541677</v>
      </c>
      <c r="K24" s="60" t="n">
        <f aca="false">Household_Base!K$38</f>
        <v>26942.5426925106</v>
      </c>
      <c r="L24" s="60" t="n">
        <f aca="false">Household_Base!L$38</f>
        <v>27481.3935463608</v>
      </c>
      <c r="M24" s="60" t="n">
        <f aca="false">Household_Base!M$38</f>
        <v>28031.021417288</v>
      </c>
      <c r="N24" s="60" t="n">
        <f aca="false">Household_Base!N$38</f>
        <v>28591.6418456338</v>
      </c>
      <c r="O24" s="60" t="n">
        <f aca="false">Household_Base!O$38</f>
        <v>29163.4746825465</v>
      </c>
      <c r="P24" s="60" t="n">
        <f aca="false">Household_Base!P$38</f>
        <v>29746.7441761974</v>
      </c>
      <c r="Q24" s="60" t="n">
        <f aca="false">Household_Base!Q$38</f>
        <v>30341.6790597213</v>
      </c>
      <c r="R24" s="60" t="n">
        <f aca="false">Household_Base!R$38</f>
        <v>30948.5126409158</v>
      </c>
      <c r="S24" s="60" t="n">
        <f aca="false">Household_Base!S$38</f>
        <v>31567.4828937341</v>
      </c>
      <c r="T24" s="60" t="n">
        <f aca="false">Household_Base!T$38</f>
        <v>32198.8325516088</v>
      </c>
      <c r="U24" s="60" t="n">
        <f aca="false">Household_Base!U$38</f>
        <v>32842.8092026409</v>
      </c>
      <c r="V24" s="60" t="n">
        <f aca="false">Household_Base!V$38</f>
        <v>33499.6653866938</v>
      </c>
      <c r="W24" s="60" t="n">
        <f aca="false">Household_Base!W$38</f>
        <v>34169.6586944276</v>
      </c>
      <c r="X24" s="60" t="n">
        <f aca="false">Household_Base!X$38</f>
        <v>34853.0518683162</v>
      </c>
      <c r="Y24" s="60" t="n">
        <f aca="false">Household_Base!Y$38</f>
        <v>35550.1129056825</v>
      </c>
      <c r="Z24" s="60" t="n">
        <f aca="false">Household_Base!Z$38</f>
        <v>36261.1151637962</v>
      </c>
      <c r="AA24" s="60" t="n">
        <f aca="false">Household_Base!AA$38</f>
        <v>36986.3374670721</v>
      </c>
      <c r="AB24" s="60" t="n">
        <f aca="false">Household_Base!AB$38</f>
        <v>37726.0642164135</v>
      </c>
      <c r="AC24" s="60" t="n">
        <f aca="false">Household_Base!AC$38</f>
        <v>38480.5855007418</v>
      </c>
      <c r="AD24" s="60" t="n">
        <f aca="false">Household_Base!AD$38</f>
        <v>39250.1972107566</v>
      </c>
      <c r="AE24" s="60" t="n">
        <f aca="false">Household_Base!AE$38</f>
        <v>40035.2011549718</v>
      </c>
      <c r="AF24" s="60" t="n">
        <f aca="false">Household_Base!AF$38</f>
        <v>40835.9051780712</v>
      </c>
    </row>
    <row r="25" customFormat="false" ht="15" hidden="false" customHeight="true" outlineLevel="0" collapsed="false">
      <c r="B25" s="56" t="s">
        <v>353</v>
      </c>
      <c r="C25" s="20" t="n">
        <f aca="false">C17-C24</f>
        <v>145600</v>
      </c>
      <c r="D25" s="20" t="n">
        <f aca="false">D17-D24</f>
        <v>153824</v>
      </c>
      <c r="E25" s="20" t="n">
        <f aca="false">E17-E24</f>
        <v>162376.96</v>
      </c>
      <c r="F25" s="20" t="n">
        <f aca="false">F17-F24</f>
        <v>166824.4992</v>
      </c>
      <c r="G25" s="20" t="n">
        <f aca="false">G17-G24</f>
        <v>171360.989184</v>
      </c>
      <c r="H25" s="20" t="n">
        <f aca="false">H17-H24</f>
        <v>174788.20896768</v>
      </c>
      <c r="I25" s="20" t="n">
        <f aca="false">I17-I24</f>
        <v>178283.973147034</v>
      </c>
      <c r="J25" s="20" t="n">
        <f aca="false">J17-J24</f>
        <v>181849.652609974</v>
      </c>
      <c r="K25" s="20" t="n">
        <f aca="false">K17-K24</f>
        <v>185486.645662174</v>
      </c>
      <c r="L25" s="20" t="n">
        <f aca="false">L17-L24</f>
        <v>189196.378575417</v>
      </c>
      <c r="M25" s="20" t="n">
        <f aca="false">M17-M24</f>
        <v>192980.306146926</v>
      </c>
      <c r="N25" s="20" t="n">
        <f aca="false">N17-N24</f>
        <v>196839.912269864</v>
      </c>
      <c r="O25" s="20" t="n">
        <f aca="false">O17-O24</f>
        <v>200776.710515261</v>
      </c>
      <c r="P25" s="20" t="n">
        <f aca="false">P17-P24</f>
        <v>204792.244725567</v>
      </c>
      <c r="Q25" s="20" t="n">
        <f aca="false">Q17-Q24</f>
        <v>208888.089620078</v>
      </c>
      <c r="R25" s="20" t="n">
        <f aca="false">R17-R24</f>
        <v>213065.85141248</v>
      </c>
      <c r="S25" s="20" t="n">
        <f aca="false">S17-S24</f>
        <v>217327.168440729</v>
      </c>
      <c r="T25" s="20" t="n">
        <f aca="false">T17-T24</f>
        <v>221673.711809544</v>
      </c>
      <c r="U25" s="20" t="n">
        <f aca="false">U17-U24</f>
        <v>226107.186045735</v>
      </c>
      <c r="V25" s="20" t="n">
        <f aca="false">V17-V24</f>
        <v>230629.329766649</v>
      </c>
      <c r="W25" s="20" t="n">
        <f aca="false">W17-W24</f>
        <v>235241.916361982</v>
      </c>
      <c r="X25" s="20" t="n">
        <f aca="false">X17-X24</f>
        <v>239946.754689222</v>
      </c>
      <c r="Y25" s="20" t="n">
        <f aca="false">Y17-Y24</f>
        <v>244745.689783006</v>
      </c>
      <c r="Z25" s="20" t="n">
        <f aca="false">Z17-Z24</f>
        <v>249640.603578667</v>
      </c>
      <c r="AA25" s="20" t="n">
        <f aca="false">AA17-AA24</f>
        <v>254633.41565024</v>
      </c>
      <c r="AB25" s="20" t="n">
        <f aca="false">AB17-AB24</f>
        <v>259726.083963245</v>
      </c>
      <c r="AC25" s="20" t="n">
        <f aca="false">AC17-AC24</f>
        <v>264920.60564251</v>
      </c>
      <c r="AD25" s="20" t="n">
        <f aca="false">AD17-AD24</f>
        <v>270219.01775536</v>
      </c>
      <c r="AE25" s="20" t="n">
        <f aca="false">AE17-AE24</f>
        <v>275623.398110467</v>
      </c>
      <c r="AF25" s="20" t="n">
        <f aca="false">AF17-AF24</f>
        <v>281135.866072676</v>
      </c>
    </row>
    <row r="26" customFormat="false" ht="15" hidden="false" customHeight="true" outlineLevel="0" collapsed="false">
      <c r="B26" s="56" t="s">
        <v>346</v>
      </c>
      <c r="C26" s="20" t="n">
        <f aca="false">MAX(0,Tax_Bands!C$7-MAX(0,C25-Tax_Bands!C$8)/2)</f>
        <v>0</v>
      </c>
      <c r="D26" s="20" t="n">
        <f aca="false">MAX(0,Tax_Bands!D$7-MAX(0,D25-Tax_Bands!D$8)/2)</f>
        <v>0</v>
      </c>
      <c r="E26" s="20" t="n">
        <f aca="false">MAX(0,Tax_Bands!E$7-MAX(0,E25-Tax_Bands!E$8)/2)</f>
        <v>0</v>
      </c>
      <c r="F26" s="20" t="n">
        <f aca="false">MAX(0,Tax_Bands!F$7-MAX(0,F25-Tax_Bands!F$8)/2)</f>
        <v>0</v>
      </c>
      <c r="G26" s="20" t="n">
        <f aca="false">MAX(0,Tax_Bands!G$7-MAX(0,G25-Tax_Bands!G$8)/2)</f>
        <v>0</v>
      </c>
      <c r="H26" s="20" t="n">
        <f aca="false">MAX(0,Tax_Bands!H$7-MAX(0,H25-Tax_Bands!H$8)/2)</f>
        <v>0</v>
      </c>
      <c r="I26" s="20" t="n">
        <f aca="false">MAX(0,Tax_Bands!I$7-MAX(0,I25-Tax_Bands!I$8)/2)</f>
        <v>0</v>
      </c>
      <c r="J26" s="20" t="n">
        <f aca="false">MAX(0,Tax_Bands!J$7-MAX(0,J25-Tax_Bands!J$8)/2)</f>
        <v>0</v>
      </c>
      <c r="K26" s="20" t="n">
        <f aca="false">MAX(0,Tax_Bands!K$7-MAX(0,K25-Tax_Bands!K$8)/2)</f>
        <v>0</v>
      </c>
      <c r="L26" s="20" t="n">
        <f aca="false">MAX(0,Tax_Bands!L$7-MAX(0,L25-Tax_Bands!L$8)/2)</f>
        <v>0</v>
      </c>
      <c r="M26" s="20" t="n">
        <f aca="false">MAX(0,Tax_Bands!M$7-MAX(0,M25-Tax_Bands!M$8)/2)</f>
        <v>0</v>
      </c>
      <c r="N26" s="20" t="n">
        <f aca="false">MAX(0,Tax_Bands!N$7-MAX(0,N25-Tax_Bands!N$8)/2)</f>
        <v>0</v>
      </c>
      <c r="O26" s="20" t="n">
        <f aca="false">MAX(0,Tax_Bands!O$7-MAX(0,O25-Tax_Bands!O$8)/2)</f>
        <v>0</v>
      </c>
      <c r="P26" s="20" t="n">
        <f aca="false">MAX(0,Tax_Bands!P$7-MAX(0,P25-Tax_Bands!P$8)/2)</f>
        <v>0</v>
      </c>
      <c r="Q26" s="20" t="n">
        <f aca="false">MAX(0,Tax_Bands!Q$7-MAX(0,Q25-Tax_Bands!Q$8)/2)</f>
        <v>0</v>
      </c>
      <c r="R26" s="20" t="n">
        <f aca="false">MAX(0,Tax_Bands!R$7-MAX(0,R25-Tax_Bands!R$8)/2)</f>
        <v>0</v>
      </c>
      <c r="S26" s="20" t="n">
        <f aca="false">MAX(0,Tax_Bands!S$7-MAX(0,S25-Tax_Bands!S$8)/2)</f>
        <v>0</v>
      </c>
      <c r="T26" s="20" t="n">
        <f aca="false">MAX(0,Tax_Bands!T$7-MAX(0,T25-Tax_Bands!T$8)/2)</f>
        <v>0</v>
      </c>
      <c r="U26" s="20" t="n">
        <f aca="false">MAX(0,Tax_Bands!U$7-MAX(0,U25-Tax_Bands!U$8)/2)</f>
        <v>0</v>
      </c>
      <c r="V26" s="20" t="n">
        <f aca="false">MAX(0,Tax_Bands!V$7-MAX(0,V25-Tax_Bands!V$8)/2)</f>
        <v>0</v>
      </c>
      <c r="W26" s="20" t="n">
        <f aca="false">MAX(0,Tax_Bands!W$7-MAX(0,W25-Tax_Bands!W$8)/2)</f>
        <v>0</v>
      </c>
      <c r="X26" s="20" t="n">
        <f aca="false">MAX(0,Tax_Bands!X$7-MAX(0,X25-Tax_Bands!X$8)/2)</f>
        <v>0</v>
      </c>
      <c r="Y26" s="20" t="n">
        <f aca="false">MAX(0,Tax_Bands!Y$7-MAX(0,Y25-Tax_Bands!Y$8)/2)</f>
        <v>0</v>
      </c>
      <c r="Z26" s="20" t="n">
        <f aca="false">MAX(0,Tax_Bands!Z$7-MAX(0,Z25-Tax_Bands!Z$8)/2)</f>
        <v>0</v>
      </c>
      <c r="AA26" s="20" t="n">
        <f aca="false">MAX(0,Tax_Bands!AA$7-MAX(0,AA25-Tax_Bands!AA$8)/2)</f>
        <v>0</v>
      </c>
      <c r="AB26" s="20" t="n">
        <f aca="false">MAX(0,Tax_Bands!AB$7-MAX(0,AB25-Tax_Bands!AB$8)/2)</f>
        <v>0</v>
      </c>
      <c r="AC26" s="20" t="n">
        <f aca="false">MAX(0,Tax_Bands!AC$7-MAX(0,AC25-Tax_Bands!AC$8)/2)</f>
        <v>0</v>
      </c>
      <c r="AD26" s="20" t="n">
        <f aca="false">MAX(0,Tax_Bands!AD$7-MAX(0,AD25-Tax_Bands!AD$8)/2)</f>
        <v>0</v>
      </c>
      <c r="AE26" s="20" t="n">
        <f aca="false">MAX(0,Tax_Bands!AE$7-MAX(0,AE25-Tax_Bands!AE$8)/2)</f>
        <v>0</v>
      </c>
      <c r="AF26" s="20" t="n">
        <f aca="false">MAX(0,Tax_Bands!AF$7-MAX(0,AF25-Tax_Bands!AF$8)/2)</f>
        <v>0</v>
      </c>
    </row>
    <row r="27" customFormat="false" ht="15" hidden="false" customHeight="true" outlineLevel="0" collapsed="false">
      <c r="B27" s="56" t="s">
        <v>347</v>
      </c>
      <c r="C27" s="20" t="n">
        <f aca="false">MAX(0,C17-C26)</f>
        <v>174400</v>
      </c>
      <c r="D27" s="20" t="n">
        <f aca="false">MAX(0,D17-D26)</f>
        <v>181376</v>
      </c>
      <c r="E27" s="20" t="n">
        <f aca="false">MAX(0,E17-E26)</f>
        <v>188631.04</v>
      </c>
      <c r="F27" s="20" t="n">
        <f aca="false">MAX(0,F17-F26)</f>
        <v>192403.6608</v>
      </c>
      <c r="G27" s="20" t="n">
        <f aca="false">MAX(0,G17-G26)</f>
        <v>196251.734016</v>
      </c>
      <c r="H27" s="20" t="n">
        <f aca="false">MAX(0,H17-H26)</f>
        <v>200176.76869632</v>
      </c>
      <c r="I27" s="20" t="n">
        <f aca="false">MAX(0,I17-I26)</f>
        <v>204180.304070247</v>
      </c>
      <c r="J27" s="20" t="n">
        <f aca="false">MAX(0,J17-J26)</f>
        <v>208263.910151651</v>
      </c>
      <c r="K27" s="20" t="n">
        <f aca="false">MAX(0,K17-K26)</f>
        <v>212429.188354684</v>
      </c>
      <c r="L27" s="20" t="n">
        <f aca="false">MAX(0,L17-L26)</f>
        <v>216677.772121778</v>
      </c>
      <c r="M27" s="20" t="n">
        <f aca="false">MAX(0,M17-M26)</f>
        <v>221011.327564214</v>
      </c>
      <c r="N27" s="20" t="n">
        <f aca="false">MAX(0,N17-N26)</f>
        <v>225431.554115498</v>
      </c>
      <c r="O27" s="20" t="n">
        <f aca="false">MAX(0,O17-O26)</f>
        <v>229940.185197808</v>
      </c>
      <c r="P27" s="20" t="n">
        <f aca="false">MAX(0,P17-P26)</f>
        <v>234538.988901764</v>
      </c>
      <c r="Q27" s="20" t="n">
        <f aca="false">MAX(0,Q17-Q26)</f>
        <v>239229.768679799</v>
      </c>
      <c r="R27" s="20" t="n">
        <f aca="false">MAX(0,R17-R26)</f>
        <v>244014.364053395</v>
      </c>
      <c r="S27" s="20" t="n">
        <f aca="false">MAX(0,S17-S26)</f>
        <v>248894.651334463</v>
      </c>
      <c r="T27" s="20" t="n">
        <f aca="false">MAX(0,T17-T26)</f>
        <v>253872.544361153</v>
      </c>
      <c r="U27" s="20" t="n">
        <f aca="false">MAX(0,U17-U26)</f>
        <v>258949.995248376</v>
      </c>
      <c r="V27" s="20" t="n">
        <f aca="false">MAX(0,V17-V26)</f>
        <v>264128.995153343</v>
      </c>
      <c r="W27" s="20" t="n">
        <f aca="false">MAX(0,W17-W26)</f>
        <v>269411.57505641</v>
      </c>
      <c r="X27" s="20" t="n">
        <f aca="false">MAX(0,X17-X26)</f>
        <v>274799.806557538</v>
      </c>
      <c r="Y27" s="20" t="n">
        <f aca="false">MAX(0,Y17-Y26)</f>
        <v>280295.802688689</v>
      </c>
      <c r="Z27" s="20" t="n">
        <f aca="false">MAX(0,Z17-Z26)</f>
        <v>285901.718742463</v>
      </c>
      <c r="AA27" s="20" t="n">
        <f aca="false">MAX(0,AA17-AA26)</f>
        <v>291619.753117312</v>
      </c>
      <c r="AB27" s="20" t="n">
        <f aca="false">MAX(0,AB17-AB26)</f>
        <v>297452.148179658</v>
      </c>
      <c r="AC27" s="20" t="n">
        <f aca="false">MAX(0,AC17-AC26)</f>
        <v>303401.191143251</v>
      </c>
      <c r="AD27" s="20" t="n">
        <f aca="false">MAX(0,AD17-AD26)</f>
        <v>309469.214966116</v>
      </c>
      <c r="AE27" s="20" t="n">
        <f aca="false">MAX(0,AE17-AE26)</f>
        <v>315658.599265439</v>
      </c>
      <c r="AF27" s="20" t="n">
        <f aca="false">MAX(0,AF17-AF26)</f>
        <v>321971.771250748</v>
      </c>
    </row>
    <row r="28" customFormat="false" ht="15" hidden="false" customHeight="true" outlineLevel="0" collapsed="false">
      <c r="B28" s="6" t="s">
        <v>348</v>
      </c>
      <c r="C28" s="20" t="n">
        <f aca="false">Tax_Bands!C$18*MIN(C27,Tax_Bands!C$9+C24)+Tax_Bands!C$19*MAX(0,MIN(C27,Tax_Bands!C$10+C24)-(Tax_Bands!C$9+C24))+Tax_Bands!C$20*MAX(0,C27-(Tax_Bands!C$10+C24))</f>
        <v>57483</v>
      </c>
      <c r="D28" s="20" t="n">
        <f aca="false">Tax_Bands!D$18*MIN(D27,Tax_Bands!D$9+D24)+Tax_Bands!D$19*MAX(0,MIN(D27,Tax_Bands!D$10+D24)-(Tax_Bands!D$9+D24))+Tax_Bands!D$20*MAX(0,D27-(Tax_Bands!D$10+D24))</f>
        <v>60934.2</v>
      </c>
      <c r="E28" s="20" t="n">
        <f aca="false">Tax_Bands!E$18*MIN(E27,Tax_Bands!E$9+E24)+Tax_Bands!E$19*MAX(0,MIN(E27,Tax_Bands!E$10+E24)-(Tax_Bands!E$9+E24))+Tax_Bands!E$20*MAX(0,E27-(Tax_Bands!E$10+E24))</f>
        <v>64523.448</v>
      </c>
      <c r="F28" s="20" t="n">
        <f aca="false">Tax_Bands!F$18*MIN(F27,Tax_Bands!F$9+F24)+Tax_Bands!F$19*MAX(0,MIN(F27,Tax_Bands!F$10+F24)-(Tax_Bands!F$9+F24))+Tax_Bands!F$20*MAX(0,F27-(Tax_Bands!F$10+F24))</f>
        <v>66389.85696</v>
      </c>
      <c r="G28" s="20" t="n">
        <f aca="false">Tax_Bands!G$18*MIN(G27,Tax_Bands!G$9+G24)+Tax_Bands!G$19*MAX(0,MIN(G27,Tax_Bands!G$10+G24)-(Tax_Bands!G$9+G24))+Tax_Bands!G$20*MAX(0,G27-(Tax_Bands!G$10+G24))</f>
        <v>68293.5940992</v>
      </c>
      <c r="H28" s="20" t="n">
        <f aca="false">Tax_Bands!H$18*MIN(H27,Tax_Bands!H$9+H24)+Tax_Bands!H$19*MAX(0,MIN(H27,Tax_Bands!H$10+H24)-(Tax_Bands!H$9+H24))+Tax_Bands!H$20*MAX(0,H27-(Tax_Bands!H$10+H24))</f>
        <v>69659.465981184</v>
      </c>
      <c r="I28" s="20" t="n">
        <f aca="false">Tax_Bands!I$18*MIN(I27,Tax_Bands!I$9+I24)+Tax_Bands!I$19*MAX(0,MIN(I27,Tax_Bands!I$10+I24)-(Tax_Bands!I$9+I24))+Tax_Bands!I$20*MAX(0,I27-(Tax_Bands!I$10+I24))</f>
        <v>71052.6553008077</v>
      </c>
      <c r="J28" s="20" t="n">
        <f aca="false">Tax_Bands!J$18*MIN(J27,Tax_Bands!J$9+J24)+Tax_Bands!J$19*MAX(0,MIN(J27,Tax_Bands!J$10+J24)-(Tax_Bands!J$9+J24))+Tax_Bands!J$20*MAX(0,J27-(Tax_Bands!J$10+J24))</f>
        <v>72473.7084068239</v>
      </c>
      <c r="K28" s="20" t="n">
        <f aca="false">Tax_Bands!K$18*MIN(K27,Tax_Bands!K$9+K24)+Tax_Bands!K$19*MAX(0,MIN(K27,Tax_Bands!K$10+K24)-(Tax_Bands!K$9+K24))+Tax_Bands!K$20*MAX(0,K27-(Tax_Bands!K$10+K24))</f>
        <v>73923.1825749603</v>
      </c>
      <c r="L28" s="20" t="n">
        <f aca="false">Tax_Bands!L$18*MIN(L27,Tax_Bands!L$9+L24)+Tax_Bands!L$19*MAX(0,MIN(L27,Tax_Bands!L$10+L24)-(Tax_Bands!L$9+L24))+Tax_Bands!L$20*MAX(0,L27-(Tax_Bands!L$10+L24))</f>
        <v>75401.6462264596</v>
      </c>
      <c r="M28" s="20" t="n">
        <f aca="false">Tax_Bands!M$18*MIN(M27,Tax_Bands!M$9+M24)+Tax_Bands!M$19*MAX(0,MIN(M27,Tax_Bands!M$10+M24)-(Tax_Bands!M$9+M24))+Tax_Bands!M$20*MAX(0,M27-(Tax_Bands!M$10+M24))</f>
        <v>76909.6791509887</v>
      </c>
      <c r="N28" s="20" t="n">
        <f aca="false">Tax_Bands!N$18*MIN(N27,Tax_Bands!N$9+N24)+Tax_Bands!N$19*MAX(0,MIN(N27,Tax_Bands!N$10+N24)-(Tax_Bands!N$9+N24))+Tax_Bands!N$20*MAX(0,N27-(Tax_Bands!N$10+N24))</f>
        <v>78447.8727340085</v>
      </c>
      <c r="O28" s="20" t="n">
        <f aca="false">Tax_Bands!O$18*MIN(O27,Tax_Bands!O$9+O24)+Tax_Bands!O$19*MAX(0,MIN(O27,Tax_Bands!O$10+O24)-(Tax_Bands!O$9+O24))+Tax_Bands!O$20*MAX(0,O27-(Tax_Bands!O$10+O24))</f>
        <v>80016.8301886887</v>
      </c>
      <c r="P28" s="20" t="n">
        <f aca="false">Tax_Bands!P$18*MIN(P27,Tax_Bands!P$9+P24)+Tax_Bands!P$19*MAX(0,MIN(P27,Tax_Bands!P$10+P24)-(Tax_Bands!P$9+P24))+Tax_Bands!P$20*MAX(0,P27-(Tax_Bands!P$10+P24))</f>
        <v>81617.1667924625</v>
      </c>
      <c r="Q28" s="20" t="n">
        <f aca="false">Tax_Bands!Q$18*MIN(Q27,Tax_Bands!Q$9+Q24)+Tax_Bands!Q$19*MAX(0,MIN(Q27,Tax_Bands!Q$10+Q24)-(Tax_Bands!Q$9+Q24))+Tax_Bands!Q$20*MAX(0,Q27-(Tax_Bands!Q$10+Q24))</f>
        <v>83249.5101283117</v>
      </c>
      <c r="R28" s="20" t="n">
        <f aca="false">Tax_Bands!R$18*MIN(R27,Tax_Bands!R$9+R24)+Tax_Bands!R$19*MAX(0,MIN(R27,Tax_Bands!R$10+R24)-(Tax_Bands!R$9+R24))+Tax_Bands!R$20*MAX(0,R27-(Tax_Bands!R$10+R24))</f>
        <v>84914.5003308779</v>
      </c>
      <c r="S28" s="20" t="n">
        <f aca="false">Tax_Bands!S$18*MIN(S27,Tax_Bands!S$9+S24)+Tax_Bands!S$19*MAX(0,MIN(S27,Tax_Bands!S$10+S24)-(Tax_Bands!S$9+S24))+Tax_Bands!S$20*MAX(0,S27-(Tax_Bands!S$10+S24))</f>
        <v>86612.7903374955</v>
      </c>
      <c r="T28" s="20" t="n">
        <f aca="false">Tax_Bands!T$18*MIN(T27,Tax_Bands!T$9+T24)+Tax_Bands!T$19*MAX(0,MIN(T27,Tax_Bands!T$10+T24)-(Tax_Bands!T$9+T24))+Tax_Bands!T$20*MAX(0,T27-(Tax_Bands!T$10+T24))</f>
        <v>88345.0461442454</v>
      </c>
      <c r="U28" s="20" t="n">
        <f aca="false">Tax_Bands!U$18*MIN(U27,Tax_Bands!U$9+U24)+Tax_Bands!U$19*MAX(0,MIN(U27,Tax_Bands!U$10+U24)-(Tax_Bands!U$9+U24))+Tax_Bands!U$20*MAX(0,U27-(Tax_Bands!U$10+U24))</f>
        <v>90111.9470671303</v>
      </c>
      <c r="V28" s="20" t="n">
        <f aca="false">Tax_Bands!V$18*MIN(V27,Tax_Bands!V$9+V24)+Tax_Bands!V$19*MAX(0,MIN(V27,Tax_Bands!V$10+V24)-(Tax_Bands!V$9+V24))+Tax_Bands!V$20*MAX(0,V27-(Tax_Bands!V$10+V24))</f>
        <v>91914.186008473</v>
      </c>
      <c r="W28" s="20" t="n">
        <f aca="false">Tax_Bands!W$18*MIN(W27,Tax_Bands!W$9+W24)+Tax_Bands!W$19*MAX(0,MIN(W27,Tax_Bands!W$10+W24)-(Tax_Bands!W$9+W24))+Tax_Bands!W$20*MAX(0,W27-(Tax_Bands!W$10+W24))</f>
        <v>93752.4697286424</v>
      </c>
      <c r="X28" s="20" t="n">
        <f aca="false">Tax_Bands!X$18*MIN(X27,Tax_Bands!X$9+X24)+Tax_Bands!X$19*MAX(0,MIN(X27,Tax_Bands!X$10+X24)-(Tax_Bands!X$9+X24))+Tax_Bands!X$20*MAX(0,X27-(Tax_Bands!X$10+X24))</f>
        <v>95627.5191232152</v>
      </c>
      <c r="Y28" s="20" t="n">
        <f aca="false">Tax_Bands!Y$18*MIN(Y27,Tax_Bands!Y$9+Y24)+Tax_Bands!Y$19*MAX(0,MIN(Y27,Tax_Bands!Y$10+Y24)-(Tax_Bands!Y$9+Y24))+Tax_Bands!Y$20*MAX(0,Y27-(Tax_Bands!Y$10+Y24))</f>
        <v>97540.0695056795</v>
      </c>
      <c r="Z28" s="20" t="n">
        <f aca="false">Tax_Bands!Z$18*MIN(Z27,Tax_Bands!Z$9+Z24)+Tax_Bands!Z$19*MAX(0,MIN(Z27,Tax_Bands!Z$10+Z24)-(Tax_Bands!Z$9+Z24))+Tax_Bands!Z$20*MAX(0,Z27-(Tax_Bands!Z$10+Z24))</f>
        <v>99490.8708957931</v>
      </c>
      <c r="AA28" s="20" t="n">
        <f aca="false">Tax_Bands!AA$18*MIN(AA27,Tax_Bands!AA$9+AA24)+Tax_Bands!AA$19*MAX(0,MIN(AA27,Tax_Bands!AA$10+AA24)-(Tax_Bands!AA$9+AA24))+Tax_Bands!AA$20*MAX(0,AA27-(Tax_Bands!AA$10+AA24))</f>
        <v>101480.688313709</v>
      </c>
      <c r="AB28" s="20" t="n">
        <f aca="false">Tax_Bands!AB$18*MIN(AB27,Tax_Bands!AB$9+AB24)+Tax_Bands!AB$19*MAX(0,MIN(AB27,Tax_Bands!AB$10+AB24)-(Tax_Bands!AB$9+AB24))+Tax_Bands!AB$20*MAX(0,AB27-(Tax_Bands!AB$10+AB24))</f>
        <v>103510.302079983</v>
      </c>
      <c r="AC28" s="20" t="n">
        <f aca="false">Tax_Bands!AC$18*MIN(AC27,Tax_Bands!AC$9+AC24)+Tax_Bands!AC$19*MAX(0,MIN(AC27,Tax_Bands!AC$10+AC24)-(Tax_Bands!AC$9+AC24))+Tax_Bands!AC$20*MAX(0,AC27-(Tax_Bands!AC$10+AC24))</f>
        <v>105580.508121583</v>
      </c>
      <c r="AD28" s="20" t="n">
        <f aca="false">Tax_Bands!AD$18*MIN(AD27,Tax_Bands!AD$9+AD24)+Tax_Bands!AD$19*MAX(0,MIN(AD27,Tax_Bands!AD$10+AD24)-(Tax_Bands!AD$9+AD24))+Tax_Bands!AD$20*MAX(0,AD27-(Tax_Bands!AD$10+AD24))</f>
        <v>107692.118284015</v>
      </c>
      <c r="AE28" s="20" t="n">
        <f aca="false">Tax_Bands!AE$18*MIN(AE27,Tax_Bands!AE$9+AE24)+Tax_Bands!AE$19*MAX(0,MIN(AE27,Tax_Bands!AE$10+AE24)-(Tax_Bands!AE$9+AE24))+Tax_Bands!AE$20*MAX(0,AE27-(Tax_Bands!AE$10+AE24))</f>
        <v>109845.960649695</v>
      </c>
      <c r="AF28" s="20" t="n">
        <f aca="false">Tax_Bands!AF$18*MIN(AF27,Tax_Bands!AF$9+AF24)+Tax_Bands!AF$19*MAX(0,MIN(AF27,Tax_Bands!AF$10+AF24)-(Tax_Bands!AF$9+AF24))+Tax_Bands!AF$20*MAX(0,AF27-(Tax_Bands!AF$10+AF24))</f>
        <v>112042.879862689</v>
      </c>
    </row>
    <row r="29" customFormat="false" ht="15" hidden="false" customHeight="true" outlineLevel="0" collapsed="false">
      <c r="B29" s="16" t="s">
        <v>354</v>
      </c>
      <c r="C29" s="58" t="n">
        <f aca="false">C20-C28</f>
        <v>7200</v>
      </c>
      <c r="D29" s="58" t="n">
        <f aca="false">D20-D28</f>
        <v>6887.99999999999</v>
      </c>
      <c r="E29" s="58" t="n">
        <f aca="false">E20-E28</f>
        <v>6563.52</v>
      </c>
      <c r="F29" s="58" t="n">
        <f aca="false">F20-F28</f>
        <v>6394.7904</v>
      </c>
      <c r="G29" s="58" t="n">
        <f aca="false">G20-G28</f>
        <v>6222.686208</v>
      </c>
      <c r="H29" s="58" t="n">
        <f aca="false">H20-H28</f>
        <v>6347.13993216</v>
      </c>
      <c r="I29" s="58" t="n">
        <f aca="false">I20-I28</f>
        <v>6474.0827308032</v>
      </c>
      <c r="J29" s="58" t="n">
        <f aca="false">J20-J28</f>
        <v>6603.56438541928</v>
      </c>
      <c r="K29" s="58" t="n">
        <f aca="false">K20-K28</f>
        <v>6735.63567312765</v>
      </c>
      <c r="L29" s="58" t="n">
        <f aca="false">L20-L28</f>
        <v>6870.34838659019</v>
      </c>
      <c r="M29" s="58" t="n">
        <f aca="false">M20-M28</f>
        <v>7007.75535432203</v>
      </c>
      <c r="N29" s="58" t="n">
        <f aca="false">N20-N28</f>
        <v>7147.91046140845</v>
      </c>
      <c r="O29" s="58" t="n">
        <f aca="false">O20-O28</f>
        <v>7290.86867063661</v>
      </c>
      <c r="P29" s="58" t="n">
        <f aca="false">P20-P28</f>
        <v>7436.68604404935</v>
      </c>
      <c r="Q29" s="58" t="n">
        <f aca="false">Q20-Q28</f>
        <v>7585.41976493034</v>
      </c>
      <c r="R29" s="58" t="n">
        <f aca="false">R20-R28</f>
        <v>7737.12816022894</v>
      </c>
      <c r="S29" s="58" t="n">
        <f aca="false">S20-S28</f>
        <v>7891.87072343352</v>
      </c>
      <c r="T29" s="58" t="n">
        <f aca="false">T20-T28</f>
        <v>8049.70813790218</v>
      </c>
      <c r="U29" s="58" t="n">
        <f aca="false">U20-U28</f>
        <v>8210.70230066024</v>
      </c>
      <c r="V29" s="58" t="n">
        <f aca="false">V20-V28</f>
        <v>8374.91634667343</v>
      </c>
      <c r="W29" s="58" t="n">
        <f aca="false">W20-W28</f>
        <v>8542.41467360692</v>
      </c>
      <c r="X29" s="58" t="n">
        <f aca="false">X20-X28</f>
        <v>8713.26296707905</v>
      </c>
      <c r="Y29" s="58" t="n">
        <f aca="false">Y20-Y28</f>
        <v>8887.52822642063</v>
      </c>
      <c r="Z29" s="58" t="n">
        <f aca="false">Z20-Z28</f>
        <v>9065.27879094904</v>
      </c>
      <c r="AA29" s="58" t="n">
        <f aca="false">AA20-AA28</f>
        <v>9246.58436676802</v>
      </c>
      <c r="AB29" s="58" t="n">
        <f aca="false">AB20-AB28</f>
        <v>9431.51605410338</v>
      </c>
      <c r="AC29" s="58" t="n">
        <f aca="false">AC20-AC28</f>
        <v>9620.14637518546</v>
      </c>
      <c r="AD29" s="58" t="n">
        <f aca="false">AD20-AD28</f>
        <v>9812.54930268915</v>
      </c>
      <c r="AE29" s="58" t="n">
        <f aca="false">AE20-AE28</f>
        <v>10008.8002887429</v>
      </c>
      <c r="AF29" s="58" t="n">
        <f aca="false">AF20-AF28</f>
        <v>10208.9762945178</v>
      </c>
    </row>
    <row r="30" customFormat="false" ht="15" hidden="false" customHeight="true" outlineLevel="0" collapsed="false">
      <c r="B30" s="16" t="s">
        <v>355</v>
      </c>
      <c r="C30" s="59" t="n">
        <f aca="false">C8-C28-C21</f>
        <v>126706.4</v>
      </c>
      <c r="D30" s="59" t="n">
        <f aca="false">D8-D28-D21</f>
        <v>130703.2</v>
      </c>
      <c r="E30" s="59" t="n">
        <f aca="false">E8-E28-E21</f>
        <v>134859.872</v>
      </c>
      <c r="F30" s="59" t="n">
        <f aca="false">F8-F28-F21</f>
        <v>137021.34144</v>
      </c>
      <c r="G30" s="59" t="n">
        <f aca="false">G8-G28-G21</f>
        <v>139226.0402688</v>
      </c>
      <c r="H30" s="59" t="n">
        <f aca="false">H8-H28-H21</f>
        <v>142010.561074176</v>
      </c>
      <c r="I30" s="59" t="n">
        <f aca="false">I8-I28-I21</f>
        <v>144850.77229566</v>
      </c>
      <c r="J30" s="59" t="n">
        <f aca="false">J8-J28-J21</f>
        <v>147747.787741573</v>
      </c>
      <c r="K30" s="59" t="n">
        <f aca="false">K8-K28-K21</f>
        <v>150702.743496404</v>
      </c>
      <c r="L30" s="59" t="n">
        <f aca="false">L8-L28-L21</f>
        <v>153716.798366332</v>
      </c>
      <c r="M30" s="59" t="n">
        <f aca="false">M8-M28-M21</f>
        <v>156791.134333659</v>
      </c>
      <c r="N30" s="59" t="n">
        <f aca="false">N8-N28-N21</f>
        <v>159926.957020332</v>
      </c>
      <c r="O30" s="59" t="n">
        <f aca="false">O8-O28-O21</f>
        <v>163125.496160739</v>
      </c>
      <c r="P30" s="59" t="n">
        <f aca="false">P8-P28-P21</f>
        <v>166388.006083954</v>
      </c>
      <c r="Q30" s="59" t="n">
        <f aca="false">Q8-Q28-Q21</f>
        <v>169715.766205633</v>
      </c>
      <c r="R30" s="59" t="n">
        <f aca="false">R8-R28-R21</f>
        <v>173110.081529745</v>
      </c>
      <c r="S30" s="59" t="n">
        <f aca="false">S8-S28-S21</f>
        <v>176572.28316034</v>
      </c>
      <c r="T30" s="59" t="n">
        <f aca="false">T8-T28-T21</f>
        <v>180103.728823547</v>
      </c>
      <c r="U30" s="59" t="n">
        <f aca="false">U8-U28-U21</f>
        <v>183705.803400018</v>
      </c>
      <c r="V30" s="59" t="n">
        <f aca="false">V8-V28-V21</f>
        <v>187379.919468018</v>
      </c>
      <c r="W30" s="59" t="n">
        <f aca="false">W8-W28-W21</f>
        <v>191127.517857379</v>
      </c>
      <c r="X30" s="59" t="n">
        <f aca="false">X8-X28-X21</f>
        <v>194950.068214526</v>
      </c>
      <c r="Y30" s="59" t="n">
        <f aca="false">Y8-Y28-Y21</f>
        <v>198849.069578817</v>
      </c>
      <c r="Z30" s="59" t="n">
        <f aca="false">Z8-Z28-Z21</f>
        <v>202826.050970393</v>
      </c>
      <c r="AA30" s="59" t="n">
        <f aca="false">AA8-AA28-AA21</f>
        <v>206882.571989801</v>
      </c>
      <c r="AB30" s="59" t="n">
        <f aca="false">AB8-AB28-AB21</f>
        <v>211020.223429597</v>
      </c>
      <c r="AC30" s="59" t="n">
        <f aca="false">AC8-AC28-AC21</f>
        <v>215240.627898189</v>
      </c>
      <c r="AD30" s="59" t="n">
        <f aca="false">AD8-AD28-AD21</f>
        <v>219545.440456153</v>
      </c>
      <c r="AE30" s="59" t="n">
        <f aca="false">AE8-AE28-AE21</f>
        <v>223936.349265276</v>
      </c>
      <c r="AF30" s="59" t="n">
        <f aca="false">AF8-AF28-AF21</f>
        <v>228415.076250581</v>
      </c>
    </row>
    <row r="31" customFormat="false" ht="15" hidden="false" customHeight="true" outlineLevel="0" collapsed="false">
      <c r="B31" s="56" t="s">
        <v>356</v>
      </c>
      <c r="C31" s="61" t="n">
        <f aca="false">IF(C8=0,0,(C28+C21)/C8)</f>
        <v>0.333124210526316</v>
      </c>
      <c r="D31" s="61" t="n">
        <f aca="false">IF(D8=0,0,(D28+D21)/D8)</f>
        <v>0.338546558704453</v>
      </c>
      <c r="E31" s="61" t="n">
        <f aca="false">IF(E8=0,0,(E28+E21)/E8)</f>
        <v>0.343760355029586</v>
      </c>
      <c r="F31" s="61" t="n">
        <f aca="false">IF(F8=0,0,(F28+F21)/F8)</f>
        <v>0.346316137541906</v>
      </c>
      <c r="G31" s="61" t="n">
        <f aca="false">IF(G8=0,0,(G28+G21)/G8)</f>
        <v>0.348821806671631</v>
      </c>
      <c r="H31" s="61" t="n">
        <f aca="false">IF(H8=0,0,(H28+H21)/H8)</f>
        <v>0.348821806671631</v>
      </c>
      <c r="I31" s="61" t="n">
        <f aca="false">IF(I8=0,0,(I28+I21)/I8)</f>
        <v>0.348821806671631</v>
      </c>
      <c r="J31" s="61" t="n">
        <f aca="false">IF(J8=0,0,(J28+J21)/J8)</f>
        <v>0.348821806671631</v>
      </c>
      <c r="K31" s="61" t="n">
        <f aca="false">IF(K8=0,0,(K28+K21)/K8)</f>
        <v>0.348821806671631</v>
      </c>
      <c r="L31" s="61" t="n">
        <f aca="false">IF(L8=0,0,(L28+L21)/L8)</f>
        <v>0.348821806671631</v>
      </c>
      <c r="M31" s="61" t="n">
        <f aca="false">IF(M8=0,0,(M28+M21)/M8)</f>
        <v>0.348821806671631</v>
      </c>
      <c r="N31" s="61" t="n">
        <f aca="false">IF(N8=0,0,(N28+N21)/N8)</f>
        <v>0.348821806671631</v>
      </c>
      <c r="O31" s="61" t="n">
        <f aca="false">IF(O8=0,0,(O28+O21)/O8)</f>
        <v>0.348821806671631</v>
      </c>
      <c r="P31" s="61" t="n">
        <f aca="false">IF(P8=0,0,(P28+P21)/P8)</f>
        <v>0.348821806671631</v>
      </c>
      <c r="Q31" s="61" t="n">
        <f aca="false">IF(Q8=0,0,(Q28+Q21)/Q8)</f>
        <v>0.348821806671631</v>
      </c>
      <c r="R31" s="61" t="n">
        <f aca="false">IF(R8=0,0,(R28+R21)/R8)</f>
        <v>0.348821806671631</v>
      </c>
      <c r="S31" s="61" t="n">
        <f aca="false">IF(S8=0,0,(S28+S21)/S8)</f>
        <v>0.348821806671631</v>
      </c>
      <c r="T31" s="61" t="n">
        <f aca="false">IF(T8=0,0,(T28+T21)/T8)</f>
        <v>0.348821806671631</v>
      </c>
      <c r="U31" s="61" t="n">
        <f aca="false">IF(U8=0,0,(U28+U21)/U8)</f>
        <v>0.348821806671631</v>
      </c>
      <c r="V31" s="61" t="n">
        <f aca="false">IF(V8=0,0,(V28+V21)/V8)</f>
        <v>0.348821806671631</v>
      </c>
      <c r="W31" s="61" t="n">
        <f aca="false">IF(W8=0,0,(W28+W21)/W8)</f>
        <v>0.348821806671631</v>
      </c>
      <c r="X31" s="61" t="n">
        <f aca="false">IF(X8=0,0,(X28+X21)/X8)</f>
        <v>0.348821806671631</v>
      </c>
      <c r="Y31" s="61" t="n">
        <f aca="false">IF(Y8=0,0,(Y28+Y21)/Y8)</f>
        <v>0.348821806671631</v>
      </c>
      <c r="Z31" s="61" t="n">
        <f aca="false">IF(Z8=0,0,(Z28+Z21)/Z8)</f>
        <v>0.348821806671631</v>
      </c>
      <c r="AA31" s="61" t="n">
        <f aca="false">IF(AA8=0,0,(AA28+AA21)/AA8)</f>
        <v>0.348821806671631</v>
      </c>
      <c r="AB31" s="61" t="n">
        <f aca="false">IF(AB8=0,0,(AB28+AB21)/AB8)</f>
        <v>0.348821806671631</v>
      </c>
      <c r="AC31" s="61" t="n">
        <f aca="false">IF(AC8=0,0,(AC28+AC21)/AC8)</f>
        <v>0.348821806671631</v>
      </c>
      <c r="AD31" s="61" t="n">
        <f aca="false">IF(AD8=0,0,(AD28+AD21)/AD8)</f>
        <v>0.348821806671631</v>
      </c>
      <c r="AE31" s="61" t="n">
        <f aca="false">IF(AE8=0,0,(AE28+AE21)/AE8)</f>
        <v>0.348821806671631</v>
      </c>
      <c r="AF31" s="61" t="n">
        <f aca="false">IF(AF8=0,0,(AF28+AF21)/AF8)</f>
        <v>0.348821806671631</v>
      </c>
    </row>
    <row r="32" customFormat="false" ht="15" hidden="false" customHeight="true" outlineLevel="0" collapsed="false">
      <c r="A32" s="30" t="s">
        <v>367</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row>
    <row r="33" customFormat="false" ht="15" hidden="false" customHeight="true" outlineLevel="0" collapsed="false">
      <c r="B33" s="6" t="s">
        <v>358</v>
      </c>
      <c r="C33" s="20" t="n">
        <f aca="false">Assumptions!$D$26</f>
        <v>760000</v>
      </c>
      <c r="D33" s="20" t="n">
        <f aca="false">C37</f>
        <v>880800</v>
      </c>
      <c r="E33" s="20" t="n">
        <f aca="false">D37</f>
        <v>1011264</v>
      </c>
      <c r="F33" s="20" t="n">
        <f aca="false">E37</f>
        <v>1152165.12</v>
      </c>
      <c r="G33" s="20" t="n">
        <f aca="false">F37</f>
        <v>1304338.3296</v>
      </c>
      <c r="H33" s="20" t="n">
        <f aca="false">G37</f>
        <v>1468685.395968</v>
      </c>
      <c r="I33" s="20" t="n">
        <f aca="false">H37</f>
        <v>1647380.22764544</v>
      </c>
      <c r="J33" s="20" t="n">
        <f aca="false">I37</f>
        <v>1841594.64585708</v>
      </c>
      <c r="K33" s="20" t="n">
        <f aca="false">J37</f>
        <v>2047069.91358807</v>
      </c>
      <c r="L33" s="20" t="n">
        <f aca="false">K37</f>
        <v>2263499.01679359</v>
      </c>
      <c r="M33" s="20" t="n">
        <f aca="false">L37</f>
        <v>2490452.29517793</v>
      </c>
      <c r="N33" s="20" t="n">
        <f aca="false">M37</f>
        <v>2727372.79640587</v>
      </c>
      <c r="O33" s="20" t="n">
        <f aca="false">N37</f>
        <v>2973573.16823121</v>
      </c>
      <c r="P33" s="20" t="n">
        <f aca="false">O37</f>
        <v>3228234.26752168</v>
      </c>
      <c r="Q33" s="20" t="n">
        <f aca="false">P37</f>
        <v>3490405.6434228</v>
      </c>
      <c r="R33" s="20" t="n">
        <f aca="false">Q37</f>
        <v>3759008.02465416</v>
      </c>
      <c r="S33" s="20" t="n">
        <f aca="false">R37</f>
        <v>4032837.90846451</v>
      </c>
      <c r="T33" s="20" t="n">
        <f aca="false">S37</f>
        <v>4310574.31156149</v>
      </c>
      <c r="U33" s="20" t="n">
        <f aca="false">T37</f>
        <v>4590787.70203211</v>
      </c>
      <c r="V33" s="20" t="n">
        <f aca="false">U37</f>
        <v>4871951.08670529</v>
      </c>
      <c r="W33" s="20" t="n">
        <f aca="false">V37</f>
        <v>5152453.18155966</v>
      </c>
      <c r="X33" s="20" t="n">
        <f aca="false">W37</f>
        <v>5430613.54476436</v>
      </c>
      <c r="Y33" s="20" t="n">
        <f aca="false">X37</f>
        <v>5704699.50398266</v>
      </c>
      <c r="Z33" s="20" t="n">
        <f aca="false">Y37</f>
        <v>5972944.66296468</v>
      </c>
      <c r="AA33" s="20" t="n">
        <f aca="false">Z37</f>
        <v>6233568.72854233</v>
      </c>
      <c r="AB33" s="20" t="n">
        <f aca="false">AA37</f>
        <v>6484798.35924313</v>
      </c>
      <c r="AC33" s="20" t="n">
        <f aca="false">AB37</f>
        <v>6724888.7021396</v>
      </c>
      <c r="AD33" s="20" t="n">
        <f aca="false">AC37</f>
        <v>6952145.25642894</v>
      </c>
      <c r="AE33" s="20" t="n">
        <f aca="false">AD37</f>
        <v>7185802.117409</v>
      </c>
      <c r="AF33" s="20" t="n">
        <f aca="false">AE37</f>
        <v>7426024.39472569</v>
      </c>
    </row>
    <row r="34" customFormat="false" ht="15" hidden="false" customHeight="true" outlineLevel="0" collapsed="false">
      <c r="B34" s="56" t="s">
        <v>359</v>
      </c>
      <c r="C34" s="20" t="n">
        <f aca="false">C12</f>
        <v>31200</v>
      </c>
      <c r="D34" s="20" t="n">
        <f aca="false">D12</f>
        <v>32448</v>
      </c>
      <c r="E34" s="20" t="n">
        <f aca="false">E12</f>
        <v>33745.92</v>
      </c>
      <c r="F34" s="20" t="n">
        <f aca="false">F12</f>
        <v>34420.8384</v>
      </c>
      <c r="G34" s="20" t="n">
        <f aca="false">G12</f>
        <v>35109.255168</v>
      </c>
      <c r="H34" s="20" t="n">
        <f aca="false">H12</f>
        <v>35811.44027136</v>
      </c>
      <c r="I34" s="20" t="n">
        <f aca="false">I12</f>
        <v>36527.6690767872</v>
      </c>
      <c r="J34" s="20" t="n">
        <f aca="false">J12</f>
        <v>37258.222458323</v>
      </c>
      <c r="K34" s="20" t="n">
        <f aca="false">K12</f>
        <v>38003.3869074894</v>
      </c>
      <c r="L34" s="20" t="n">
        <f aca="false">L12</f>
        <v>38763.4546456392</v>
      </c>
      <c r="M34" s="20" t="n">
        <f aca="false">M12</f>
        <v>39538.723738552</v>
      </c>
      <c r="N34" s="20" t="n">
        <f aca="false">N12</f>
        <v>40329.498213323</v>
      </c>
      <c r="O34" s="20" t="n">
        <f aca="false">O12</f>
        <v>41136.0881775895</v>
      </c>
      <c r="P34" s="20" t="n">
        <f aca="false">P12</f>
        <v>41958.8099411413</v>
      </c>
      <c r="Q34" s="20" t="n">
        <f aca="false">Q12</f>
        <v>42797.9861399641</v>
      </c>
      <c r="R34" s="20" t="n">
        <f aca="false">R12</f>
        <v>43653.9458627634</v>
      </c>
      <c r="S34" s="20" t="n">
        <f aca="false">S12</f>
        <v>44527.0247800187</v>
      </c>
      <c r="T34" s="20" t="n">
        <f aca="false">T12</f>
        <v>45417.565275619</v>
      </c>
      <c r="U34" s="20" t="n">
        <f aca="false">U12</f>
        <v>46325.9165811314</v>
      </c>
      <c r="V34" s="20" t="n">
        <f aca="false">V12</f>
        <v>47252.434912754</v>
      </c>
      <c r="W34" s="20" t="n">
        <f aca="false">W12</f>
        <v>48197.4836110091</v>
      </c>
      <c r="X34" s="20" t="n">
        <f aca="false">X12</f>
        <v>49161.4332832293</v>
      </c>
      <c r="Y34" s="20" t="n">
        <f aca="false">Y12</f>
        <v>50144.6619488939</v>
      </c>
      <c r="Z34" s="20" t="n">
        <f aca="false">Z12</f>
        <v>51147.5551878718</v>
      </c>
      <c r="AA34" s="20" t="n">
        <f aca="false">AA12</f>
        <v>52170.5062916292</v>
      </c>
      <c r="AB34" s="20" t="n">
        <f aca="false">AB12</f>
        <v>53213.9164174618</v>
      </c>
      <c r="AC34" s="20" t="n">
        <f aca="false">AC12</f>
        <v>54278.194745811</v>
      </c>
      <c r="AD34" s="20" t="n">
        <f aca="false">AD12</f>
        <v>55363.7586407273</v>
      </c>
      <c r="AE34" s="20" t="n">
        <f aca="false">AE12</f>
        <v>56471.0338135418</v>
      </c>
      <c r="AF34" s="20" t="n">
        <f aca="false">AF12</f>
        <v>57600.4544898126</v>
      </c>
    </row>
    <row r="35" customFormat="false" ht="15" hidden="false" customHeight="true" outlineLevel="0" collapsed="false">
      <c r="B35" s="56" t="s">
        <v>360</v>
      </c>
      <c r="C35" s="20" t="n">
        <f aca="false">C24</f>
        <v>28800</v>
      </c>
      <c r="D35" s="20" t="n">
        <f aca="false">D24</f>
        <v>27552</v>
      </c>
      <c r="E35" s="20" t="n">
        <f aca="false">E24</f>
        <v>26254.08</v>
      </c>
      <c r="F35" s="20" t="n">
        <f aca="false">F24</f>
        <v>25579.1616</v>
      </c>
      <c r="G35" s="20" t="n">
        <f aca="false">G24</f>
        <v>24890.744832</v>
      </c>
      <c r="H35" s="20" t="n">
        <f aca="false">H24</f>
        <v>25388.55972864</v>
      </c>
      <c r="I35" s="20" t="n">
        <f aca="false">I24</f>
        <v>25896.3309232128</v>
      </c>
      <c r="J35" s="20" t="n">
        <f aca="false">J24</f>
        <v>26414.257541677</v>
      </c>
      <c r="K35" s="20" t="n">
        <f aca="false">K24</f>
        <v>26942.5426925106</v>
      </c>
      <c r="L35" s="20" t="n">
        <f aca="false">L24</f>
        <v>27481.3935463608</v>
      </c>
      <c r="M35" s="20" t="n">
        <f aca="false">M24</f>
        <v>28031.021417288</v>
      </c>
      <c r="N35" s="20" t="n">
        <f aca="false">N24</f>
        <v>28591.6418456338</v>
      </c>
      <c r="O35" s="20" t="n">
        <f aca="false">O24</f>
        <v>29163.4746825465</v>
      </c>
      <c r="P35" s="20" t="n">
        <f aca="false">P24</f>
        <v>29746.7441761974</v>
      </c>
      <c r="Q35" s="20" t="n">
        <f aca="false">Q24</f>
        <v>30341.6790597213</v>
      </c>
      <c r="R35" s="20" t="n">
        <f aca="false">R24</f>
        <v>30948.5126409158</v>
      </c>
      <c r="S35" s="20" t="n">
        <f aca="false">S24</f>
        <v>31567.4828937341</v>
      </c>
      <c r="T35" s="20" t="n">
        <f aca="false">T24</f>
        <v>32198.8325516088</v>
      </c>
      <c r="U35" s="20" t="n">
        <f aca="false">U24</f>
        <v>32842.8092026409</v>
      </c>
      <c r="V35" s="20" t="n">
        <f aca="false">V24</f>
        <v>33499.6653866938</v>
      </c>
      <c r="W35" s="20" t="n">
        <f aca="false">W24</f>
        <v>34169.6586944276</v>
      </c>
      <c r="X35" s="20" t="n">
        <f aca="false">X24</f>
        <v>34853.0518683162</v>
      </c>
      <c r="Y35" s="20" t="n">
        <f aca="false">Y24</f>
        <v>35550.1129056825</v>
      </c>
      <c r="Z35" s="20" t="n">
        <f aca="false">Z24</f>
        <v>36261.1151637962</v>
      </c>
      <c r="AA35" s="20" t="n">
        <f aca="false">AA24</f>
        <v>36986.3374670721</v>
      </c>
      <c r="AB35" s="20" t="n">
        <f aca="false">AB24</f>
        <v>37726.0642164135</v>
      </c>
      <c r="AC35" s="20" t="n">
        <f aca="false">AC24</f>
        <v>38480.5855007418</v>
      </c>
      <c r="AD35" s="20" t="n">
        <f aca="false">AD24</f>
        <v>39250.1972107566</v>
      </c>
      <c r="AE35" s="20" t="n">
        <f aca="false">AE24</f>
        <v>40035.2011549718</v>
      </c>
      <c r="AF35" s="20" t="n">
        <f aca="false">AF24</f>
        <v>40835.9051780712</v>
      </c>
    </row>
    <row r="36" customFormat="false" ht="15" hidden="false" customHeight="true" outlineLevel="0" collapsed="false">
      <c r="B36" s="56" t="s">
        <v>361</v>
      </c>
      <c r="C36" s="20" t="n">
        <f aca="false">C33*Returns!C$10</f>
        <v>60800</v>
      </c>
      <c r="D36" s="20" t="n">
        <f aca="false">D33*Returns!D$10</f>
        <v>70464</v>
      </c>
      <c r="E36" s="20" t="n">
        <f aca="false">E33*Returns!E$10</f>
        <v>80901.12</v>
      </c>
      <c r="F36" s="20" t="n">
        <f aca="false">F33*Returns!F$10</f>
        <v>92173.2096</v>
      </c>
      <c r="G36" s="20" t="n">
        <f aca="false">G33*Returns!G$10</f>
        <v>104347.066368</v>
      </c>
      <c r="H36" s="20" t="n">
        <f aca="false">H33*Returns!H$10</f>
        <v>117494.83167744</v>
      </c>
      <c r="I36" s="20" t="n">
        <f aca="false">I33*Returns!I$10</f>
        <v>131790.418211635</v>
      </c>
      <c r="J36" s="20" t="n">
        <f aca="false">J33*Returns!J$10</f>
        <v>141802.787730995</v>
      </c>
      <c r="K36" s="20" t="n">
        <f aca="false">K33*Returns!K$10</f>
        <v>151483.173605517</v>
      </c>
      <c r="L36" s="20" t="n">
        <f aca="false">L33*Returns!L$10</f>
        <v>160708.430192345</v>
      </c>
      <c r="M36" s="20" t="n">
        <f aca="false">M33*Returns!M$10</f>
        <v>169350.756072099</v>
      </c>
      <c r="N36" s="20" t="n">
        <f aca="false">N33*Returns!N$10</f>
        <v>177279.231766382</v>
      </c>
      <c r="O36" s="20" t="n">
        <f aca="false">O33*Returns!O$10</f>
        <v>184361.536430335</v>
      </c>
      <c r="P36" s="20" t="n">
        <f aca="false">P33*Returns!P$10</f>
        <v>190465.821783779</v>
      </c>
      <c r="Q36" s="20" t="n">
        <f aca="false">Q33*Returns!Q$10</f>
        <v>195462.716031677</v>
      </c>
      <c r="R36" s="20" t="n">
        <f aca="false">R33*Returns!R$10</f>
        <v>199227.425306671</v>
      </c>
      <c r="S36" s="20" t="n">
        <f aca="false">S33*Returns!S$10</f>
        <v>201641.895423226</v>
      </c>
      <c r="T36" s="20" t="n">
        <f aca="false">T33*Returns!T$10</f>
        <v>202596.99264339</v>
      </c>
      <c r="U36" s="20" t="n">
        <f aca="false">U33*Returns!U$10</f>
        <v>201994.658889413</v>
      </c>
      <c r="V36" s="20" t="n">
        <f aca="false">V33*Returns!V$10</f>
        <v>199749.994554917</v>
      </c>
      <c r="W36" s="20" t="n">
        <f aca="false">W33*Returns!W$10</f>
        <v>195793.220899267</v>
      </c>
      <c r="X36" s="20" t="n">
        <f aca="false">X33*Returns!X$10</f>
        <v>190071.474066753</v>
      </c>
      <c r="Y36" s="20" t="n">
        <f aca="false">Y33*Returns!Y$10</f>
        <v>182550.384127445</v>
      </c>
      <c r="Z36" s="20" t="n">
        <f aca="false">Z33*Returns!Z$10</f>
        <v>173215.395225976</v>
      </c>
      <c r="AA36" s="20" t="n">
        <f aca="false">AA33*Returns!AA$10</f>
        <v>162072.7869421</v>
      </c>
      <c r="AB36" s="20" t="n">
        <f aca="false">AB33*Returns!AB$10</f>
        <v>149150.362262592</v>
      </c>
      <c r="AC36" s="20" t="n">
        <f aca="false">AC33*Returns!AC$10</f>
        <v>134497.774042792</v>
      </c>
      <c r="AD36" s="20" t="n">
        <f aca="false">AD33*Returns!AD$10</f>
        <v>139042.905128579</v>
      </c>
      <c r="AE36" s="20" t="n">
        <f aca="false">AE33*Returns!AE$10</f>
        <v>143716.04234818</v>
      </c>
      <c r="AF36" s="20" t="n">
        <f aca="false">AF33*Returns!AF$10</f>
        <v>148520.487894514</v>
      </c>
    </row>
    <row r="37" customFormat="false" ht="15" hidden="false" customHeight="true" outlineLevel="0" collapsed="false">
      <c r="B37" s="16" t="s">
        <v>362</v>
      </c>
      <c r="C37" s="59" t="n">
        <f aca="false">C33+C34+C35+C36</f>
        <v>880800</v>
      </c>
      <c r="D37" s="59" t="n">
        <f aca="false">D33+D34+D35+D36</f>
        <v>1011264</v>
      </c>
      <c r="E37" s="59" t="n">
        <f aca="false">E33+E34+E35+E36</f>
        <v>1152165.12</v>
      </c>
      <c r="F37" s="59" t="n">
        <f aca="false">F33+F34+F35+F36</f>
        <v>1304338.3296</v>
      </c>
      <c r="G37" s="59" t="n">
        <f aca="false">G33+G34+G35+G36</f>
        <v>1468685.395968</v>
      </c>
      <c r="H37" s="59" t="n">
        <f aca="false">H33+H34+H35+H36</f>
        <v>1647380.22764544</v>
      </c>
      <c r="I37" s="59" t="n">
        <f aca="false">I33+I34+I35+I36</f>
        <v>1841594.64585708</v>
      </c>
      <c r="J37" s="59" t="n">
        <f aca="false">J33+J34+J35+J36</f>
        <v>2047069.91358807</v>
      </c>
      <c r="K37" s="59" t="n">
        <f aca="false">K33+K34+K35+K36</f>
        <v>2263499.01679359</v>
      </c>
      <c r="L37" s="59" t="n">
        <f aca="false">L33+L34+L35+L36</f>
        <v>2490452.29517793</v>
      </c>
      <c r="M37" s="59" t="n">
        <f aca="false">M33+M34+M35+M36</f>
        <v>2727372.79640587</v>
      </c>
      <c r="N37" s="59" t="n">
        <f aca="false">N33+N34+N35+N36</f>
        <v>2973573.16823121</v>
      </c>
      <c r="O37" s="59" t="n">
        <f aca="false">O33+O34+O35+O36</f>
        <v>3228234.26752168</v>
      </c>
      <c r="P37" s="59" t="n">
        <f aca="false">P33+P34+P35+P36</f>
        <v>3490405.6434228</v>
      </c>
      <c r="Q37" s="59" t="n">
        <f aca="false">Q33+Q34+Q35+Q36</f>
        <v>3759008.02465416</v>
      </c>
      <c r="R37" s="59" t="n">
        <f aca="false">R33+R34+R35+R36</f>
        <v>4032837.90846451</v>
      </c>
      <c r="S37" s="59" t="n">
        <f aca="false">S33+S34+S35+S36</f>
        <v>4310574.31156149</v>
      </c>
      <c r="T37" s="59" t="n">
        <f aca="false">T33+T34+T35+T36</f>
        <v>4590787.70203211</v>
      </c>
      <c r="U37" s="59" t="n">
        <f aca="false">U33+U34+U35+U36</f>
        <v>4871951.08670529</v>
      </c>
      <c r="V37" s="59" t="n">
        <f aca="false">V33+V34+V35+V36</f>
        <v>5152453.18155966</v>
      </c>
      <c r="W37" s="59" t="n">
        <f aca="false">W33+W34+W35+W36</f>
        <v>5430613.54476436</v>
      </c>
      <c r="X37" s="59" t="n">
        <f aca="false">X33+X34+X35+X36</f>
        <v>5704699.50398266</v>
      </c>
      <c r="Y37" s="59" t="n">
        <f aca="false">Y33+Y34+Y35+Y36</f>
        <v>5972944.66296468</v>
      </c>
      <c r="Z37" s="59" t="n">
        <f aca="false">Z33+Z34+Z35+Z36</f>
        <v>6233568.72854233</v>
      </c>
      <c r="AA37" s="59" t="n">
        <f aca="false">AA33+AA34+AA35+AA36</f>
        <v>6484798.35924313</v>
      </c>
      <c r="AB37" s="59" t="n">
        <f aca="false">AB33+AB34+AB35+AB36</f>
        <v>6724888.7021396</v>
      </c>
      <c r="AC37" s="59" t="n">
        <f aca="false">AC33+AC34+AC35+AC36</f>
        <v>6952145.25642894</v>
      </c>
      <c r="AD37" s="59" t="n">
        <f aca="false">AD33+AD34+AD35+AD36</f>
        <v>7185802.117409</v>
      </c>
      <c r="AE37" s="59" t="n">
        <f aca="false">AE33+AE34+AE35+AE36</f>
        <v>7426024.39472569</v>
      </c>
      <c r="AF37" s="59" t="n">
        <f aca="false">AF33+AF34+AF35+AF36</f>
        <v>7672981.24228809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368</v>
      </c>
    </row>
    <row r="2" customFormat="false" ht="15" hidden="false" customHeight="true" outlineLevel="0" collapsed="false">
      <c r="A2" s="29" t="s">
        <v>369</v>
      </c>
    </row>
    <row r="4" customFormat="false" ht="15" hidden="false" customHeight="true" outlineLevel="0" collapsed="false">
      <c r="A4" s="30" t="s">
        <v>370</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156</v>
      </c>
      <c r="C6" s="50" t="n">
        <f aca="false">Assumptions!C$15</f>
        <v>6</v>
      </c>
      <c r="D6" s="50" t="n">
        <f aca="false">Assumptions!D$15</f>
        <v>7</v>
      </c>
      <c r="E6" s="50" t="n">
        <f aca="false">Assumptions!E$15</f>
        <v>8</v>
      </c>
      <c r="F6" s="50" t="n">
        <f aca="false">Assumptions!F$15</f>
        <v>9</v>
      </c>
      <c r="G6" s="50" t="n">
        <f aca="false">Assumptions!G$15</f>
        <v>10</v>
      </c>
      <c r="H6" s="50" t="n">
        <f aca="false">Assumptions!H$15</f>
        <v>11</v>
      </c>
      <c r="I6" s="50" t="n">
        <f aca="false">Assumptions!I$15</f>
        <v>12</v>
      </c>
      <c r="J6" s="50" t="n">
        <f aca="false">Assumptions!J$15</f>
        <v>13</v>
      </c>
      <c r="K6" s="50" t="n">
        <f aca="false">Assumptions!K$15</f>
        <v>14</v>
      </c>
      <c r="L6" s="50" t="n">
        <f aca="false">Assumptions!L$15</f>
        <v>15</v>
      </c>
      <c r="M6" s="50" t="n">
        <f aca="false">Assumptions!M$15</f>
        <v>16</v>
      </c>
      <c r="N6" s="50" t="n">
        <f aca="false">Assumptions!N$15</f>
        <v>17</v>
      </c>
      <c r="O6" s="50" t="n">
        <f aca="false">Assumptions!O$15</f>
        <v>18</v>
      </c>
      <c r="P6" s="50" t="n">
        <f aca="false">Assumptions!P$15</f>
        <v>19</v>
      </c>
      <c r="Q6" s="50" t="n">
        <f aca="false">Assumptions!Q$15</f>
        <v>20</v>
      </c>
      <c r="R6" s="50" t="n">
        <f aca="false">Assumptions!R$15</f>
        <v>21</v>
      </c>
      <c r="S6" s="50" t="n">
        <f aca="false">Assumptions!S$15</f>
        <v>22</v>
      </c>
      <c r="T6" s="50" t="n">
        <f aca="false">Assumptions!T$15</f>
        <v>23</v>
      </c>
      <c r="U6" s="50" t="n">
        <f aca="false">Assumptions!U$15</f>
        <v>24</v>
      </c>
      <c r="V6" s="50" t="n">
        <f aca="false">Assumptions!V$15</f>
        <v>25</v>
      </c>
      <c r="W6" s="50" t="n">
        <f aca="false">Assumptions!W$15</f>
        <v>26</v>
      </c>
      <c r="X6" s="50" t="n">
        <f aca="false">Assumptions!X$15</f>
        <v>27</v>
      </c>
      <c r="Y6" s="50" t="n">
        <f aca="false">Assumptions!Y$15</f>
        <v>28</v>
      </c>
      <c r="Z6" s="50" t="n">
        <f aca="false">Assumptions!Z$15</f>
        <v>29</v>
      </c>
      <c r="AA6" s="50" t="n">
        <f aca="false">Assumptions!AA$15</f>
        <v>30</v>
      </c>
      <c r="AB6" s="50" t="n">
        <f aca="false">Assumptions!AB$15</f>
        <v>31</v>
      </c>
      <c r="AC6" s="50" t="n">
        <f aca="false">Assumptions!AC$15</f>
        <v>32</v>
      </c>
      <c r="AD6" s="50" t="n">
        <f aca="false">Assumptions!AD$15</f>
        <v>33</v>
      </c>
      <c r="AE6" s="50" t="n">
        <f aca="false">Assumptions!AE$15</f>
        <v>34</v>
      </c>
      <c r="AF6" s="50" t="n">
        <f aca="false">Assumptions!AF$15</f>
        <v>35</v>
      </c>
    </row>
    <row r="7" customFormat="false" ht="15" hidden="false" customHeight="true" outlineLevel="0" collapsed="false">
      <c r="B7" s="6" t="s">
        <v>157</v>
      </c>
      <c r="C7" s="50" t="n">
        <f aca="false">Assumptions!C$16</f>
        <v>3</v>
      </c>
      <c r="D7" s="50" t="n">
        <f aca="false">Assumptions!D$16</f>
        <v>4</v>
      </c>
      <c r="E7" s="50" t="n">
        <f aca="false">Assumptions!E$16</f>
        <v>5</v>
      </c>
      <c r="F7" s="50" t="n">
        <f aca="false">Assumptions!F$16</f>
        <v>6</v>
      </c>
      <c r="G7" s="50" t="n">
        <f aca="false">Assumptions!G$16</f>
        <v>7</v>
      </c>
      <c r="H7" s="50" t="n">
        <f aca="false">Assumptions!H$16</f>
        <v>8</v>
      </c>
      <c r="I7" s="50" t="n">
        <f aca="false">Assumptions!I$16</f>
        <v>9</v>
      </c>
      <c r="J7" s="50" t="n">
        <f aca="false">Assumptions!J$16</f>
        <v>10</v>
      </c>
      <c r="K7" s="50" t="n">
        <f aca="false">Assumptions!K$16</f>
        <v>11</v>
      </c>
      <c r="L7" s="50" t="n">
        <f aca="false">Assumptions!L$16</f>
        <v>12</v>
      </c>
      <c r="M7" s="50" t="n">
        <f aca="false">Assumptions!M$16</f>
        <v>13</v>
      </c>
      <c r="N7" s="50" t="n">
        <f aca="false">Assumptions!N$16</f>
        <v>14</v>
      </c>
      <c r="O7" s="50" t="n">
        <f aca="false">Assumptions!O$16</f>
        <v>15</v>
      </c>
      <c r="P7" s="50" t="n">
        <f aca="false">Assumptions!P$16</f>
        <v>16</v>
      </c>
      <c r="Q7" s="50" t="n">
        <f aca="false">Assumptions!Q$16</f>
        <v>17</v>
      </c>
      <c r="R7" s="50" t="n">
        <f aca="false">Assumptions!R$16</f>
        <v>18</v>
      </c>
      <c r="S7" s="50" t="n">
        <f aca="false">Assumptions!S$16</f>
        <v>19</v>
      </c>
      <c r="T7" s="50" t="n">
        <f aca="false">Assumptions!T$16</f>
        <v>20</v>
      </c>
      <c r="U7" s="50" t="n">
        <f aca="false">Assumptions!U$16</f>
        <v>21</v>
      </c>
      <c r="V7" s="50" t="n">
        <f aca="false">Assumptions!V$16</f>
        <v>22</v>
      </c>
      <c r="W7" s="50" t="n">
        <f aca="false">Assumptions!W$16</f>
        <v>23</v>
      </c>
      <c r="X7" s="50" t="n">
        <f aca="false">Assumptions!X$16</f>
        <v>24</v>
      </c>
      <c r="Y7" s="50" t="n">
        <f aca="false">Assumptions!Y$16</f>
        <v>25</v>
      </c>
      <c r="Z7" s="50" t="n">
        <f aca="false">Assumptions!Z$16</f>
        <v>26</v>
      </c>
      <c r="AA7" s="50" t="n">
        <f aca="false">Assumptions!AA$16</f>
        <v>27</v>
      </c>
      <c r="AB7" s="50" t="n">
        <f aca="false">Assumptions!AB$16</f>
        <v>28</v>
      </c>
      <c r="AC7" s="50" t="n">
        <f aca="false">Assumptions!AC$16</f>
        <v>29</v>
      </c>
      <c r="AD7" s="50" t="n">
        <f aca="false">Assumptions!AD$16</f>
        <v>30</v>
      </c>
      <c r="AE7" s="50" t="n">
        <f aca="false">Assumptions!AE$16</f>
        <v>31</v>
      </c>
      <c r="AF7" s="50" t="n">
        <f aca="false">Assumptions!AF$16</f>
        <v>32</v>
      </c>
    </row>
    <row r="8" customFormat="false" ht="15" hidden="false" customHeight="true" outlineLevel="0" collapsed="false">
      <c r="B8" s="6" t="s">
        <v>371</v>
      </c>
      <c r="C8" s="50" t="str">
        <f aca="false">Assumptions!C$17</f>
        <v/>
      </c>
      <c r="D8" s="50" t="n">
        <f aca="false">Assumptions!D$17</f>
        <v>0</v>
      </c>
      <c r="E8" s="50" t="n">
        <f aca="false">Assumptions!E$17</f>
        <v>1</v>
      </c>
      <c r="F8" s="50" t="n">
        <f aca="false">Assumptions!F$17</f>
        <v>2</v>
      </c>
      <c r="G8" s="50" t="n">
        <f aca="false">Assumptions!G$17</f>
        <v>3</v>
      </c>
      <c r="H8" s="50" t="n">
        <f aca="false">Assumptions!H$17</f>
        <v>4</v>
      </c>
      <c r="I8" s="50" t="n">
        <f aca="false">Assumptions!I$17</f>
        <v>5</v>
      </c>
      <c r="J8" s="50" t="n">
        <f aca="false">Assumptions!J$17</f>
        <v>6</v>
      </c>
      <c r="K8" s="50" t="n">
        <f aca="false">Assumptions!K$17</f>
        <v>7</v>
      </c>
      <c r="L8" s="50" t="n">
        <f aca="false">Assumptions!L$17</f>
        <v>8</v>
      </c>
      <c r="M8" s="50" t="n">
        <f aca="false">Assumptions!M$17</f>
        <v>9</v>
      </c>
      <c r="N8" s="50" t="n">
        <f aca="false">Assumptions!N$17</f>
        <v>10</v>
      </c>
      <c r="O8" s="50" t="n">
        <f aca="false">Assumptions!O$17</f>
        <v>11</v>
      </c>
      <c r="P8" s="50" t="n">
        <f aca="false">Assumptions!P$17</f>
        <v>12</v>
      </c>
      <c r="Q8" s="50" t="n">
        <f aca="false">Assumptions!Q$17</f>
        <v>13</v>
      </c>
      <c r="R8" s="50" t="n">
        <f aca="false">Assumptions!R$17</f>
        <v>14</v>
      </c>
      <c r="S8" s="50" t="n">
        <f aca="false">Assumptions!S$17</f>
        <v>15</v>
      </c>
      <c r="T8" s="50" t="n">
        <f aca="false">Assumptions!T$17</f>
        <v>16</v>
      </c>
      <c r="U8" s="50" t="n">
        <f aca="false">Assumptions!U$17</f>
        <v>17</v>
      </c>
      <c r="V8" s="50" t="n">
        <f aca="false">Assumptions!V$17</f>
        <v>18</v>
      </c>
      <c r="W8" s="50" t="n">
        <f aca="false">Assumptions!W$17</f>
        <v>19</v>
      </c>
      <c r="X8" s="50" t="n">
        <f aca="false">Assumptions!X$17</f>
        <v>20</v>
      </c>
      <c r="Y8" s="50" t="n">
        <f aca="false">Assumptions!Y$17</f>
        <v>21</v>
      </c>
      <c r="Z8" s="50" t="n">
        <f aca="false">Assumptions!Z$17</f>
        <v>22</v>
      </c>
      <c r="AA8" s="50" t="n">
        <f aca="false">Assumptions!AA$17</f>
        <v>23</v>
      </c>
      <c r="AB8" s="50" t="n">
        <f aca="false">Assumptions!AB$17</f>
        <v>24</v>
      </c>
      <c r="AC8" s="50" t="n">
        <f aca="false">Assumptions!AC$17</f>
        <v>25</v>
      </c>
      <c r="AD8" s="50" t="n">
        <f aca="false">Assumptions!AD$17</f>
        <v>26</v>
      </c>
      <c r="AE8" s="50" t="n">
        <f aca="false">Assumptions!AE$17</f>
        <v>27</v>
      </c>
      <c r="AF8" s="50" t="n">
        <f aca="false">Assumptions!AF$17</f>
        <v>28</v>
      </c>
    </row>
    <row r="9" customFormat="false" ht="15" hidden="false" customHeight="true" outlineLevel="0" collapsed="false">
      <c r="A9" s="30" t="s">
        <v>372</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row>
    <row r="10" customFormat="false" ht="15" hidden="false" customHeight="true" outlineLevel="0" collapsed="false">
      <c r="B10" s="6" t="s">
        <v>373</v>
      </c>
      <c r="C10" s="62" t="n">
        <f aca="false">IF(OR(C5&lt;Assumptions!$D$84,C5&gt;Assumptions!$D$86),0,IF(C5=Assumptions!$D$84,Assumptions!$D$85,IF(C5=Assumptions!$D$86,Assumptions!$D$87,12)))</f>
        <v>12</v>
      </c>
      <c r="D10" s="62" t="n">
        <f aca="false">IF(OR(D5&lt;Assumptions!$D$84,D5&gt;Assumptions!$D$86),0,IF(D5=Assumptions!$D$84,Assumptions!$D$85,IF(D5=Assumptions!$D$86,Assumptions!$D$87,12)))</f>
        <v>12</v>
      </c>
      <c r="E10" s="62" t="n">
        <f aca="false">IF(OR(E5&lt;Assumptions!$D$84,E5&gt;Assumptions!$D$86),0,IF(E5=Assumptions!$D$84,Assumptions!$D$85,IF(E5=Assumptions!$D$86,Assumptions!$D$87,12)))</f>
        <v>8</v>
      </c>
      <c r="F10" s="62" t="n">
        <f aca="false">IF(OR(F5&lt;Assumptions!$D$84,F5&gt;Assumptions!$D$86),0,IF(F5=Assumptions!$D$84,Assumptions!$D$85,IF(F5=Assumptions!$D$86,Assumptions!$D$87,12)))</f>
        <v>0</v>
      </c>
      <c r="G10" s="62" t="n">
        <f aca="false">IF(OR(G5&lt;Assumptions!$D$84,G5&gt;Assumptions!$D$86),0,IF(G5=Assumptions!$D$84,Assumptions!$D$85,IF(G5=Assumptions!$D$86,Assumptions!$D$87,12)))</f>
        <v>0</v>
      </c>
      <c r="H10" s="62" t="n">
        <f aca="false">IF(OR(H5&lt;Assumptions!$D$84,H5&gt;Assumptions!$D$86),0,IF(H5=Assumptions!$D$84,Assumptions!$D$85,IF(H5=Assumptions!$D$86,Assumptions!$D$87,12)))</f>
        <v>0</v>
      </c>
      <c r="I10" s="62" t="n">
        <f aca="false">IF(OR(I5&lt;Assumptions!$D$84,I5&gt;Assumptions!$D$86),0,IF(I5=Assumptions!$D$84,Assumptions!$D$85,IF(I5=Assumptions!$D$86,Assumptions!$D$87,12)))</f>
        <v>0</v>
      </c>
      <c r="J10" s="62" t="n">
        <f aca="false">IF(OR(J5&lt;Assumptions!$D$84,J5&gt;Assumptions!$D$86),0,IF(J5=Assumptions!$D$84,Assumptions!$D$85,IF(J5=Assumptions!$D$86,Assumptions!$D$87,12)))</f>
        <v>0</v>
      </c>
      <c r="K10" s="62" t="n">
        <f aca="false">IF(OR(K5&lt;Assumptions!$D$84,K5&gt;Assumptions!$D$86),0,IF(K5=Assumptions!$D$84,Assumptions!$D$85,IF(K5=Assumptions!$D$86,Assumptions!$D$87,12)))</f>
        <v>0</v>
      </c>
      <c r="L10" s="62" t="n">
        <f aca="false">IF(OR(L5&lt;Assumptions!$D$84,L5&gt;Assumptions!$D$86),0,IF(L5=Assumptions!$D$84,Assumptions!$D$85,IF(L5=Assumptions!$D$86,Assumptions!$D$87,12)))</f>
        <v>0</v>
      </c>
      <c r="M10" s="62" t="n">
        <f aca="false">IF(OR(M5&lt;Assumptions!$D$84,M5&gt;Assumptions!$D$86),0,IF(M5=Assumptions!$D$84,Assumptions!$D$85,IF(M5=Assumptions!$D$86,Assumptions!$D$87,12)))</f>
        <v>0</v>
      </c>
      <c r="N10" s="62" t="n">
        <f aca="false">IF(OR(N5&lt;Assumptions!$D$84,N5&gt;Assumptions!$D$86),0,IF(N5=Assumptions!$D$84,Assumptions!$D$85,IF(N5=Assumptions!$D$86,Assumptions!$D$87,12)))</f>
        <v>0</v>
      </c>
      <c r="O10" s="62" t="n">
        <f aca="false">IF(OR(O5&lt;Assumptions!$D$84,O5&gt;Assumptions!$D$86),0,IF(O5=Assumptions!$D$84,Assumptions!$D$85,IF(O5=Assumptions!$D$86,Assumptions!$D$87,12)))</f>
        <v>0</v>
      </c>
      <c r="P10" s="62" t="n">
        <f aca="false">IF(OR(P5&lt;Assumptions!$D$84,P5&gt;Assumptions!$D$86),0,IF(P5=Assumptions!$D$84,Assumptions!$D$85,IF(P5=Assumptions!$D$86,Assumptions!$D$87,12)))</f>
        <v>0</v>
      </c>
      <c r="Q10" s="62" t="n">
        <f aca="false">IF(OR(Q5&lt;Assumptions!$D$84,Q5&gt;Assumptions!$D$86),0,IF(Q5=Assumptions!$D$84,Assumptions!$D$85,IF(Q5=Assumptions!$D$86,Assumptions!$D$87,12)))</f>
        <v>0</v>
      </c>
      <c r="R10" s="62" t="n">
        <f aca="false">IF(OR(R5&lt;Assumptions!$D$84,R5&gt;Assumptions!$D$86),0,IF(R5=Assumptions!$D$84,Assumptions!$D$85,IF(R5=Assumptions!$D$86,Assumptions!$D$87,12)))</f>
        <v>0</v>
      </c>
      <c r="S10" s="62" t="n">
        <f aca="false">IF(OR(S5&lt;Assumptions!$D$84,S5&gt;Assumptions!$D$86),0,IF(S5=Assumptions!$D$84,Assumptions!$D$85,IF(S5=Assumptions!$D$86,Assumptions!$D$87,12)))</f>
        <v>0</v>
      </c>
      <c r="T10" s="62" t="n">
        <f aca="false">IF(OR(T5&lt;Assumptions!$D$84,T5&gt;Assumptions!$D$86),0,IF(T5=Assumptions!$D$84,Assumptions!$D$85,IF(T5=Assumptions!$D$86,Assumptions!$D$87,12)))</f>
        <v>0</v>
      </c>
      <c r="U10" s="62" t="n">
        <f aca="false">IF(OR(U5&lt;Assumptions!$D$84,U5&gt;Assumptions!$D$86),0,IF(U5=Assumptions!$D$84,Assumptions!$D$85,IF(U5=Assumptions!$D$86,Assumptions!$D$87,12)))</f>
        <v>0</v>
      </c>
      <c r="V10" s="62" t="n">
        <f aca="false">IF(OR(V5&lt;Assumptions!$D$84,V5&gt;Assumptions!$D$86),0,IF(V5=Assumptions!$D$84,Assumptions!$D$85,IF(V5=Assumptions!$D$86,Assumptions!$D$87,12)))</f>
        <v>0</v>
      </c>
      <c r="W10" s="62" t="n">
        <f aca="false">IF(OR(W5&lt;Assumptions!$D$84,W5&gt;Assumptions!$D$86),0,IF(W5=Assumptions!$D$84,Assumptions!$D$85,IF(W5=Assumptions!$D$86,Assumptions!$D$87,12)))</f>
        <v>0</v>
      </c>
      <c r="X10" s="62" t="n">
        <f aca="false">IF(OR(X5&lt;Assumptions!$D$84,X5&gt;Assumptions!$D$86),0,IF(X5=Assumptions!$D$84,Assumptions!$D$85,IF(X5=Assumptions!$D$86,Assumptions!$D$87,12)))</f>
        <v>0</v>
      </c>
      <c r="Y10" s="62" t="n">
        <f aca="false">IF(OR(Y5&lt;Assumptions!$D$84,Y5&gt;Assumptions!$D$86),0,IF(Y5=Assumptions!$D$84,Assumptions!$D$85,IF(Y5=Assumptions!$D$86,Assumptions!$D$87,12)))</f>
        <v>0</v>
      </c>
      <c r="Z10" s="62" t="n">
        <f aca="false">IF(OR(Z5&lt;Assumptions!$D$84,Z5&gt;Assumptions!$D$86),0,IF(Z5=Assumptions!$D$84,Assumptions!$D$85,IF(Z5=Assumptions!$D$86,Assumptions!$D$87,12)))</f>
        <v>0</v>
      </c>
      <c r="AA10" s="62" t="n">
        <f aca="false">IF(OR(AA5&lt;Assumptions!$D$84,AA5&gt;Assumptions!$D$86),0,IF(AA5=Assumptions!$D$84,Assumptions!$D$85,IF(AA5=Assumptions!$D$86,Assumptions!$D$87,12)))</f>
        <v>0</v>
      </c>
      <c r="AB10" s="62" t="n">
        <f aca="false">IF(OR(AB5&lt;Assumptions!$D$84,AB5&gt;Assumptions!$D$86),0,IF(AB5=Assumptions!$D$84,Assumptions!$D$85,IF(AB5=Assumptions!$D$86,Assumptions!$D$87,12)))</f>
        <v>0</v>
      </c>
      <c r="AC10" s="62" t="n">
        <f aca="false">IF(OR(AC5&lt;Assumptions!$D$84,AC5&gt;Assumptions!$D$86),0,IF(AC5=Assumptions!$D$84,Assumptions!$D$85,IF(AC5=Assumptions!$D$86,Assumptions!$D$87,12)))</f>
        <v>0</v>
      </c>
      <c r="AD10" s="62" t="n">
        <f aca="false">IF(OR(AD5&lt;Assumptions!$D$84,AD5&gt;Assumptions!$D$86),0,IF(AD5=Assumptions!$D$84,Assumptions!$D$85,IF(AD5=Assumptions!$D$86,Assumptions!$D$87,12)))</f>
        <v>0</v>
      </c>
      <c r="AE10" s="62" t="n">
        <f aca="false">IF(OR(AE5&lt;Assumptions!$D$84,AE5&gt;Assumptions!$D$86),0,IF(AE5=Assumptions!$D$84,Assumptions!$D$85,IF(AE5=Assumptions!$D$86,Assumptions!$D$87,12)))</f>
        <v>0</v>
      </c>
      <c r="AF10" s="62" t="n">
        <f aca="false">IF(OR(AF5&lt;Assumptions!$D$84,AF5&gt;Assumptions!$D$86),0,IF(AF5=Assumptions!$D$84,Assumptions!$D$85,IF(AF5=Assumptions!$D$86,Assumptions!$D$87,12)))</f>
        <v>0</v>
      </c>
    </row>
    <row r="11" customFormat="false" ht="15" hidden="false" customHeight="true" outlineLevel="0" collapsed="false">
      <c r="B11" s="6" t="s">
        <v>374</v>
      </c>
      <c r="C11" s="20" t="n">
        <f aca="false">C10*Assumptions!$C$68*Assumptions!C$9</f>
        <v>32400</v>
      </c>
      <c r="D11" s="20" t="n">
        <f aca="false">D10*Assumptions!$C$68*Assumptions!D$9</f>
        <v>33696</v>
      </c>
      <c r="E11" s="20" t="n">
        <f aca="false">E10*Assumptions!$C$68*Assumptions!E$9</f>
        <v>23362.56</v>
      </c>
      <c r="F11" s="20" t="n">
        <f aca="false">F10*Assumptions!$C$68*Assumptions!F$9</f>
        <v>0</v>
      </c>
      <c r="G11" s="20" t="n">
        <f aca="false">G10*Assumptions!$C$68*Assumptions!G$9</f>
        <v>0</v>
      </c>
      <c r="H11" s="20" t="n">
        <f aca="false">H10*Assumptions!$C$68*Assumptions!H$9</f>
        <v>0</v>
      </c>
      <c r="I11" s="20" t="n">
        <f aca="false">I10*Assumptions!$C$68*Assumptions!I$9</f>
        <v>0</v>
      </c>
      <c r="J11" s="20" t="n">
        <f aca="false">J10*Assumptions!$C$68*Assumptions!J$9</f>
        <v>0</v>
      </c>
      <c r="K11" s="20" t="n">
        <f aca="false">K10*Assumptions!$C$68*Assumptions!K$9</f>
        <v>0</v>
      </c>
      <c r="L11" s="20" t="n">
        <f aca="false">L10*Assumptions!$C$68*Assumptions!L$9</f>
        <v>0</v>
      </c>
      <c r="M11" s="20" t="n">
        <f aca="false">M10*Assumptions!$C$68*Assumptions!M$9</f>
        <v>0</v>
      </c>
      <c r="N11" s="20" t="n">
        <f aca="false">N10*Assumptions!$C$68*Assumptions!N$9</f>
        <v>0</v>
      </c>
      <c r="O11" s="20" t="n">
        <f aca="false">O10*Assumptions!$C$68*Assumptions!O$9</f>
        <v>0</v>
      </c>
      <c r="P11" s="20" t="n">
        <f aca="false">P10*Assumptions!$C$68*Assumptions!P$9</f>
        <v>0</v>
      </c>
      <c r="Q11" s="20" t="n">
        <f aca="false">Q10*Assumptions!$C$68*Assumptions!Q$9</f>
        <v>0</v>
      </c>
      <c r="R11" s="20" t="n">
        <f aca="false">R10*Assumptions!$C$68*Assumptions!R$9</f>
        <v>0</v>
      </c>
      <c r="S11" s="20" t="n">
        <f aca="false">S10*Assumptions!$C$68*Assumptions!S$9</f>
        <v>0</v>
      </c>
      <c r="T11" s="20" t="n">
        <f aca="false">T10*Assumptions!$C$68*Assumptions!T$9</f>
        <v>0</v>
      </c>
      <c r="U11" s="20" t="n">
        <f aca="false">U10*Assumptions!$C$68*Assumptions!U$9</f>
        <v>0</v>
      </c>
      <c r="V11" s="20" t="n">
        <f aca="false">V10*Assumptions!$C$68*Assumptions!V$9</f>
        <v>0</v>
      </c>
      <c r="W11" s="20" t="n">
        <f aca="false">W10*Assumptions!$C$68*Assumptions!W$9</f>
        <v>0</v>
      </c>
      <c r="X11" s="20" t="n">
        <f aca="false">X10*Assumptions!$C$68*Assumptions!X$9</f>
        <v>0</v>
      </c>
      <c r="Y11" s="20" t="n">
        <f aca="false">Y10*Assumptions!$C$68*Assumptions!Y$9</f>
        <v>0</v>
      </c>
      <c r="Z11" s="20" t="n">
        <f aca="false">Z10*Assumptions!$C$68*Assumptions!Z$9</f>
        <v>0</v>
      </c>
      <c r="AA11" s="20" t="n">
        <f aca="false">AA10*Assumptions!$C$68*Assumptions!AA$9</f>
        <v>0</v>
      </c>
      <c r="AB11" s="20" t="n">
        <f aca="false">AB10*Assumptions!$C$68*Assumptions!AB$9</f>
        <v>0</v>
      </c>
      <c r="AC11" s="20" t="n">
        <f aca="false">AC10*Assumptions!$C$68*Assumptions!AC$9</f>
        <v>0</v>
      </c>
      <c r="AD11" s="20" t="n">
        <f aca="false">AD10*Assumptions!$C$68*Assumptions!AD$9</f>
        <v>0</v>
      </c>
      <c r="AE11" s="20" t="n">
        <f aca="false">AE10*Assumptions!$C$68*Assumptions!AE$9</f>
        <v>0</v>
      </c>
      <c r="AF11" s="20" t="n">
        <f aca="false">AF10*Assumptions!$C$68*Assumptions!AF$9</f>
        <v>0</v>
      </c>
    </row>
    <row r="12" customFormat="false" ht="15" hidden="false" customHeight="true" outlineLevel="0" collapsed="false">
      <c r="B12" s="6" t="s">
        <v>375</v>
      </c>
      <c r="C12" s="20" t="n">
        <f aca="false">IF(C5&lt;=Assumptions!$C$67,12*Assumptions!$C$66*Assumptions!C$9,0)</f>
        <v>18000</v>
      </c>
      <c r="D12" s="20" t="n">
        <f aca="false">IF(D5&lt;=Assumptions!$C$67,12*Assumptions!$C$66*Assumptions!D$9,0)</f>
        <v>18720</v>
      </c>
      <c r="E12" s="20" t="n">
        <f aca="false">IF(E5&lt;=Assumptions!$C$67,12*Assumptions!$C$66*Assumptions!E$9,0)</f>
        <v>19468.8</v>
      </c>
      <c r="F12" s="20" t="n">
        <f aca="false">IF(F5&lt;=Assumptions!$C$67,12*Assumptions!$C$66*Assumptions!F$9,0)</f>
        <v>19858.176</v>
      </c>
      <c r="G12" s="20" t="n">
        <f aca="false">IF(G5&lt;=Assumptions!$C$67,12*Assumptions!$C$66*Assumptions!G$9,0)</f>
        <v>20255.33952</v>
      </c>
      <c r="H12" s="20" t="n">
        <f aca="false">IF(H5&lt;=Assumptions!$C$67,12*Assumptions!$C$66*Assumptions!H$9,0)</f>
        <v>20660.4463104</v>
      </c>
      <c r="I12" s="20" t="n">
        <f aca="false">IF(I5&lt;=Assumptions!$C$67,12*Assumptions!$C$66*Assumptions!I$9,0)</f>
        <v>21073.655236608</v>
      </c>
      <c r="J12" s="20" t="n">
        <f aca="false">IF(J5&lt;=Assumptions!$C$67,12*Assumptions!$C$66*Assumptions!J$9,0)</f>
        <v>21495.1283413402</v>
      </c>
      <c r="K12" s="20" t="n">
        <f aca="false">IF(K5&lt;=Assumptions!$C$67,12*Assumptions!$C$66*Assumptions!K$9,0)</f>
        <v>0</v>
      </c>
      <c r="L12" s="20" t="n">
        <f aca="false">IF(L5&lt;=Assumptions!$C$67,12*Assumptions!$C$66*Assumptions!L$9,0)</f>
        <v>0</v>
      </c>
      <c r="M12" s="20" t="n">
        <f aca="false">IF(M5&lt;=Assumptions!$C$67,12*Assumptions!$C$66*Assumptions!M$9,0)</f>
        <v>0</v>
      </c>
      <c r="N12" s="20" t="n">
        <f aca="false">IF(N5&lt;=Assumptions!$C$67,12*Assumptions!$C$66*Assumptions!N$9,0)</f>
        <v>0</v>
      </c>
      <c r="O12" s="20" t="n">
        <f aca="false">IF(O5&lt;=Assumptions!$C$67,12*Assumptions!$C$66*Assumptions!O$9,0)</f>
        <v>0</v>
      </c>
      <c r="P12" s="20" t="n">
        <f aca="false">IF(P5&lt;=Assumptions!$C$67,12*Assumptions!$C$66*Assumptions!P$9,0)</f>
        <v>0</v>
      </c>
      <c r="Q12" s="20" t="n">
        <f aca="false">IF(Q5&lt;=Assumptions!$C$67,12*Assumptions!$C$66*Assumptions!Q$9,0)</f>
        <v>0</v>
      </c>
      <c r="R12" s="20" t="n">
        <f aca="false">IF(R5&lt;=Assumptions!$C$67,12*Assumptions!$C$66*Assumptions!R$9,0)</f>
        <v>0</v>
      </c>
      <c r="S12" s="20" t="n">
        <f aca="false">IF(S5&lt;=Assumptions!$C$67,12*Assumptions!$C$66*Assumptions!S$9,0)</f>
        <v>0</v>
      </c>
      <c r="T12" s="20" t="n">
        <f aca="false">IF(T5&lt;=Assumptions!$C$67,12*Assumptions!$C$66*Assumptions!T$9,0)</f>
        <v>0</v>
      </c>
      <c r="U12" s="20" t="n">
        <f aca="false">IF(U5&lt;=Assumptions!$C$67,12*Assumptions!$C$66*Assumptions!U$9,0)</f>
        <v>0</v>
      </c>
      <c r="V12" s="20" t="n">
        <f aca="false">IF(V5&lt;=Assumptions!$C$67,12*Assumptions!$C$66*Assumptions!V$9,0)</f>
        <v>0</v>
      </c>
      <c r="W12" s="20" t="n">
        <f aca="false">IF(W5&lt;=Assumptions!$C$67,12*Assumptions!$C$66*Assumptions!W$9,0)</f>
        <v>0</v>
      </c>
      <c r="X12" s="20" t="n">
        <f aca="false">IF(X5&lt;=Assumptions!$C$67,12*Assumptions!$C$66*Assumptions!X$9,0)</f>
        <v>0</v>
      </c>
      <c r="Y12" s="20" t="n">
        <f aca="false">IF(Y5&lt;=Assumptions!$C$67,12*Assumptions!$C$66*Assumptions!Y$9,0)</f>
        <v>0</v>
      </c>
      <c r="Z12" s="20" t="n">
        <f aca="false">IF(Z5&lt;=Assumptions!$C$67,12*Assumptions!$C$66*Assumptions!Z$9,0)</f>
        <v>0</v>
      </c>
      <c r="AA12" s="20" t="n">
        <f aca="false">IF(AA5&lt;=Assumptions!$C$67,12*Assumptions!$C$66*Assumptions!AA$9,0)</f>
        <v>0</v>
      </c>
      <c r="AB12" s="20" t="n">
        <f aca="false">IF(AB5&lt;=Assumptions!$C$67,12*Assumptions!$C$66*Assumptions!AB$9,0)</f>
        <v>0</v>
      </c>
      <c r="AC12" s="20" t="n">
        <f aca="false">IF(AC5&lt;=Assumptions!$C$67,12*Assumptions!$C$66*Assumptions!AC$9,0)</f>
        <v>0</v>
      </c>
      <c r="AD12" s="20" t="n">
        <f aca="false">IF(AD5&lt;=Assumptions!$C$67,12*Assumptions!$C$66*Assumptions!AD$9,0)</f>
        <v>0</v>
      </c>
      <c r="AE12" s="20" t="n">
        <f aca="false">IF(AE5&lt;=Assumptions!$C$67,12*Assumptions!$C$66*Assumptions!AE$9,0)</f>
        <v>0</v>
      </c>
      <c r="AF12" s="20" t="n">
        <f aca="false">IF(AF5&lt;=Assumptions!$C$67,12*Assumptions!$C$66*Assumptions!AF$9,0)</f>
        <v>0</v>
      </c>
    </row>
    <row r="13" customFormat="false" ht="15" hidden="false" customHeight="true" outlineLevel="0" collapsed="false">
      <c r="A13" s="30" t="s">
        <v>376</v>
      </c>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row>
    <row r="14" customFormat="false" ht="15" hidden="false" customHeight="true" outlineLevel="0" collapsed="false">
      <c r="B14" s="16" t="s">
        <v>377</v>
      </c>
      <c r="C14" s="58" t="n">
        <f aca="false">(Assumptions!$C$75+Assumptions!$C$76)*Assumptions!C$9</f>
        <v>25450</v>
      </c>
      <c r="D14" s="58" t="n">
        <f aca="false">(Assumptions!$C$75+Assumptions!$C$76)*Assumptions!D$9</f>
        <v>26468</v>
      </c>
      <c r="E14" s="58" t="n">
        <f aca="false">(Assumptions!$C$75+Assumptions!$C$76)*Assumptions!E$9</f>
        <v>27526.72</v>
      </c>
      <c r="F14" s="58" t="n">
        <f aca="false">(Assumptions!$C$75+Assumptions!$C$76)*Assumptions!F$9</f>
        <v>28077.2544</v>
      </c>
      <c r="G14" s="58" t="n">
        <f aca="false">(Assumptions!$C$75+Assumptions!$C$76)*Assumptions!G$9</f>
        <v>28638.799488</v>
      </c>
      <c r="H14" s="58" t="n">
        <f aca="false">(Assumptions!$C$75+Assumptions!$C$76)*Assumptions!H$9</f>
        <v>29211.57547776</v>
      </c>
      <c r="I14" s="58" t="n">
        <f aca="false">(Assumptions!$C$75+Assumptions!$C$76)*Assumptions!I$9</f>
        <v>29795.8069873152</v>
      </c>
      <c r="J14" s="58" t="n">
        <f aca="false">(Assumptions!$C$75+Assumptions!$C$76)*Assumptions!J$9</f>
        <v>30391.7231270615</v>
      </c>
      <c r="K14" s="58" t="n">
        <f aca="false">(Assumptions!$C$75+Assumptions!$C$76)*Assumptions!K$9</f>
        <v>30999.5575896027</v>
      </c>
      <c r="L14" s="58" t="n">
        <f aca="false">(Assumptions!$C$75+Assumptions!$C$76)*Assumptions!L$9</f>
        <v>31619.5487413948</v>
      </c>
      <c r="M14" s="58" t="n">
        <f aca="false">(Assumptions!$C$75+Assumptions!$C$76)*Assumptions!M$9</f>
        <v>32251.9397162227</v>
      </c>
      <c r="N14" s="58" t="n">
        <f aca="false">(Assumptions!$C$75+Assumptions!$C$76)*Assumptions!N$9</f>
        <v>32896.9785105471</v>
      </c>
      <c r="O14" s="58" t="n">
        <f aca="false">(Assumptions!$C$75+Assumptions!$C$76)*Assumptions!O$9</f>
        <v>33554.9180807581</v>
      </c>
      <c r="P14" s="58" t="n">
        <f aca="false">(Assumptions!$C$75+Assumptions!$C$76)*Assumptions!P$9</f>
        <v>34226.0164423733</v>
      </c>
      <c r="Q14" s="58" t="n">
        <f aca="false">(Assumptions!$C$75+Assumptions!$C$76)*Assumptions!Q$9</f>
        <v>34910.5367712207</v>
      </c>
      <c r="R14" s="58" t="n">
        <f aca="false">(Assumptions!$C$75+Assumptions!$C$76)*Assumptions!R$9</f>
        <v>35608.7475066451</v>
      </c>
      <c r="S14" s="58" t="n">
        <f aca="false">(Assumptions!$C$75+Assumptions!$C$76)*Assumptions!S$9</f>
        <v>36320.922456778</v>
      </c>
      <c r="T14" s="58" t="n">
        <f aca="false">(Assumptions!$C$75+Assumptions!$C$76)*Assumptions!T$9</f>
        <v>37047.3409059136</v>
      </c>
      <c r="U14" s="58" t="n">
        <f aca="false">(Assumptions!$C$75+Assumptions!$C$76)*Assumptions!U$9</f>
        <v>37788.2877240319</v>
      </c>
      <c r="V14" s="58" t="n">
        <f aca="false">(Assumptions!$C$75+Assumptions!$C$76)*Assumptions!V$9</f>
        <v>38544.0534785125</v>
      </c>
      <c r="W14" s="58" t="n">
        <f aca="false">(Assumptions!$C$75+Assumptions!$C$76)*Assumptions!W$9</f>
        <v>39314.9345480828</v>
      </c>
      <c r="X14" s="58" t="n">
        <f aca="false">(Assumptions!$C$75+Assumptions!$C$76)*Assumptions!X$9</f>
        <v>40101.2332390444</v>
      </c>
      <c r="Y14" s="58" t="n">
        <f aca="false">(Assumptions!$C$75+Assumptions!$C$76)*Assumptions!Y$9</f>
        <v>40903.2579038253</v>
      </c>
      <c r="Z14" s="58" t="n">
        <f aca="false">(Assumptions!$C$75+Assumptions!$C$76)*Assumptions!Z$9</f>
        <v>41721.3230619018</v>
      </c>
      <c r="AA14" s="58" t="n">
        <f aca="false">(Assumptions!$C$75+Assumptions!$C$76)*Assumptions!AA$9</f>
        <v>42555.7495231399</v>
      </c>
      <c r="AB14" s="58" t="n">
        <f aca="false">(Assumptions!$C$75+Assumptions!$C$76)*Assumptions!AB$9</f>
        <v>43406.8645136026</v>
      </c>
      <c r="AC14" s="58" t="n">
        <f aca="false">(Assumptions!$C$75+Assumptions!$C$76)*Assumptions!AC$9</f>
        <v>44275.0018038747</v>
      </c>
      <c r="AD14" s="58" t="n">
        <f aca="false">(Assumptions!$C$75+Assumptions!$C$76)*Assumptions!AD$9</f>
        <v>45160.5018399522</v>
      </c>
      <c r="AE14" s="58" t="n">
        <f aca="false">(Assumptions!$C$75+Assumptions!$C$76)*Assumptions!AE$9</f>
        <v>46063.7118767512</v>
      </c>
      <c r="AF14" s="58" t="n">
        <f aca="false">(Assumptions!$C$75+Assumptions!$C$76)*Assumptions!AF$9</f>
        <v>46984.9861142863</v>
      </c>
    </row>
    <row r="15" customFormat="false" ht="15" hidden="false" customHeight="true" outlineLevel="0" collapsed="false">
      <c r="B15" s="16" t="s">
        <v>378</v>
      </c>
      <c r="C15" s="58" t="n">
        <f aca="false">Assumptions!$C$78*Assumptions!C$9</f>
        <v>30000</v>
      </c>
      <c r="D15" s="58" t="n">
        <f aca="false">Assumptions!$C$78*Assumptions!D$9</f>
        <v>31200</v>
      </c>
      <c r="E15" s="58" t="n">
        <f aca="false">Assumptions!$C$78*Assumptions!E$9</f>
        <v>32448</v>
      </c>
      <c r="F15" s="58" t="n">
        <f aca="false">Assumptions!$C$78*Assumptions!F$9</f>
        <v>33096.96</v>
      </c>
      <c r="G15" s="58" t="n">
        <f aca="false">Assumptions!$C$78*Assumptions!G$9</f>
        <v>33758.8992</v>
      </c>
      <c r="H15" s="58" t="n">
        <f aca="false">Assumptions!$C$78*Assumptions!H$9</f>
        <v>34434.077184</v>
      </c>
      <c r="I15" s="58" t="n">
        <f aca="false">Assumptions!$C$78*Assumptions!I$9</f>
        <v>35122.75872768</v>
      </c>
      <c r="J15" s="58" t="n">
        <f aca="false">Assumptions!$C$78*Assumptions!J$9</f>
        <v>35825.2139022336</v>
      </c>
      <c r="K15" s="58" t="n">
        <f aca="false">Assumptions!$C$78*Assumptions!K$9</f>
        <v>36541.7181802783</v>
      </c>
      <c r="L15" s="58" t="n">
        <f aca="false">Assumptions!$C$78*Assumptions!L$9</f>
        <v>37272.5525438838</v>
      </c>
      <c r="M15" s="58" t="n">
        <f aca="false">Assumptions!$C$78*Assumptions!M$9</f>
        <v>38018.0035947615</v>
      </c>
      <c r="N15" s="58" t="n">
        <f aca="false">Assumptions!$C$78*Assumptions!N$9</f>
        <v>38778.3636666568</v>
      </c>
      <c r="O15" s="58" t="n">
        <f aca="false">Assumptions!$C$78*Assumptions!O$9</f>
        <v>39553.9309399899</v>
      </c>
      <c r="P15" s="58" t="n">
        <f aca="false">Assumptions!$C$78*Assumptions!P$9</f>
        <v>40345.0095587897</v>
      </c>
      <c r="Q15" s="58" t="n">
        <f aca="false">Assumptions!$C$78*Assumptions!Q$9</f>
        <v>41151.9097499655</v>
      </c>
      <c r="R15" s="58" t="n">
        <f aca="false">Assumptions!$C$78*Assumptions!R$9</f>
        <v>41974.9479449648</v>
      </c>
      <c r="S15" s="58" t="n">
        <f aca="false">Assumptions!$C$78*Assumptions!S$9</f>
        <v>42814.4469038641</v>
      </c>
      <c r="T15" s="58" t="n">
        <f aca="false">Assumptions!$C$78*Assumptions!T$9</f>
        <v>43670.7358419414</v>
      </c>
      <c r="U15" s="58" t="n">
        <f aca="false">Assumptions!$C$78*Assumptions!U$9</f>
        <v>44544.1505587802</v>
      </c>
      <c r="V15" s="58" t="n">
        <f aca="false">Assumptions!$C$78*Assumptions!V$9</f>
        <v>45435.0335699558</v>
      </c>
      <c r="W15" s="58" t="n">
        <f aca="false">Assumptions!$C$78*Assumptions!W$9</f>
        <v>46343.7342413549</v>
      </c>
      <c r="X15" s="58" t="n">
        <f aca="false">Assumptions!$C$78*Assumptions!X$9</f>
        <v>47270.608926182</v>
      </c>
      <c r="Y15" s="58" t="n">
        <f aca="false">Assumptions!$C$78*Assumptions!Y$9</f>
        <v>48216.0211047057</v>
      </c>
      <c r="Z15" s="58" t="n">
        <f aca="false">Assumptions!$C$78*Assumptions!Z$9</f>
        <v>49180.3415267998</v>
      </c>
      <c r="AA15" s="58" t="n">
        <f aca="false">Assumptions!$C$78*Assumptions!AA$9</f>
        <v>50163.9483573358</v>
      </c>
      <c r="AB15" s="58" t="n">
        <f aca="false">Assumptions!$C$78*Assumptions!AB$9</f>
        <v>51167.2273244825</v>
      </c>
      <c r="AC15" s="58" t="n">
        <f aca="false">Assumptions!$C$78*Assumptions!AC$9</f>
        <v>52190.5718709722</v>
      </c>
      <c r="AD15" s="58" t="n">
        <f aca="false">Assumptions!$C$78*Assumptions!AD$9</f>
        <v>53234.3833083916</v>
      </c>
      <c r="AE15" s="58" t="n">
        <f aca="false">Assumptions!$C$78*Assumptions!AE$9</f>
        <v>54299.0709745594</v>
      </c>
      <c r="AF15" s="58" t="n">
        <f aca="false">Assumptions!$C$78*Assumptions!AF$9</f>
        <v>55385.0523940506</v>
      </c>
    </row>
    <row r="18" customFormat="false" ht="15" hidden="false" customHeight="true" outlineLevel="0" collapsed="false">
      <c r="A18" s="30" t="s">
        <v>379</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row>
    <row r="19" customFormat="false" ht="15" hidden="false" customHeight="true" outlineLevel="0" collapsed="false">
      <c r="B19" s="16" t="s">
        <v>380</v>
      </c>
      <c r="C19" s="58" t="n">
        <f aca="false">IF(AND(C5&gt;=Assumptions!$C$89,C5&lt;=Assumptions!$C$89+Assumptions!$C$77-1),C14,IF(C5=Assumptions!$C$90,C15,0))</f>
        <v>0</v>
      </c>
      <c r="D19" s="58" t="n">
        <f aca="false">IF(AND(D5&gt;=Assumptions!$C$89,D5&lt;=Assumptions!$C$89+Assumptions!$C$77-1),D14,IF(D5=Assumptions!$C$90,D15,0))</f>
        <v>0</v>
      </c>
      <c r="E19" s="58" t="n">
        <f aca="false">IF(AND(E5&gt;=Assumptions!$C$89,E5&lt;=Assumptions!$C$89+Assumptions!$C$77-1),E14,IF(E5=Assumptions!$C$90,E15,0))</f>
        <v>0</v>
      </c>
      <c r="F19" s="58" t="n">
        <f aca="false">IF(AND(F5&gt;=Assumptions!$C$89,F5&lt;=Assumptions!$C$89+Assumptions!$C$77-1),F14,IF(F5=Assumptions!$C$90,F15,0))</f>
        <v>0</v>
      </c>
      <c r="G19" s="58" t="n">
        <f aca="false">IF(AND(G5&gt;=Assumptions!$C$89,G5&lt;=Assumptions!$C$89+Assumptions!$C$77-1),G14,IF(G5=Assumptions!$C$90,G15,0))</f>
        <v>0</v>
      </c>
      <c r="H19" s="58" t="n">
        <f aca="false">IF(AND(H5&gt;=Assumptions!$C$89,H5&lt;=Assumptions!$C$89+Assumptions!$C$77-1),H14,IF(H5=Assumptions!$C$90,H15,0))</f>
        <v>0</v>
      </c>
      <c r="I19" s="58" t="n">
        <f aca="false">IF(AND(I5&gt;=Assumptions!$C$89,I5&lt;=Assumptions!$C$89+Assumptions!$C$77-1),I14,IF(I5=Assumptions!$C$90,I15,0))</f>
        <v>0</v>
      </c>
      <c r="J19" s="58" t="n">
        <f aca="false">IF(AND(J5&gt;=Assumptions!$C$89,J5&lt;=Assumptions!$C$89+Assumptions!$C$77-1),J14,IF(J5=Assumptions!$C$90,J15,0))</f>
        <v>0</v>
      </c>
      <c r="K19" s="58" t="n">
        <f aca="false">IF(AND(K5&gt;=Assumptions!$C$89,K5&lt;=Assumptions!$C$89+Assumptions!$C$77-1),K14,IF(K5=Assumptions!$C$90,K15,0))</f>
        <v>0</v>
      </c>
      <c r="L19" s="58" t="n">
        <f aca="false">IF(AND(L5&gt;=Assumptions!$C$89,L5&lt;=Assumptions!$C$89+Assumptions!$C$77-1),L14,IF(L5=Assumptions!$C$90,L15,0))</f>
        <v>0</v>
      </c>
      <c r="M19" s="58" t="n">
        <f aca="false">IF(AND(M5&gt;=Assumptions!$C$89,M5&lt;=Assumptions!$C$89+Assumptions!$C$77-1),M14,IF(M5=Assumptions!$C$90,M15,0))</f>
        <v>0</v>
      </c>
      <c r="N19" s="58" t="n">
        <f aca="false">IF(AND(N5&gt;=Assumptions!$C$89,N5&lt;=Assumptions!$C$89+Assumptions!$C$77-1),N14,IF(N5=Assumptions!$C$90,N15,0))</f>
        <v>0</v>
      </c>
      <c r="O19" s="58" t="n">
        <f aca="false">IF(AND(O5&gt;=Assumptions!$C$89,O5&lt;=Assumptions!$C$89+Assumptions!$C$77-1),O14,IF(O5=Assumptions!$C$90,O15,0))</f>
        <v>0</v>
      </c>
      <c r="P19" s="58" t="n">
        <f aca="false">IF(AND(P5&gt;=Assumptions!$C$89,P5&lt;=Assumptions!$C$89+Assumptions!$C$77-1),P14,IF(P5=Assumptions!$C$90,P15,0))</f>
        <v>34226.0164423733</v>
      </c>
      <c r="Q19" s="58" t="n">
        <f aca="false">IF(AND(Q5&gt;=Assumptions!$C$89,Q5&lt;=Assumptions!$C$89+Assumptions!$C$77-1),Q14,IF(Q5=Assumptions!$C$90,Q15,0))</f>
        <v>34910.5367712207</v>
      </c>
      <c r="R19" s="58" t="n">
        <f aca="false">IF(AND(R5&gt;=Assumptions!$C$89,R5&lt;=Assumptions!$C$89+Assumptions!$C$77-1),R14,IF(R5=Assumptions!$C$90,R15,0))</f>
        <v>35608.7475066451</v>
      </c>
      <c r="S19" s="58" t="n">
        <f aca="false">IF(AND(S5&gt;=Assumptions!$C$89,S5&lt;=Assumptions!$C$89+Assumptions!$C$77-1),S14,IF(S5=Assumptions!$C$90,S15,0))</f>
        <v>42814.4469038641</v>
      </c>
      <c r="T19" s="58" t="n">
        <f aca="false">IF(AND(T5&gt;=Assumptions!$C$89,T5&lt;=Assumptions!$C$89+Assumptions!$C$77-1),T14,IF(T5=Assumptions!$C$90,T15,0))</f>
        <v>0</v>
      </c>
      <c r="U19" s="58" t="n">
        <f aca="false">IF(AND(U5&gt;=Assumptions!$C$89,U5&lt;=Assumptions!$C$89+Assumptions!$C$77-1),U14,IF(U5=Assumptions!$C$90,U15,0))</f>
        <v>0</v>
      </c>
      <c r="V19" s="58" t="n">
        <f aca="false">IF(AND(V5&gt;=Assumptions!$C$89,V5&lt;=Assumptions!$C$89+Assumptions!$C$77-1),V14,IF(V5=Assumptions!$C$90,V15,0))</f>
        <v>0</v>
      </c>
      <c r="W19" s="58" t="n">
        <f aca="false">IF(AND(W5&gt;=Assumptions!$C$89,W5&lt;=Assumptions!$C$89+Assumptions!$C$77-1),W14,IF(W5=Assumptions!$C$90,W15,0))</f>
        <v>0</v>
      </c>
      <c r="X19" s="58" t="n">
        <f aca="false">IF(AND(X5&gt;=Assumptions!$C$89,X5&lt;=Assumptions!$C$89+Assumptions!$C$77-1),X14,IF(X5=Assumptions!$C$90,X15,0))</f>
        <v>0</v>
      </c>
      <c r="Y19" s="58" t="n">
        <f aca="false">IF(AND(Y5&gt;=Assumptions!$C$89,Y5&lt;=Assumptions!$C$89+Assumptions!$C$77-1),Y14,IF(Y5=Assumptions!$C$90,Y15,0))</f>
        <v>0</v>
      </c>
      <c r="Z19" s="58" t="n">
        <f aca="false">IF(AND(Z5&gt;=Assumptions!$C$89,Z5&lt;=Assumptions!$C$89+Assumptions!$C$77-1),Z14,IF(Z5=Assumptions!$C$90,Z15,0))</f>
        <v>0</v>
      </c>
      <c r="AA19" s="58" t="n">
        <f aca="false">IF(AND(AA5&gt;=Assumptions!$C$89,AA5&lt;=Assumptions!$C$89+Assumptions!$C$77-1),AA14,IF(AA5=Assumptions!$C$90,AA15,0))</f>
        <v>0</v>
      </c>
      <c r="AB19" s="58" t="n">
        <f aca="false">IF(AND(AB5&gt;=Assumptions!$C$89,AB5&lt;=Assumptions!$C$89+Assumptions!$C$77-1),AB14,IF(AB5=Assumptions!$C$90,AB15,0))</f>
        <v>0</v>
      </c>
      <c r="AC19" s="58" t="n">
        <f aca="false">IF(AND(AC5&gt;=Assumptions!$C$89,AC5&lt;=Assumptions!$C$89+Assumptions!$C$77-1),AC14,IF(AC5=Assumptions!$C$90,AC15,0))</f>
        <v>0</v>
      </c>
      <c r="AD19" s="58" t="n">
        <f aca="false">IF(AND(AD5&gt;=Assumptions!$C$89,AD5&lt;=Assumptions!$C$89+Assumptions!$C$77-1),AD14,IF(AD5=Assumptions!$C$90,AD15,0))</f>
        <v>0</v>
      </c>
      <c r="AE19" s="58" t="n">
        <f aca="false">IF(AND(AE5&gt;=Assumptions!$C$89,AE5&lt;=Assumptions!$C$89+Assumptions!$C$77-1),AE14,IF(AE5=Assumptions!$C$90,AE15,0))</f>
        <v>0</v>
      </c>
      <c r="AF19" s="58" t="n">
        <f aca="false">IF(AND(AF5&gt;=Assumptions!$C$89,AF5&lt;=Assumptions!$C$89+Assumptions!$C$77-1),AF14,IF(AF5=Assumptions!$C$90,AF15,0))</f>
        <v>0</v>
      </c>
    </row>
    <row r="20" customFormat="false" ht="15" hidden="false" customHeight="true" outlineLevel="0" collapsed="false">
      <c r="B20" s="16" t="s">
        <v>381</v>
      </c>
      <c r="C20" s="59" t="n">
        <f aca="false">SUMPRODUCT($C$19:$AF$19/(1+Assumptions!$C$32)^($C$5:$AF$5-Assumptions!$C$89+1))</f>
        <v>121358.182815131</v>
      </c>
      <c r="D20" s="59" t="n">
        <f aca="false">SUMPRODUCT($C$19:$AF$19/(1+Assumptions!$C$32)^($C$5:$AF$5-Assumptions!$C$89+1))</f>
        <v>121358.182815131</v>
      </c>
      <c r="E20" s="59" t="n">
        <f aca="false">SUMPRODUCT($C$19:$AF$19/(1+Assumptions!$C$32)^($C$5:$AF$5-Assumptions!$C$89+1))</f>
        <v>121358.182815131</v>
      </c>
      <c r="F20" s="59" t="n">
        <f aca="false">SUMPRODUCT($C$19:$AF$19/(1+Assumptions!$C$32)^($C$5:$AF$5-Assumptions!$C$89+1))</f>
        <v>121358.182815131</v>
      </c>
      <c r="G20" s="59" t="n">
        <f aca="false">SUMPRODUCT($C$19:$AF$19/(1+Assumptions!$C$32)^($C$5:$AF$5-Assumptions!$C$89+1))</f>
        <v>121358.182815131</v>
      </c>
      <c r="H20" s="59" t="n">
        <f aca="false">SUMPRODUCT($C$19:$AF$19/(1+Assumptions!$C$32)^($C$5:$AF$5-Assumptions!$C$89+1))</f>
        <v>121358.182815131</v>
      </c>
      <c r="I20" s="59" t="n">
        <f aca="false">SUMPRODUCT($C$19:$AF$19/(1+Assumptions!$C$32)^($C$5:$AF$5-Assumptions!$C$89+1))</f>
        <v>121358.182815131</v>
      </c>
      <c r="J20" s="59" t="n">
        <f aca="false">SUMPRODUCT($C$19:$AF$19/(1+Assumptions!$C$32)^($C$5:$AF$5-Assumptions!$C$89+1))</f>
        <v>121358.182815131</v>
      </c>
      <c r="K20" s="59" t="n">
        <f aca="false">SUMPRODUCT($C$19:$AF$19/(1+Assumptions!$C$32)^($C$5:$AF$5-Assumptions!$C$89+1))</f>
        <v>121358.182815131</v>
      </c>
      <c r="L20" s="59" t="n">
        <f aca="false">SUMPRODUCT($C$19:$AF$19/(1+Assumptions!$C$32)^($C$5:$AF$5-Assumptions!$C$89+1))</f>
        <v>121358.182815131</v>
      </c>
      <c r="M20" s="59" t="n">
        <f aca="false">SUMPRODUCT($C$19:$AF$19/(1+Assumptions!$C$32)^($C$5:$AF$5-Assumptions!$C$89+1))</f>
        <v>121358.182815131</v>
      </c>
      <c r="N20" s="59" t="n">
        <f aca="false">SUMPRODUCT($C$19:$AF$19/(1+Assumptions!$C$32)^($C$5:$AF$5-Assumptions!$C$89+1))</f>
        <v>121358.182815131</v>
      </c>
      <c r="O20" s="59" t="n">
        <f aca="false">SUMPRODUCT($C$19:$AF$19/(1+Assumptions!$C$32)^($C$5:$AF$5-Assumptions!$C$89+1))</f>
        <v>121358.182815131</v>
      </c>
      <c r="P20" s="59" t="n">
        <f aca="false">SUMPRODUCT($C$19:$AF$19/(1+Assumptions!$C$32)^($C$5:$AF$5-Assumptions!$C$89+1))</f>
        <v>121358.182815131</v>
      </c>
      <c r="Q20" s="59" t="n">
        <f aca="false">SUMPRODUCT($C$19:$AF$19/(1+Assumptions!$C$32)^($C$5:$AF$5-Assumptions!$C$89+1))</f>
        <v>121358.182815131</v>
      </c>
      <c r="R20" s="59" t="n">
        <f aca="false">SUMPRODUCT($C$19:$AF$19/(1+Assumptions!$C$32)^($C$5:$AF$5-Assumptions!$C$89+1))</f>
        <v>121358.182815131</v>
      </c>
      <c r="S20" s="59" t="n">
        <f aca="false">SUMPRODUCT($C$19:$AF$19/(1+Assumptions!$C$32)^($C$5:$AF$5-Assumptions!$C$89+1))</f>
        <v>121358.182815131</v>
      </c>
      <c r="T20" s="59" t="n">
        <f aca="false">SUMPRODUCT($C$19:$AF$19/(1+Assumptions!$C$32)^($C$5:$AF$5-Assumptions!$C$89+1))</f>
        <v>121358.182815131</v>
      </c>
      <c r="U20" s="59" t="n">
        <f aca="false">SUMPRODUCT($C$19:$AF$19/(1+Assumptions!$C$32)^($C$5:$AF$5-Assumptions!$C$89+1))</f>
        <v>121358.182815131</v>
      </c>
      <c r="V20" s="59" t="n">
        <f aca="false">SUMPRODUCT($C$19:$AF$19/(1+Assumptions!$C$32)^($C$5:$AF$5-Assumptions!$C$89+1))</f>
        <v>121358.182815131</v>
      </c>
      <c r="W20" s="59" t="n">
        <f aca="false">SUMPRODUCT($C$19:$AF$19/(1+Assumptions!$C$32)^($C$5:$AF$5-Assumptions!$C$89+1))</f>
        <v>121358.182815131</v>
      </c>
      <c r="X20" s="59" t="n">
        <f aca="false">SUMPRODUCT($C$19:$AF$19/(1+Assumptions!$C$32)^($C$5:$AF$5-Assumptions!$C$89+1))</f>
        <v>121358.182815131</v>
      </c>
      <c r="Y20" s="59" t="n">
        <f aca="false">SUMPRODUCT($C$19:$AF$19/(1+Assumptions!$C$32)^($C$5:$AF$5-Assumptions!$C$89+1))</f>
        <v>121358.182815131</v>
      </c>
      <c r="Z20" s="59" t="n">
        <f aca="false">SUMPRODUCT($C$19:$AF$19/(1+Assumptions!$C$32)^($C$5:$AF$5-Assumptions!$C$89+1))</f>
        <v>121358.182815131</v>
      </c>
      <c r="AA20" s="59" t="n">
        <f aca="false">SUMPRODUCT($C$19:$AF$19/(1+Assumptions!$C$32)^($C$5:$AF$5-Assumptions!$C$89+1))</f>
        <v>121358.182815131</v>
      </c>
      <c r="AB20" s="59" t="n">
        <f aca="false">SUMPRODUCT($C$19:$AF$19/(1+Assumptions!$C$32)^($C$5:$AF$5-Assumptions!$C$89+1))</f>
        <v>121358.182815131</v>
      </c>
      <c r="AC20" s="59" t="n">
        <f aca="false">SUMPRODUCT($C$19:$AF$19/(1+Assumptions!$C$32)^($C$5:$AF$5-Assumptions!$C$89+1))</f>
        <v>121358.182815131</v>
      </c>
      <c r="AD20" s="59" t="n">
        <f aca="false">SUMPRODUCT($C$19:$AF$19/(1+Assumptions!$C$32)^($C$5:$AF$5-Assumptions!$C$89+1))</f>
        <v>121358.182815131</v>
      </c>
      <c r="AE20" s="59" t="n">
        <f aca="false">SUMPRODUCT($C$19:$AF$19/(1+Assumptions!$C$32)^($C$5:$AF$5-Assumptions!$C$89+1))</f>
        <v>121358.182815131</v>
      </c>
      <c r="AF20" s="59" t="n">
        <f aca="false">SUMPRODUCT($C$19:$AF$19/(1+Assumptions!$C$32)^($C$5:$AF$5-Assumptions!$C$89+1))</f>
        <v>121358.182815131</v>
      </c>
    </row>
    <row r="21" customFormat="false" ht="15" hidden="false" customHeight="true" outlineLevel="0" collapsed="false">
      <c r="B21" s="56" t="s">
        <v>382</v>
      </c>
      <c r="C21" s="20" t="n">
        <f aca="false">C22*(1+Assumptions!$C$32)^(Assumptions!$C$89-C5)</f>
        <v>40794.3558924675</v>
      </c>
      <c r="D21" s="20" t="n">
        <f aca="false">D22*(1+Assumptions!$C$32)^(Assumptions!$C$89-D5)</f>
        <v>63457.8869438383</v>
      </c>
      <c r="E21" s="20" t="n">
        <f aca="false">E22*(1+Assumptions!$C$32)^(Assumptions!$C$89-E5)</f>
        <v>84442.6379173298</v>
      </c>
      <c r="F21" s="20" t="n">
        <f aca="false">F22*(1+Assumptions!$C$32)^(Assumptions!$C$89-F5)</f>
        <v>103872.962892785</v>
      </c>
      <c r="G21" s="20" t="n">
        <f aca="false">G22*(1+Assumptions!$C$32)^(Assumptions!$C$89-G5)</f>
        <v>121864.004536725</v>
      </c>
      <c r="H21" s="20" t="n">
        <f aca="false">H22*(1+Assumptions!$C$32)^(Assumptions!$C$89-H5)</f>
        <v>121864.004536725</v>
      </c>
      <c r="I21" s="20" t="n">
        <f aca="false">I22*(1+Assumptions!$C$32)^(Assumptions!$C$89-I5)</f>
        <v>121864.004536725</v>
      </c>
      <c r="J21" s="20" t="n">
        <f aca="false">J22*(1+Assumptions!$C$32)^(Assumptions!$C$89-J5)</f>
        <v>121864.004536725</v>
      </c>
      <c r="K21" s="20" t="n">
        <f aca="false">K22*(1+Assumptions!$C$32)^(Assumptions!$C$89-K5)</f>
        <v>121864.004536725</v>
      </c>
      <c r="L21" s="20" t="n">
        <f aca="false">L22*(1+Assumptions!$C$32)^(Assumptions!$C$89-L5)</f>
        <v>121864.004536725</v>
      </c>
      <c r="M21" s="20" t="n">
        <f aca="false">M22*(1+Assumptions!$C$32)^(Assumptions!$C$89-M5)</f>
        <v>121864.004536725</v>
      </c>
      <c r="N21" s="20" t="n">
        <f aca="false">N22*(1+Assumptions!$C$32)^(Assumptions!$C$89-N5)</f>
        <v>121864.004536725</v>
      </c>
      <c r="O21" s="20" t="n">
        <f aca="false">O22*(1+Assumptions!$C$32)^(Assumptions!$C$89-O5)</f>
        <v>121864.004536725</v>
      </c>
      <c r="P21" s="20" t="n">
        <f aca="false">P22*(1+Assumptions!$C$32)^(Assumptions!$C$89-P5)</f>
        <v>121864.004536725</v>
      </c>
      <c r="Q21" s="20" t="n">
        <f aca="false">Q22*(1+Assumptions!$C$32)^(Assumptions!$C$89-Q5)</f>
        <v>90173.2485715643</v>
      </c>
      <c r="R21" s="20" t="n">
        <f aca="false">R22*(1+Assumptions!$C$32)^(Assumptions!$C$89-R5)</f>
        <v>60243.0901600239</v>
      </c>
      <c r="S21" s="20" t="n">
        <f aca="false">S22*(1+Assumptions!$C$32)^(Assumptions!$C$89-S5)</f>
        <v>31975.7183269024</v>
      </c>
      <c r="T21" s="20" t="n">
        <f aca="false">T22*(1+Assumptions!$C$32)^(Assumptions!$C$89-T5)</f>
        <v>505.821721593621</v>
      </c>
      <c r="U21" s="20" t="n">
        <f aca="false">U22*(1+Assumptions!$C$32)^(Assumptions!$C$89-U5)</f>
        <v>505.821721593621</v>
      </c>
      <c r="V21" s="20" t="n">
        <f aca="false">V22*(1+Assumptions!$C$32)^(Assumptions!$C$89-V5)</f>
        <v>505.821721593621</v>
      </c>
      <c r="W21" s="20" t="n">
        <f aca="false">W22*(1+Assumptions!$C$32)^(Assumptions!$C$89-W5)</f>
        <v>505.821721593621</v>
      </c>
      <c r="X21" s="20" t="n">
        <f aca="false">X22*(1+Assumptions!$C$32)^(Assumptions!$C$89-X5)</f>
        <v>505.821721593621</v>
      </c>
      <c r="Y21" s="20" t="n">
        <f aca="false">Y22*(1+Assumptions!$C$32)^(Assumptions!$C$89-Y5)</f>
        <v>505.821721593621</v>
      </c>
      <c r="Z21" s="20" t="n">
        <f aca="false">Z22*(1+Assumptions!$C$32)^(Assumptions!$C$89-Z5)</f>
        <v>505.821721593621</v>
      </c>
      <c r="AA21" s="20" t="n">
        <f aca="false">AA22*(1+Assumptions!$C$32)^(Assumptions!$C$89-AA5)</f>
        <v>505.821721593621</v>
      </c>
      <c r="AB21" s="20" t="n">
        <f aca="false">AB22*(1+Assumptions!$C$32)^(Assumptions!$C$89-AB5)</f>
        <v>505.821721593621</v>
      </c>
      <c r="AC21" s="20" t="n">
        <f aca="false">AC22*(1+Assumptions!$C$32)^(Assumptions!$C$89-AC5)</f>
        <v>505.821721593621</v>
      </c>
      <c r="AD21" s="20" t="n">
        <f aca="false">AD22*(1+Assumptions!$C$32)^(Assumptions!$C$89-AD5)</f>
        <v>505.821721593621</v>
      </c>
      <c r="AE21" s="20" t="n">
        <f aca="false">AE22*(1+Assumptions!$C$32)^(Assumptions!$C$89-AE5)</f>
        <v>505.821721593621</v>
      </c>
      <c r="AF21" s="20" t="n">
        <f aca="false">AF22*(1+Assumptions!$C$32)^(Assumptions!$C$89-AF5)</f>
        <v>505.821721593621</v>
      </c>
    </row>
    <row r="22" customFormat="false" ht="15" hidden="false" customHeight="true" outlineLevel="0" collapsed="false">
      <c r="B22" s="6" t="s">
        <v>383</v>
      </c>
      <c r="C22" s="20" t="n">
        <f aca="false">Assumptions!$C$91</f>
        <v>15000</v>
      </c>
      <c r="D22" s="20" t="n">
        <f aca="false">C26</f>
        <v>25200</v>
      </c>
      <c r="E22" s="20" t="n">
        <f aca="false">D26</f>
        <v>36216</v>
      </c>
      <c r="F22" s="20" t="n">
        <f aca="false">E26</f>
        <v>48113.28</v>
      </c>
      <c r="G22" s="20" t="n">
        <f aca="false">F26</f>
        <v>60962.3424</v>
      </c>
      <c r="H22" s="20" t="n">
        <f aca="false">G26</f>
        <v>65839.329792</v>
      </c>
      <c r="I22" s="20" t="n">
        <f aca="false">H26</f>
        <v>71106.47617536</v>
      </c>
      <c r="J22" s="20" t="n">
        <f aca="false">I26</f>
        <v>76794.9942693888</v>
      </c>
      <c r="K22" s="20" t="n">
        <f aca="false">J26</f>
        <v>82938.5938109399</v>
      </c>
      <c r="L22" s="20" t="n">
        <f aca="false">K26</f>
        <v>89573.6813158151</v>
      </c>
      <c r="M22" s="20" t="n">
        <f aca="false">L26</f>
        <v>96739.5758210803</v>
      </c>
      <c r="N22" s="20" t="n">
        <f aca="false">M26</f>
        <v>104478.741886767</v>
      </c>
      <c r="O22" s="20" t="n">
        <f aca="false">N26</f>
        <v>112837.041237708</v>
      </c>
      <c r="P22" s="20" t="n">
        <f aca="false">O26</f>
        <v>121864.004536725</v>
      </c>
      <c r="Q22" s="20" t="n">
        <f aca="false">P26</f>
        <v>97387.1084572894</v>
      </c>
      <c r="R22" s="20" t="n">
        <f aca="false">Q26</f>
        <v>70267.5403626519</v>
      </c>
      <c r="S22" s="20" t="n">
        <f aca="false">R26</f>
        <v>40280.1960850189</v>
      </c>
      <c r="T22" s="20" t="n">
        <f aca="false">S26</f>
        <v>688.164867956315</v>
      </c>
      <c r="U22" s="20" t="n">
        <f aca="false">T26</f>
        <v>743.21805739282</v>
      </c>
      <c r="V22" s="20" t="n">
        <f aca="false">U26</f>
        <v>802.675501984246</v>
      </c>
      <c r="W22" s="20" t="n">
        <f aca="false">V26</f>
        <v>866.889542142986</v>
      </c>
      <c r="X22" s="20" t="n">
        <f aca="false">W26</f>
        <v>936.240705514424</v>
      </c>
      <c r="Y22" s="20" t="n">
        <f aca="false">X26</f>
        <v>1011.13996195558</v>
      </c>
      <c r="Z22" s="20" t="n">
        <f aca="false">Y26</f>
        <v>1092.03115891202</v>
      </c>
      <c r="AA22" s="20" t="n">
        <f aca="false">Z26</f>
        <v>1179.39365162499</v>
      </c>
      <c r="AB22" s="20" t="n">
        <f aca="false">AA26</f>
        <v>1273.74514375499</v>
      </c>
      <c r="AC22" s="20" t="n">
        <f aca="false">AB26</f>
        <v>1375.64475525538</v>
      </c>
      <c r="AD22" s="20" t="n">
        <f aca="false">AC26</f>
        <v>1485.69633567582</v>
      </c>
      <c r="AE22" s="20" t="n">
        <f aca="false">AD26</f>
        <v>1604.55204252988</v>
      </c>
      <c r="AF22" s="20" t="n">
        <f aca="false">AE26</f>
        <v>1732.91620593227</v>
      </c>
    </row>
    <row r="23" customFormat="false" ht="15" hidden="false" customHeight="true" outlineLevel="0" collapsed="false">
      <c r="B23" s="56" t="s">
        <v>384</v>
      </c>
      <c r="C23" s="20" t="n">
        <f aca="false">IF(AND(C5&gt;=Assumptions!$C$93,C5&lt;=Assumptions!$C$94,C21&lt;C20),MIN(Assumptions!$C$92,Tax_Bands!C$17),0)</f>
        <v>9000</v>
      </c>
      <c r="D23" s="20" t="n">
        <f aca="false">IF(AND(D5&gt;=Assumptions!$C$93,D5&lt;=Assumptions!$C$94,D21&lt;D20),MIN(Assumptions!$C$92,Tax_Bands!D$17),0)</f>
        <v>9000</v>
      </c>
      <c r="E23" s="20" t="n">
        <f aca="false">IF(AND(E5&gt;=Assumptions!$C$93,E5&lt;=Assumptions!$C$94,E21&lt;E20),MIN(Assumptions!$C$92,Tax_Bands!E$17),0)</f>
        <v>9000</v>
      </c>
      <c r="F23" s="20" t="n">
        <f aca="false">IF(AND(F5&gt;=Assumptions!$C$93,F5&lt;=Assumptions!$C$94,F21&lt;F20),MIN(Assumptions!$C$92,Tax_Bands!F$17),0)</f>
        <v>9000</v>
      </c>
      <c r="G23" s="20" t="n">
        <f aca="false">IF(AND(G5&gt;=Assumptions!$C$93,G5&lt;=Assumptions!$C$94,G21&lt;G20),MIN(Assumptions!$C$92,Tax_Bands!G$17),0)</f>
        <v>0</v>
      </c>
      <c r="H23" s="20" t="n">
        <f aca="false">IF(AND(H5&gt;=Assumptions!$C$93,H5&lt;=Assumptions!$C$94,H21&lt;H20),MIN(Assumptions!$C$92,Tax_Bands!H$17),0)</f>
        <v>0</v>
      </c>
      <c r="I23" s="20" t="n">
        <f aca="false">IF(AND(I5&gt;=Assumptions!$C$93,I5&lt;=Assumptions!$C$94,I21&lt;I20),MIN(Assumptions!$C$92,Tax_Bands!I$17),0)</f>
        <v>0</v>
      </c>
      <c r="J23" s="20" t="n">
        <f aca="false">IF(AND(J5&gt;=Assumptions!$C$93,J5&lt;=Assumptions!$C$94,J21&lt;J20),MIN(Assumptions!$C$92,Tax_Bands!J$17),0)</f>
        <v>0</v>
      </c>
      <c r="K23" s="20" t="n">
        <f aca="false">IF(AND(K5&gt;=Assumptions!$C$93,K5&lt;=Assumptions!$C$94,K21&lt;K20),MIN(Assumptions!$C$92,Tax_Bands!K$17),0)</f>
        <v>0</v>
      </c>
      <c r="L23" s="20" t="n">
        <f aca="false">IF(AND(L5&gt;=Assumptions!$C$93,L5&lt;=Assumptions!$C$94,L21&lt;L20),MIN(Assumptions!$C$92,Tax_Bands!L$17),0)</f>
        <v>0</v>
      </c>
      <c r="M23" s="20" t="n">
        <f aca="false">IF(AND(M5&gt;=Assumptions!$C$93,M5&lt;=Assumptions!$C$94,M21&lt;M20),MIN(Assumptions!$C$92,Tax_Bands!M$17),0)</f>
        <v>0</v>
      </c>
      <c r="N23" s="20" t="n">
        <f aca="false">IF(AND(N5&gt;=Assumptions!$C$93,N5&lt;=Assumptions!$C$94,N21&lt;N20),MIN(Assumptions!$C$92,Tax_Bands!N$17),0)</f>
        <v>0</v>
      </c>
      <c r="O23" s="20" t="n">
        <f aca="false">IF(AND(O5&gt;=Assumptions!$C$93,O5&lt;=Assumptions!$C$94,O21&lt;O20),MIN(Assumptions!$C$92,Tax_Bands!O$17),0)</f>
        <v>0</v>
      </c>
      <c r="P23" s="20" t="n">
        <f aca="false">IF(AND(P5&gt;=Assumptions!$C$93,P5&lt;=Assumptions!$C$94,P21&lt;P20),MIN(Assumptions!$C$92,Tax_Bands!P$17),0)</f>
        <v>0</v>
      </c>
      <c r="Q23" s="20" t="n">
        <f aca="false">IF(AND(Q5&gt;=Assumptions!$C$93,Q5&lt;=Assumptions!$C$94,Q21&lt;Q20),MIN(Assumptions!$C$92,Tax_Bands!Q$17),0)</f>
        <v>0</v>
      </c>
      <c r="R23" s="20" t="n">
        <f aca="false">IF(AND(R5&gt;=Assumptions!$C$93,R5&lt;=Assumptions!$C$94,R21&lt;R20),MIN(Assumptions!$C$92,Tax_Bands!R$17),0)</f>
        <v>0</v>
      </c>
      <c r="S23" s="20" t="n">
        <f aca="false">IF(AND(S5&gt;=Assumptions!$C$93,S5&lt;=Assumptions!$C$94,S21&lt;S20),MIN(Assumptions!$C$92,Tax_Bands!S$17),0)</f>
        <v>0</v>
      </c>
      <c r="T23" s="20" t="n">
        <f aca="false">IF(AND(T5&gt;=Assumptions!$C$93,T5&lt;=Assumptions!$C$94,T21&lt;T20),MIN(Assumptions!$C$92,Tax_Bands!T$17),0)</f>
        <v>0</v>
      </c>
      <c r="U23" s="20" t="n">
        <f aca="false">IF(AND(U5&gt;=Assumptions!$C$93,U5&lt;=Assumptions!$C$94,U21&lt;U20),MIN(Assumptions!$C$92,Tax_Bands!U$17),0)</f>
        <v>0</v>
      </c>
      <c r="V23" s="20" t="n">
        <f aca="false">IF(AND(V5&gt;=Assumptions!$C$93,V5&lt;=Assumptions!$C$94,V21&lt;V20),MIN(Assumptions!$C$92,Tax_Bands!V$17),0)</f>
        <v>0</v>
      </c>
      <c r="W23" s="20" t="n">
        <f aca="false">IF(AND(W5&gt;=Assumptions!$C$93,W5&lt;=Assumptions!$C$94,W21&lt;W20),MIN(Assumptions!$C$92,Tax_Bands!W$17),0)</f>
        <v>0</v>
      </c>
      <c r="X23" s="20" t="n">
        <f aca="false">IF(AND(X5&gt;=Assumptions!$C$93,X5&lt;=Assumptions!$C$94,X21&lt;X20),MIN(Assumptions!$C$92,Tax_Bands!X$17),0)</f>
        <v>0</v>
      </c>
      <c r="Y23" s="20" t="n">
        <f aca="false">IF(AND(Y5&gt;=Assumptions!$C$93,Y5&lt;=Assumptions!$C$94,Y21&lt;Y20),MIN(Assumptions!$C$92,Tax_Bands!Y$17),0)</f>
        <v>0</v>
      </c>
      <c r="Z23" s="20" t="n">
        <f aca="false">IF(AND(Z5&gt;=Assumptions!$C$93,Z5&lt;=Assumptions!$C$94,Z21&lt;Z20),MIN(Assumptions!$C$92,Tax_Bands!Z$17),0)</f>
        <v>0</v>
      </c>
      <c r="AA23" s="20" t="n">
        <f aca="false">IF(AND(AA5&gt;=Assumptions!$C$93,AA5&lt;=Assumptions!$C$94,AA21&lt;AA20),MIN(Assumptions!$C$92,Tax_Bands!AA$17),0)</f>
        <v>0</v>
      </c>
      <c r="AB23" s="20" t="n">
        <f aca="false">IF(AND(AB5&gt;=Assumptions!$C$93,AB5&lt;=Assumptions!$C$94,AB21&lt;AB20),MIN(Assumptions!$C$92,Tax_Bands!AB$17),0)</f>
        <v>0</v>
      </c>
      <c r="AC23" s="20" t="n">
        <f aca="false">IF(AND(AC5&gt;=Assumptions!$C$93,AC5&lt;=Assumptions!$C$94,AC21&lt;AC20),MIN(Assumptions!$C$92,Tax_Bands!AC$17),0)</f>
        <v>0</v>
      </c>
      <c r="AD23" s="20" t="n">
        <f aca="false">IF(AND(AD5&gt;=Assumptions!$C$93,AD5&lt;=Assumptions!$C$94,AD21&lt;AD20),MIN(Assumptions!$C$92,Tax_Bands!AD$17),0)</f>
        <v>0</v>
      </c>
      <c r="AE23" s="20" t="n">
        <f aca="false">IF(AND(AE5&gt;=Assumptions!$C$93,AE5&lt;=Assumptions!$C$94,AE21&lt;AE20),MIN(Assumptions!$C$92,Tax_Bands!AE$17),0)</f>
        <v>0</v>
      </c>
      <c r="AF23" s="20" t="n">
        <f aca="false">IF(AND(AF5&gt;=Assumptions!$C$93,AF5&lt;=Assumptions!$C$94,AF21&lt;AF20),MIN(Assumptions!$C$92,Tax_Bands!AF$17),0)</f>
        <v>0</v>
      </c>
    </row>
    <row r="24" customFormat="false" ht="15" hidden="false" customHeight="true" outlineLevel="0" collapsed="false">
      <c r="B24" s="56" t="s">
        <v>385</v>
      </c>
      <c r="C24" s="20" t="n">
        <f aca="false">C22*Assumptions!$C$32</f>
        <v>1200</v>
      </c>
      <c r="D24" s="20" t="n">
        <f aca="false">D22*Assumptions!$C$32</f>
        <v>2016</v>
      </c>
      <c r="E24" s="20" t="n">
        <f aca="false">E22*Assumptions!$C$32</f>
        <v>2897.28</v>
      </c>
      <c r="F24" s="20" t="n">
        <f aca="false">F22*Assumptions!$C$32</f>
        <v>3849.0624</v>
      </c>
      <c r="G24" s="20" t="n">
        <f aca="false">G22*Assumptions!$C$32</f>
        <v>4876.987392</v>
      </c>
      <c r="H24" s="20" t="n">
        <f aca="false">H22*Assumptions!$C$32</f>
        <v>5267.14638336</v>
      </c>
      <c r="I24" s="20" t="n">
        <f aca="false">I22*Assumptions!$C$32</f>
        <v>5688.5180940288</v>
      </c>
      <c r="J24" s="20" t="n">
        <f aca="false">J22*Assumptions!$C$32</f>
        <v>6143.5995415511</v>
      </c>
      <c r="K24" s="20" t="n">
        <f aca="false">K22*Assumptions!$C$32</f>
        <v>6635.08750487519</v>
      </c>
      <c r="L24" s="20" t="n">
        <f aca="false">L22*Assumptions!$C$32</f>
        <v>7165.89450526521</v>
      </c>
      <c r="M24" s="20" t="n">
        <f aca="false">M22*Assumptions!$C$32</f>
        <v>7739.16606568642</v>
      </c>
      <c r="N24" s="20" t="n">
        <f aca="false">N22*Assumptions!$C$32</f>
        <v>8358.29935094134</v>
      </c>
      <c r="O24" s="20" t="n">
        <f aca="false">O22*Assumptions!$C$32</f>
        <v>9026.96329901665</v>
      </c>
      <c r="P24" s="20" t="n">
        <f aca="false">P22*Assumptions!$C$32</f>
        <v>9749.12036293798</v>
      </c>
      <c r="Q24" s="20" t="n">
        <f aca="false">Q22*Assumptions!$C$32</f>
        <v>7790.96867658316</v>
      </c>
      <c r="R24" s="20" t="n">
        <f aca="false">R22*Assumptions!$C$32</f>
        <v>5621.40322901215</v>
      </c>
      <c r="S24" s="20" t="n">
        <f aca="false">S22*Assumptions!$C$32</f>
        <v>3222.41568680151</v>
      </c>
      <c r="T24" s="20" t="n">
        <f aca="false">T22*Assumptions!$C$32</f>
        <v>55.0531894365052</v>
      </c>
      <c r="U24" s="20" t="n">
        <f aca="false">U22*Assumptions!$C$32</f>
        <v>59.4574445914256</v>
      </c>
      <c r="V24" s="20" t="n">
        <f aca="false">V22*Assumptions!$C$32</f>
        <v>64.2140401587397</v>
      </c>
      <c r="W24" s="20" t="n">
        <f aca="false">W22*Assumptions!$C$32</f>
        <v>69.3511633714388</v>
      </c>
      <c r="X24" s="20" t="n">
        <f aca="false">X22*Assumptions!$C$32</f>
        <v>74.899256441154</v>
      </c>
      <c r="Y24" s="20" t="n">
        <f aca="false">Y22*Assumptions!$C$32</f>
        <v>80.8911969564463</v>
      </c>
      <c r="Z24" s="20" t="n">
        <f aca="false">Z22*Assumptions!$C$32</f>
        <v>87.362492712962</v>
      </c>
      <c r="AA24" s="20" t="n">
        <f aca="false">AA22*Assumptions!$C$32</f>
        <v>94.3514921299989</v>
      </c>
      <c r="AB24" s="20" t="n">
        <f aca="false">AB22*Assumptions!$C$32</f>
        <v>101.899611500399</v>
      </c>
      <c r="AC24" s="20" t="n">
        <f aca="false">AC22*Assumptions!$C$32</f>
        <v>110.051580420431</v>
      </c>
      <c r="AD24" s="20" t="n">
        <f aca="false">AD22*Assumptions!$C$32</f>
        <v>118.855706854065</v>
      </c>
      <c r="AE24" s="20" t="n">
        <f aca="false">AE22*Assumptions!$C$32</f>
        <v>128.36416340239</v>
      </c>
      <c r="AF24" s="20" t="n">
        <f aca="false">AF22*Assumptions!$C$32</f>
        <v>138.633296474582</v>
      </c>
    </row>
    <row r="25" customFormat="false" ht="15" hidden="false" customHeight="true" outlineLevel="0" collapsed="false">
      <c r="B25" s="56" t="s">
        <v>386</v>
      </c>
      <c r="C25" s="20" t="n">
        <f aca="false">MIN(C22+C23+C24,C19)</f>
        <v>0</v>
      </c>
      <c r="D25" s="20" t="n">
        <f aca="false">MIN(D22+D23+D24,D19)</f>
        <v>0</v>
      </c>
      <c r="E25" s="20" t="n">
        <f aca="false">MIN(E22+E23+E24,E19)</f>
        <v>0</v>
      </c>
      <c r="F25" s="20" t="n">
        <f aca="false">MIN(F22+F23+F24,F19)</f>
        <v>0</v>
      </c>
      <c r="G25" s="20" t="n">
        <f aca="false">MIN(G22+G23+G24,G19)</f>
        <v>0</v>
      </c>
      <c r="H25" s="20" t="n">
        <f aca="false">MIN(H22+H23+H24,H19)</f>
        <v>0</v>
      </c>
      <c r="I25" s="20" t="n">
        <f aca="false">MIN(I22+I23+I24,I19)</f>
        <v>0</v>
      </c>
      <c r="J25" s="20" t="n">
        <f aca="false">MIN(J22+J23+J24,J19)</f>
        <v>0</v>
      </c>
      <c r="K25" s="20" t="n">
        <f aca="false">MIN(K22+K23+K24,K19)</f>
        <v>0</v>
      </c>
      <c r="L25" s="20" t="n">
        <f aca="false">MIN(L22+L23+L24,L19)</f>
        <v>0</v>
      </c>
      <c r="M25" s="20" t="n">
        <f aca="false">MIN(M22+M23+M24,M19)</f>
        <v>0</v>
      </c>
      <c r="N25" s="20" t="n">
        <f aca="false">MIN(N22+N23+N24,N19)</f>
        <v>0</v>
      </c>
      <c r="O25" s="20" t="n">
        <f aca="false">MIN(O22+O23+O24,O19)</f>
        <v>0</v>
      </c>
      <c r="P25" s="20" t="n">
        <f aca="false">MIN(P22+P23+P24,P19)</f>
        <v>34226.0164423733</v>
      </c>
      <c r="Q25" s="20" t="n">
        <f aca="false">MIN(Q22+Q23+Q24,Q19)</f>
        <v>34910.5367712207</v>
      </c>
      <c r="R25" s="20" t="n">
        <f aca="false">MIN(R22+R23+R24,R19)</f>
        <v>35608.7475066451</v>
      </c>
      <c r="S25" s="20" t="n">
        <f aca="false">MIN(S22+S23+S24,S19)</f>
        <v>42814.4469038641</v>
      </c>
      <c r="T25" s="20" t="n">
        <f aca="false">MIN(T22+T23+T24,T19)</f>
        <v>0</v>
      </c>
      <c r="U25" s="20" t="n">
        <f aca="false">MIN(U22+U23+U24,U19)</f>
        <v>0</v>
      </c>
      <c r="V25" s="20" t="n">
        <f aca="false">MIN(V22+V23+V24,V19)</f>
        <v>0</v>
      </c>
      <c r="W25" s="20" t="n">
        <f aca="false">MIN(W22+W23+W24,W19)</f>
        <v>0</v>
      </c>
      <c r="X25" s="20" t="n">
        <f aca="false">MIN(X22+X23+X24,X19)</f>
        <v>0</v>
      </c>
      <c r="Y25" s="20" t="n">
        <f aca="false">MIN(Y22+Y23+Y24,Y19)</f>
        <v>0</v>
      </c>
      <c r="Z25" s="20" t="n">
        <f aca="false">MIN(Z22+Z23+Z24,Z19)</f>
        <v>0</v>
      </c>
      <c r="AA25" s="20" t="n">
        <f aca="false">MIN(AA22+AA23+AA24,AA19)</f>
        <v>0</v>
      </c>
      <c r="AB25" s="20" t="n">
        <f aca="false">MIN(AB22+AB23+AB24,AB19)</f>
        <v>0</v>
      </c>
      <c r="AC25" s="20" t="n">
        <f aca="false">MIN(AC22+AC23+AC24,AC19)</f>
        <v>0</v>
      </c>
      <c r="AD25" s="20" t="n">
        <f aca="false">MIN(AD22+AD23+AD24,AD19)</f>
        <v>0</v>
      </c>
      <c r="AE25" s="20" t="n">
        <f aca="false">MIN(AE22+AE23+AE24,AE19)</f>
        <v>0</v>
      </c>
      <c r="AF25" s="20" t="n">
        <f aca="false">MIN(AF22+AF23+AF24,AF19)</f>
        <v>0</v>
      </c>
    </row>
    <row r="26" customFormat="false" ht="15" hidden="false" customHeight="true" outlineLevel="0" collapsed="false">
      <c r="B26" s="16" t="s">
        <v>387</v>
      </c>
      <c r="C26" s="59" t="n">
        <f aca="false">C22+C23+C24-C25</f>
        <v>25200</v>
      </c>
      <c r="D26" s="59" t="n">
        <f aca="false">D22+D23+D24-D25</f>
        <v>36216</v>
      </c>
      <c r="E26" s="59" t="n">
        <f aca="false">E22+E23+E24-E25</f>
        <v>48113.28</v>
      </c>
      <c r="F26" s="59" t="n">
        <f aca="false">F22+F23+F24-F25</f>
        <v>60962.3424</v>
      </c>
      <c r="G26" s="59" t="n">
        <f aca="false">G22+G23+G24-G25</f>
        <v>65839.329792</v>
      </c>
      <c r="H26" s="59" t="n">
        <f aca="false">H22+H23+H24-H25</f>
        <v>71106.47617536</v>
      </c>
      <c r="I26" s="59" t="n">
        <f aca="false">I22+I23+I24-I25</f>
        <v>76794.9942693888</v>
      </c>
      <c r="J26" s="59" t="n">
        <f aca="false">J22+J23+J24-J25</f>
        <v>82938.5938109399</v>
      </c>
      <c r="K26" s="59" t="n">
        <f aca="false">K22+K23+K24-K25</f>
        <v>89573.6813158151</v>
      </c>
      <c r="L26" s="59" t="n">
        <f aca="false">L22+L23+L24-L25</f>
        <v>96739.5758210803</v>
      </c>
      <c r="M26" s="59" t="n">
        <f aca="false">M22+M23+M24-M25</f>
        <v>104478.741886767</v>
      </c>
      <c r="N26" s="59" t="n">
        <f aca="false">N22+N23+N24-N25</f>
        <v>112837.041237708</v>
      </c>
      <c r="O26" s="59" t="n">
        <f aca="false">O22+O23+O24-O25</f>
        <v>121864.004536725</v>
      </c>
      <c r="P26" s="59" t="n">
        <f aca="false">P22+P23+P24-P25</f>
        <v>97387.1084572894</v>
      </c>
      <c r="Q26" s="59" t="n">
        <f aca="false">Q22+Q23+Q24-Q25</f>
        <v>70267.5403626519</v>
      </c>
      <c r="R26" s="59" t="n">
        <f aca="false">R22+R23+R24-R25</f>
        <v>40280.1960850189</v>
      </c>
      <c r="S26" s="59" t="n">
        <f aca="false">S22+S23+S24-S25</f>
        <v>688.164867956315</v>
      </c>
      <c r="T26" s="59" t="n">
        <f aca="false">T22+T23+T24-T25</f>
        <v>743.21805739282</v>
      </c>
      <c r="U26" s="59" t="n">
        <f aca="false">U22+U23+U24-U25</f>
        <v>802.675501984246</v>
      </c>
      <c r="V26" s="59" t="n">
        <f aca="false">V22+V23+V24-V25</f>
        <v>866.889542142986</v>
      </c>
      <c r="W26" s="59" t="n">
        <f aca="false">W22+W23+W24-W25</f>
        <v>936.240705514424</v>
      </c>
      <c r="X26" s="59" t="n">
        <f aca="false">X22+X23+X24-X25</f>
        <v>1011.13996195558</v>
      </c>
      <c r="Y26" s="59" t="n">
        <f aca="false">Y22+Y23+Y24-Y25</f>
        <v>1092.03115891202</v>
      </c>
      <c r="Z26" s="59" t="n">
        <f aca="false">Z22+Z23+Z24-Z25</f>
        <v>1179.39365162499</v>
      </c>
      <c r="AA26" s="59" t="n">
        <f aca="false">AA22+AA23+AA24-AA25</f>
        <v>1273.74514375499</v>
      </c>
      <c r="AB26" s="59" t="n">
        <f aca="false">AB22+AB23+AB24-AB25</f>
        <v>1375.64475525538</v>
      </c>
      <c r="AC26" s="59" t="n">
        <f aca="false">AC22+AC23+AC24-AC25</f>
        <v>1485.69633567582</v>
      </c>
      <c r="AD26" s="59" t="n">
        <f aca="false">AD22+AD23+AD24-AD25</f>
        <v>1604.55204252988</v>
      </c>
      <c r="AE26" s="59" t="n">
        <f aca="false">AE22+AE23+AE24-AE25</f>
        <v>1732.91620593227</v>
      </c>
      <c r="AF26" s="59" t="n">
        <f aca="false">AF22+AF23+AF24-AF25</f>
        <v>1871.54950240685</v>
      </c>
    </row>
    <row r="27" customFormat="false" ht="15" hidden="false" customHeight="true" outlineLevel="0" collapsed="false">
      <c r="B27" s="16" t="s">
        <v>388</v>
      </c>
      <c r="C27" s="58" t="n">
        <f aca="false">C19-C25</f>
        <v>0</v>
      </c>
      <c r="D27" s="58" t="n">
        <f aca="false">D19-D25</f>
        <v>0</v>
      </c>
      <c r="E27" s="58" t="n">
        <f aca="false">E19-E25</f>
        <v>0</v>
      </c>
      <c r="F27" s="58" t="n">
        <f aca="false">F19-F25</f>
        <v>0</v>
      </c>
      <c r="G27" s="58" t="n">
        <f aca="false">G19-G25</f>
        <v>0</v>
      </c>
      <c r="H27" s="58" t="n">
        <f aca="false">H19-H25</f>
        <v>0</v>
      </c>
      <c r="I27" s="58" t="n">
        <f aca="false">I19-I25</f>
        <v>0</v>
      </c>
      <c r="J27" s="58" t="n">
        <f aca="false">J19-J25</f>
        <v>0</v>
      </c>
      <c r="K27" s="58" t="n">
        <f aca="false">K19-K25</f>
        <v>0</v>
      </c>
      <c r="L27" s="58" t="n">
        <f aca="false">L19-L25</f>
        <v>0</v>
      </c>
      <c r="M27" s="58" t="n">
        <f aca="false">M19-M25</f>
        <v>0</v>
      </c>
      <c r="N27" s="58" t="n">
        <f aca="false">N19-N25</f>
        <v>0</v>
      </c>
      <c r="O27" s="58" t="n">
        <f aca="false">O19-O25</f>
        <v>0</v>
      </c>
      <c r="P27" s="58" t="n">
        <f aca="false">P19-P25</f>
        <v>0</v>
      </c>
      <c r="Q27" s="58" t="n">
        <f aca="false">Q19-Q25</f>
        <v>0</v>
      </c>
      <c r="R27" s="58" t="n">
        <f aca="false">R19-R25</f>
        <v>0</v>
      </c>
      <c r="S27" s="58" t="n">
        <f aca="false">S19-S25</f>
        <v>0</v>
      </c>
      <c r="T27" s="58" t="n">
        <f aca="false">T19-T25</f>
        <v>0</v>
      </c>
      <c r="U27" s="58" t="n">
        <f aca="false">U19-U25</f>
        <v>0</v>
      </c>
      <c r="V27" s="58" t="n">
        <f aca="false">V19-V25</f>
        <v>0</v>
      </c>
      <c r="W27" s="58" t="n">
        <f aca="false">W19-W25</f>
        <v>0</v>
      </c>
      <c r="X27" s="58" t="n">
        <f aca="false">X19-X25</f>
        <v>0</v>
      </c>
      <c r="Y27" s="58" t="n">
        <f aca="false">Y19-Y25</f>
        <v>0</v>
      </c>
      <c r="Z27" s="58" t="n">
        <f aca="false">Z19-Z25</f>
        <v>0</v>
      </c>
      <c r="AA27" s="58" t="n">
        <f aca="false">AA19-AA25</f>
        <v>0</v>
      </c>
      <c r="AB27" s="58" t="n">
        <f aca="false">AB19-AB25</f>
        <v>0</v>
      </c>
      <c r="AC27" s="58" t="n">
        <f aca="false">AC19-AC25</f>
        <v>0</v>
      </c>
      <c r="AD27" s="58" t="n">
        <f aca="false">AD19-AD25</f>
        <v>0</v>
      </c>
      <c r="AE27" s="58" t="n">
        <f aca="false">AE19-AE25</f>
        <v>0</v>
      </c>
      <c r="AF27" s="58" t="n">
        <f aca="false">AF19-AF25</f>
        <v>0</v>
      </c>
    </row>
    <row r="30" customFormat="false" ht="15" hidden="false" customHeight="true" outlineLevel="0" collapsed="false">
      <c r="A30" s="30" t="s">
        <v>389</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row>
    <row r="31" customFormat="false" ht="15" hidden="false" customHeight="true" outlineLevel="0" collapsed="false">
      <c r="B31" s="16" t="s">
        <v>390</v>
      </c>
      <c r="C31" s="58" t="n">
        <f aca="false">IF(AND(C5&gt;=Assumptions!$D$89,C5&lt;=Assumptions!$D$89+Assumptions!$C$77-1),C14,IF(C5=Assumptions!$D$90,C15,0))</f>
        <v>0</v>
      </c>
      <c r="D31" s="58" t="n">
        <f aca="false">IF(AND(D5&gt;=Assumptions!$D$89,D5&lt;=Assumptions!$D$89+Assumptions!$C$77-1),D14,IF(D5=Assumptions!$D$90,D15,0))</f>
        <v>0</v>
      </c>
      <c r="E31" s="58" t="n">
        <f aca="false">IF(AND(E5&gt;=Assumptions!$D$89,E5&lt;=Assumptions!$D$89+Assumptions!$C$77-1),E14,IF(E5=Assumptions!$D$90,E15,0))</f>
        <v>0</v>
      </c>
      <c r="F31" s="58" t="n">
        <f aca="false">IF(AND(F5&gt;=Assumptions!$D$89,F5&lt;=Assumptions!$D$89+Assumptions!$C$77-1),F14,IF(F5=Assumptions!$D$90,F15,0))</f>
        <v>0</v>
      </c>
      <c r="G31" s="58" t="n">
        <f aca="false">IF(AND(G5&gt;=Assumptions!$D$89,G5&lt;=Assumptions!$D$89+Assumptions!$C$77-1),G14,IF(G5=Assumptions!$D$90,G15,0))</f>
        <v>0</v>
      </c>
      <c r="H31" s="58" t="n">
        <f aca="false">IF(AND(H5&gt;=Assumptions!$D$89,H5&lt;=Assumptions!$D$89+Assumptions!$C$77-1),H14,IF(H5=Assumptions!$D$90,H15,0))</f>
        <v>0</v>
      </c>
      <c r="I31" s="58" t="n">
        <f aca="false">IF(AND(I5&gt;=Assumptions!$D$89,I5&lt;=Assumptions!$D$89+Assumptions!$C$77-1),I14,IF(I5=Assumptions!$D$90,I15,0))</f>
        <v>0</v>
      </c>
      <c r="J31" s="58" t="n">
        <f aca="false">IF(AND(J5&gt;=Assumptions!$D$89,J5&lt;=Assumptions!$D$89+Assumptions!$C$77-1),J14,IF(J5=Assumptions!$D$90,J15,0))</f>
        <v>0</v>
      </c>
      <c r="K31" s="58" t="n">
        <f aca="false">IF(AND(K5&gt;=Assumptions!$D$89,K5&lt;=Assumptions!$D$89+Assumptions!$C$77-1),K14,IF(K5=Assumptions!$D$90,K15,0))</f>
        <v>0</v>
      </c>
      <c r="L31" s="58" t="n">
        <f aca="false">IF(AND(L5&gt;=Assumptions!$D$89,L5&lt;=Assumptions!$D$89+Assumptions!$C$77-1),L14,IF(L5=Assumptions!$D$90,L15,0))</f>
        <v>0</v>
      </c>
      <c r="M31" s="58" t="n">
        <f aca="false">IF(AND(M5&gt;=Assumptions!$D$89,M5&lt;=Assumptions!$D$89+Assumptions!$C$77-1),M14,IF(M5=Assumptions!$D$90,M15,0))</f>
        <v>0</v>
      </c>
      <c r="N31" s="58" t="n">
        <f aca="false">IF(AND(N5&gt;=Assumptions!$D$89,N5&lt;=Assumptions!$D$89+Assumptions!$C$77-1),N14,IF(N5=Assumptions!$D$90,N15,0))</f>
        <v>0</v>
      </c>
      <c r="O31" s="58" t="n">
        <f aca="false">IF(AND(O5&gt;=Assumptions!$D$89,O5&lt;=Assumptions!$D$89+Assumptions!$C$77-1),O14,IF(O5=Assumptions!$D$90,O15,0))</f>
        <v>0</v>
      </c>
      <c r="P31" s="58" t="n">
        <f aca="false">IF(AND(P5&gt;=Assumptions!$D$89,P5&lt;=Assumptions!$D$89+Assumptions!$C$77-1),P14,IF(P5=Assumptions!$D$90,P15,0))</f>
        <v>0</v>
      </c>
      <c r="Q31" s="58" t="n">
        <f aca="false">IF(AND(Q5&gt;=Assumptions!$D$89,Q5&lt;=Assumptions!$D$89+Assumptions!$C$77-1),Q14,IF(Q5=Assumptions!$D$90,Q15,0))</f>
        <v>0</v>
      </c>
      <c r="R31" s="58" t="n">
        <f aca="false">IF(AND(R5&gt;=Assumptions!$D$89,R5&lt;=Assumptions!$D$89+Assumptions!$C$77-1),R14,IF(R5=Assumptions!$D$90,R15,0))</f>
        <v>0</v>
      </c>
      <c r="S31" s="58" t="n">
        <f aca="false">IF(AND(S5&gt;=Assumptions!$D$89,S5&lt;=Assumptions!$D$89+Assumptions!$C$77-1),S14,IF(S5=Assumptions!$D$90,S15,0))</f>
        <v>36320.922456778</v>
      </c>
      <c r="T31" s="58" t="n">
        <f aca="false">IF(AND(T5&gt;=Assumptions!$D$89,T5&lt;=Assumptions!$D$89+Assumptions!$C$77-1),T14,IF(T5=Assumptions!$D$90,T15,0))</f>
        <v>37047.3409059136</v>
      </c>
      <c r="U31" s="58" t="n">
        <f aca="false">IF(AND(U5&gt;=Assumptions!$D$89,U5&lt;=Assumptions!$D$89+Assumptions!$C$77-1),U14,IF(U5=Assumptions!$D$90,U15,0))</f>
        <v>37788.2877240319</v>
      </c>
      <c r="V31" s="58" t="n">
        <f aca="false">IF(AND(V5&gt;=Assumptions!$D$89,V5&lt;=Assumptions!$D$89+Assumptions!$C$77-1),V14,IF(V5=Assumptions!$D$90,V15,0))</f>
        <v>45435.0335699558</v>
      </c>
      <c r="W31" s="58" t="n">
        <f aca="false">IF(AND(W5&gt;=Assumptions!$D$89,W5&lt;=Assumptions!$D$89+Assumptions!$C$77-1),W14,IF(W5=Assumptions!$D$90,W15,0))</f>
        <v>0</v>
      </c>
      <c r="X31" s="58" t="n">
        <f aca="false">IF(AND(X5&gt;=Assumptions!$D$89,X5&lt;=Assumptions!$D$89+Assumptions!$C$77-1),X14,IF(X5=Assumptions!$D$90,X15,0))</f>
        <v>0</v>
      </c>
      <c r="Y31" s="58" t="n">
        <f aca="false">IF(AND(Y5&gt;=Assumptions!$D$89,Y5&lt;=Assumptions!$D$89+Assumptions!$C$77-1),Y14,IF(Y5=Assumptions!$D$90,Y15,0))</f>
        <v>0</v>
      </c>
      <c r="Z31" s="58" t="n">
        <f aca="false">IF(AND(Z5&gt;=Assumptions!$D$89,Z5&lt;=Assumptions!$D$89+Assumptions!$C$77-1),Z14,IF(Z5=Assumptions!$D$90,Z15,0))</f>
        <v>0</v>
      </c>
      <c r="AA31" s="58" t="n">
        <f aca="false">IF(AND(AA5&gt;=Assumptions!$D$89,AA5&lt;=Assumptions!$D$89+Assumptions!$C$77-1),AA14,IF(AA5=Assumptions!$D$90,AA15,0))</f>
        <v>0</v>
      </c>
      <c r="AB31" s="58" t="n">
        <f aca="false">IF(AND(AB5&gt;=Assumptions!$D$89,AB5&lt;=Assumptions!$D$89+Assumptions!$C$77-1),AB14,IF(AB5=Assumptions!$D$90,AB15,0))</f>
        <v>0</v>
      </c>
      <c r="AC31" s="58" t="n">
        <f aca="false">IF(AND(AC5&gt;=Assumptions!$D$89,AC5&lt;=Assumptions!$D$89+Assumptions!$C$77-1),AC14,IF(AC5=Assumptions!$D$90,AC15,0))</f>
        <v>0</v>
      </c>
      <c r="AD31" s="58" t="n">
        <f aca="false">IF(AND(AD5&gt;=Assumptions!$D$89,AD5&lt;=Assumptions!$D$89+Assumptions!$C$77-1),AD14,IF(AD5=Assumptions!$D$90,AD15,0))</f>
        <v>0</v>
      </c>
      <c r="AE31" s="58" t="n">
        <f aca="false">IF(AND(AE5&gt;=Assumptions!$D$89,AE5&lt;=Assumptions!$D$89+Assumptions!$C$77-1),AE14,IF(AE5=Assumptions!$D$90,AE15,0))</f>
        <v>0</v>
      </c>
      <c r="AF31" s="58" t="n">
        <f aca="false">IF(AND(AF5&gt;=Assumptions!$D$89,AF5&lt;=Assumptions!$D$89+Assumptions!$C$77-1),AF14,IF(AF5=Assumptions!$D$90,AF15,0))</f>
        <v>0</v>
      </c>
    </row>
    <row r="32" customFormat="false" ht="15" hidden="false" customHeight="true" outlineLevel="0" collapsed="false">
      <c r="B32" s="16" t="s">
        <v>391</v>
      </c>
      <c r="C32" s="59" t="n">
        <f aca="false">SUMPRODUCT($C$31:$AF$31/(1+Assumptions!$C$32)^($C$5:$AF$5-Assumptions!$D$89+1))</f>
        <v>128786.27446888</v>
      </c>
      <c r="D32" s="59" t="n">
        <f aca="false">SUMPRODUCT($C$31:$AF$31/(1+Assumptions!$C$32)^($C$5:$AF$5-Assumptions!$D$89+1))</f>
        <v>128786.27446888</v>
      </c>
      <c r="E32" s="59" t="n">
        <f aca="false">SUMPRODUCT($C$31:$AF$31/(1+Assumptions!$C$32)^($C$5:$AF$5-Assumptions!$D$89+1))</f>
        <v>128786.27446888</v>
      </c>
      <c r="F32" s="59" t="n">
        <f aca="false">SUMPRODUCT($C$31:$AF$31/(1+Assumptions!$C$32)^($C$5:$AF$5-Assumptions!$D$89+1))</f>
        <v>128786.27446888</v>
      </c>
      <c r="G32" s="59" t="n">
        <f aca="false">SUMPRODUCT($C$31:$AF$31/(1+Assumptions!$C$32)^($C$5:$AF$5-Assumptions!$D$89+1))</f>
        <v>128786.27446888</v>
      </c>
      <c r="H32" s="59" t="n">
        <f aca="false">SUMPRODUCT($C$31:$AF$31/(1+Assumptions!$C$32)^($C$5:$AF$5-Assumptions!$D$89+1))</f>
        <v>128786.27446888</v>
      </c>
      <c r="I32" s="59" t="n">
        <f aca="false">SUMPRODUCT($C$31:$AF$31/(1+Assumptions!$C$32)^($C$5:$AF$5-Assumptions!$D$89+1))</f>
        <v>128786.27446888</v>
      </c>
      <c r="J32" s="59" t="n">
        <f aca="false">SUMPRODUCT($C$31:$AF$31/(1+Assumptions!$C$32)^($C$5:$AF$5-Assumptions!$D$89+1))</f>
        <v>128786.27446888</v>
      </c>
      <c r="K32" s="59" t="n">
        <f aca="false">SUMPRODUCT($C$31:$AF$31/(1+Assumptions!$C$32)^($C$5:$AF$5-Assumptions!$D$89+1))</f>
        <v>128786.27446888</v>
      </c>
      <c r="L32" s="59" t="n">
        <f aca="false">SUMPRODUCT($C$31:$AF$31/(1+Assumptions!$C$32)^($C$5:$AF$5-Assumptions!$D$89+1))</f>
        <v>128786.27446888</v>
      </c>
      <c r="M32" s="59" t="n">
        <f aca="false">SUMPRODUCT($C$31:$AF$31/(1+Assumptions!$C$32)^($C$5:$AF$5-Assumptions!$D$89+1))</f>
        <v>128786.27446888</v>
      </c>
      <c r="N32" s="59" t="n">
        <f aca="false">SUMPRODUCT($C$31:$AF$31/(1+Assumptions!$C$32)^($C$5:$AF$5-Assumptions!$D$89+1))</f>
        <v>128786.27446888</v>
      </c>
      <c r="O32" s="59" t="n">
        <f aca="false">SUMPRODUCT($C$31:$AF$31/(1+Assumptions!$C$32)^($C$5:$AF$5-Assumptions!$D$89+1))</f>
        <v>128786.27446888</v>
      </c>
      <c r="P32" s="59" t="n">
        <f aca="false">SUMPRODUCT($C$31:$AF$31/(1+Assumptions!$C$32)^($C$5:$AF$5-Assumptions!$D$89+1))</f>
        <v>128786.27446888</v>
      </c>
      <c r="Q32" s="59" t="n">
        <f aca="false">SUMPRODUCT($C$31:$AF$31/(1+Assumptions!$C$32)^($C$5:$AF$5-Assumptions!$D$89+1))</f>
        <v>128786.27446888</v>
      </c>
      <c r="R32" s="59" t="n">
        <f aca="false">SUMPRODUCT($C$31:$AF$31/(1+Assumptions!$C$32)^($C$5:$AF$5-Assumptions!$D$89+1))</f>
        <v>128786.27446888</v>
      </c>
      <c r="S32" s="59" t="n">
        <f aca="false">SUMPRODUCT($C$31:$AF$31/(1+Assumptions!$C$32)^($C$5:$AF$5-Assumptions!$D$89+1))</f>
        <v>128786.27446888</v>
      </c>
      <c r="T32" s="59" t="n">
        <f aca="false">SUMPRODUCT($C$31:$AF$31/(1+Assumptions!$C$32)^($C$5:$AF$5-Assumptions!$D$89+1))</f>
        <v>128786.27446888</v>
      </c>
      <c r="U32" s="59" t="n">
        <f aca="false">SUMPRODUCT($C$31:$AF$31/(1+Assumptions!$C$32)^($C$5:$AF$5-Assumptions!$D$89+1))</f>
        <v>128786.27446888</v>
      </c>
      <c r="V32" s="59" t="n">
        <f aca="false">SUMPRODUCT($C$31:$AF$31/(1+Assumptions!$C$32)^($C$5:$AF$5-Assumptions!$D$89+1))</f>
        <v>128786.27446888</v>
      </c>
      <c r="W32" s="59" t="n">
        <f aca="false">SUMPRODUCT($C$31:$AF$31/(1+Assumptions!$C$32)^($C$5:$AF$5-Assumptions!$D$89+1))</f>
        <v>128786.27446888</v>
      </c>
      <c r="X32" s="59" t="n">
        <f aca="false">SUMPRODUCT($C$31:$AF$31/(1+Assumptions!$C$32)^($C$5:$AF$5-Assumptions!$D$89+1))</f>
        <v>128786.27446888</v>
      </c>
      <c r="Y32" s="59" t="n">
        <f aca="false">SUMPRODUCT($C$31:$AF$31/(1+Assumptions!$C$32)^($C$5:$AF$5-Assumptions!$D$89+1))</f>
        <v>128786.27446888</v>
      </c>
      <c r="Z32" s="59" t="n">
        <f aca="false">SUMPRODUCT($C$31:$AF$31/(1+Assumptions!$C$32)^($C$5:$AF$5-Assumptions!$D$89+1))</f>
        <v>128786.27446888</v>
      </c>
      <c r="AA32" s="59" t="n">
        <f aca="false">SUMPRODUCT($C$31:$AF$31/(1+Assumptions!$C$32)^($C$5:$AF$5-Assumptions!$D$89+1))</f>
        <v>128786.27446888</v>
      </c>
      <c r="AB32" s="59" t="n">
        <f aca="false">SUMPRODUCT($C$31:$AF$31/(1+Assumptions!$C$32)^($C$5:$AF$5-Assumptions!$D$89+1))</f>
        <v>128786.27446888</v>
      </c>
      <c r="AC32" s="59" t="n">
        <f aca="false">SUMPRODUCT($C$31:$AF$31/(1+Assumptions!$C$32)^($C$5:$AF$5-Assumptions!$D$89+1))</f>
        <v>128786.27446888</v>
      </c>
      <c r="AD32" s="59" t="n">
        <f aca="false">SUMPRODUCT($C$31:$AF$31/(1+Assumptions!$C$32)^($C$5:$AF$5-Assumptions!$D$89+1))</f>
        <v>128786.27446888</v>
      </c>
      <c r="AE32" s="59" t="n">
        <f aca="false">SUMPRODUCT($C$31:$AF$31/(1+Assumptions!$C$32)^($C$5:$AF$5-Assumptions!$D$89+1))</f>
        <v>128786.27446888</v>
      </c>
      <c r="AF32" s="59" t="n">
        <f aca="false">SUMPRODUCT($C$31:$AF$31/(1+Assumptions!$C$32)^($C$5:$AF$5-Assumptions!$D$89+1))</f>
        <v>128786.27446888</v>
      </c>
    </row>
    <row r="33" customFormat="false" ht="15" hidden="false" customHeight="true" outlineLevel="0" collapsed="false">
      <c r="B33" s="56" t="s">
        <v>382</v>
      </c>
      <c r="C33" s="20" t="n">
        <f aca="false">C34*(1+Assumptions!$C$32)^(Assumptions!$D$89-C5)</f>
        <v>0</v>
      </c>
      <c r="D33" s="20" t="n">
        <f aca="false">D34*(1+Assumptions!$C$32)^(Assumptions!$D$89-D5)</f>
        <v>28549.5220277845</v>
      </c>
      <c r="E33" s="20" t="n">
        <f aca="false">E34*(1+Assumptions!$C$32)^(Assumptions!$D$89-E5)</f>
        <v>54984.2646461034</v>
      </c>
      <c r="F33" s="20" t="n">
        <f aca="false">F34*(1+Assumptions!$C$32)^(Assumptions!$D$89-F5)</f>
        <v>79460.8781815839</v>
      </c>
      <c r="G33" s="20" t="n">
        <f aca="false">G34*(1+Assumptions!$C$32)^(Assumptions!$D$89-G5)</f>
        <v>102124.409232955</v>
      </c>
      <c r="H33" s="20" t="n">
        <f aca="false">H34*(1+Assumptions!$C$32)^(Assumptions!$D$89-H5)</f>
        <v>123109.160206446</v>
      </c>
      <c r="I33" s="20" t="n">
        <f aca="false">I34*(1+Assumptions!$C$32)^(Assumptions!$D$89-I5)</f>
        <v>142539.485181901</v>
      </c>
      <c r="J33" s="20" t="n">
        <f aca="false">J34*(1+Assumptions!$C$32)^(Assumptions!$D$89-J5)</f>
        <v>142539.485181901</v>
      </c>
      <c r="K33" s="20" t="n">
        <f aca="false">K34*(1+Assumptions!$C$32)^(Assumptions!$D$89-K5)</f>
        <v>142539.485181901</v>
      </c>
      <c r="L33" s="20" t="n">
        <f aca="false">L34*(1+Assumptions!$C$32)^(Assumptions!$D$89-L5)</f>
        <v>142539.485181901</v>
      </c>
      <c r="M33" s="20" t="n">
        <f aca="false">M34*(1+Assumptions!$C$32)^(Assumptions!$D$89-M5)</f>
        <v>142539.485181901</v>
      </c>
      <c r="N33" s="20" t="n">
        <f aca="false">N34*(1+Assumptions!$C$32)^(Assumptions!$D$89-N5)</f>
        <v>142539.485181901</v>
      </c>
      <c r="O33" s="20" t="n">
        <f aca="false">O34*(1+Assumptions!$C$32)^(Assumptions!$D$89-O5)</f>
        <v>142539.485181901</v>
      </c>
      <c r="P33" s="20" t="n">
        <f aca="false">P34*(1+Assumptions!$C$32)^(Assumptions!$D$89-P5)</f>
        <v>142539.485181901</v>
      </c>
      <c r="Q33" s="20" t="n">
        <f aca="false">Q34*(1+Assumptions!$C$32)^(Assumptions!$D$89-Q5)</f>
        <v>142539.485181901</v>
      </c>
      <c r="R33" s="20" t="n">
        <f aca="false">R34*(1+Assumptions!$C$32)^(Assumptions!$D$89-R5)</f>
        <v>142539.485181901</v>
      </c>
      <c r="S33" s="20" t="n">
        <f aca="false">S34*(1+Assumptions!$C$32)^(Assumptions!$D$89-S5)</f>
        <v>142539.485181901</v>
      </c>
      <c r="T33" s="20" t="n">
        <f aca="false">T34*(1+Assumptions!$C$32)^(Assumptions!$D$89-T5)</f>
        <v>108909.001425625</v>
      </c>
      <c r="U33" s="20" t="n">
        <f aca="false">U34*(1+Assumptions!$C$32)^(Assumptions!$D$89-U5)</f>
        <v>77146.8778780312</v>
      </c>
      <c r="V33" s="20" t="n">
        <f aca="false">V34*(1+Assumptions!$C$32)^(Assumptions!$D$89-V5)</f>
        <v>47149.3167497481</v>
      </c>
      <c r="W33" s="20" t="n">
        <f aca="false">W34*(1+Assumptions!$C$32)^(Assumptions!$D$89-W5)</f>
        <v>13753.2107130215</v>
      </c>
      <c r="X33" s="20" t="n">
        <f aca="false">X34*(1+Assumptions!$C$32)^(Assumptions!$D$89-X5)</f>
        <v>13753.2107130215</v>
      </c>
      <c r="Y33" s="20" t="n">
        <f aca="false">Y34*(1+Assumptions!$C$32)^(Assumptions!$D$89-Y5)</f>
        <v>13753.2107130215</v>
      </c>
      <c r="Z33" s="20" t="n">
        <f aca="false">Z34*(1+Assumptions!$C$32)^(Assumptions!$D$89-Z5)</f>
        <v>13753.2107130215</v>
      </c>
      <c r="AA33" s="20" t="n">
        <f aca="false">AA34*(1+Assumptions!$C$32)^(Assumptions!$D$89-AA5)</f>
        <v>13753.2107130215</v>
      </c>
      <c r="AB33" s="20" t="n">
        <f aca="false">AB34*(1+Assumptions!$C$32)^(Assumptions!$D$89-AB5)</f>
        <v>13753.2107130215</v>
      </c>
      <c r="AC33" s="20" t="n">
        <f aca="false">AC34*(1+Assumptions!$C$32)^(Assumptions!$D$89-AC5)</f>
        <v>13753.2107130215</v>
      </c>
      <c r="AD33" s="20" t="n">
        <f aca="false">AD34*(1+Assumptions!$C$32)^(Assumptions!$D$89-AD5)</f>
        <v>13753.2107130215</v>
      </c>
      <c r="AE33" s="20" t="n">
        <f aca="false">AE34*(1+Assumptions!$C$32)^(Assumptions!$D$89-AE5)</f>
        <v>13753.2107130215</v>
      </c>
      <c r="AF33" s="20" t="n">
        <f aca="false">AF34*(1+Assumptions!$C$32)^(Assumptions!$D$89-AF5)</f>
        <v>13753.2107130215</v>
      </c>
    </row>
    <row r="34" customFormat="false" ht="15" hidden="false" customHeight="true" outlineLevel="0" collapsed="false">
      <c r="B34" s="6" t="s">
        <v>383</v>
      </c>
      <c r="C34" s="20" t="n">
        <f aca="false">Assumptions!$D$91</f>
        <v>0</v>
      </c>
      <c r="D34" s="20" t="n">
        <f aca="false">C38</f>
        <v>9000</v>
      </c>
      <c r="E34" s="20" t="n">
        <f aca="false">D38</f>
        <v>18720</v>
      </c>
      <c r="F34" s="20" t="n">
        <f aca="false">E38</f>
        <v>29217.6</v>
      </c>
      <c r="G34" s="20" t="n">
        <f aca="false">F38</f>
        <v>40555.008</v>
      </c>
      <c r="H34" s="20" t="n">
        <f aca="false">G38</f>
        <v>52799.40864</v>
      </c>
      <c r="I34" s="20" t="n">
        <f aca="false">H38</f>
        <v>66023.3613312</v>
      </c>
      <c r="J34" s="20" t="n">
        <f aca="false">I38</f>
        <v>71305.230237696</v>
      </c>
      <c r="K34" s="20" t="n">
        <f aca="false">J38</f>
        <v>77009.6486567117</v>
      </c>
      <c r="L34" s="20" t="n">
        <f aca="false">K38</f>
        <v>83170.4205492486</v>
      </c>
      <c r="M34" s="20" t="n">
        <f aca="false">L38</f>
        <v>89824.0541931885</v>
      </c>
      <c r="N34" s="20" t="n">
        <f aca="false">M38</f>
        <v>97009.9785286436</v>
      </c>
      <c r="O34" s="20" t="n">
        <f aca="false">N38</f>
        <v>104770.776810935</v>
      </c>
      <c r="P34" s="20" t="n">
        <f aca="false">O38</f>
        <v>113152.43895581</v>
      </c>
      <c r="Q34" s="20" t="n">
        <f aca="false">P38</f>
        <v>122204.634072275</v>
      </c>
      <c r="R34" s="20" t="n">
        <f aca="false">Q38</f>
        <v>131981.004798057</v>
      </c>
      <c r="S34" s="20" t="n">
        <f aca="false">R38</f>
        <v>142539.485181901</v>
      </c>
      <c r="T34" s="20" t="n">
        <f aca="false">S38</f>
        <v>117621.721539675</v>
      </c>
      <c r="U34" s="20" t="n">
        <f aca="false">T38</f>
        <v>89984.1183569357</v>
      </c>
      <c r="V34" s="20" t="n">
        <f aca="false">U38</f>
        <v>59394.5601014586</v>
      </c>
      <c r="W34" s="20" t="n">
        <f aca="false">V38</f>
        <v>18711.0913396195</v>
      </c>
      <c r="X34" s="20" t="n">
        <f aca="false">W38</f>
        <v>20207.9786467891</v>
      </c>
      <c r="Y34" s="20" t="n">
        <f aca="false">X38</f>
        <v>21824.6169385322</v>
      </c>
      <c r="Z34" s="20" t="n">
        <f aca="false">Y38</f>
        <v>23570.5862936148</v>
      </c>
      <c r="AA34" s="20" t="n">
        <f aca="false">Z38</f>
        <v>25456.233197104</v>
      </c>
      <c r="AB34" s="20" t="n">
        <f aca="false">AA38</f>
        <v>27492.7318528723</v>
      </c>
      <c r="AC34" s="20" t="n">
        <f aca="false">AB38</f>
        <v>29692.1504011021</v>
      </c>
      <c r="AD34" s="20" t="n">
        <f aca="false">AC38</f>
        <v>32067.5224331902</v>
      </c>
      <c r="AE34" s="20" t="n">
        <f aca="false">AD38</f>
        <v>34632.9242278455</v>
      </c>
      <c r="AF34" s="20" t="n">
        <f aca="false">AE38</f>
        <v>37403.5581660731</v>
      </c>
    </row>
    <row r="35" customFormat="false" ht="15" hidden="false" customHeight="true" outlineLevel="0" collapsed="false">
      <c r="B35" s="56" t="s">
        <v>384</v>
      </c>
      <c r="C35" s="20" t="n">
        <f aca="false">IF(AND(C5&gt;=Assumptions!$D$93,C5&lt;=Assumptions!$D$94,C33&lt;C32),MIN(Assumptions!$D$92,Tax_Bands!C$17),0)</f>
        <v>9000</v>
      </c>
      <c r="D35" s="20" t="n">
        <f aca="false">IF(AND(D5&gt;=Assumptions!$D$93,D5&lt;=Assumptions!$D$94,D33&lt;D32),MIN(Assumptions!$D$92,Tax_Bands!D$17),0)</f>
        <v>9000</v>
      </c>
      <c r="E35" s="20" t="n">
        <f aca="false">IF(AND(E5&gt;=Assumptions!$D$93,E5&lt;=Assumptions!$D$94,E33&lt;E32),MIN(Assumptions!$D$92,Tax_Bands!E$17),0)</f>
        <v>9000</v>
      </c>
      <c r="F35" s="20" t="n">
        <f aca="false">IF(AND(F5&gt;=Assumptions!$D$93,F5&lt;=Assumptions!$D$94,F33&lt;F32),MIN(Assumptions!$D$92,Tax_Bands!F$17),0)</f>
        <v>9000</v>
      </c>
      <c r="G35" s="20" t="n">
        <f aca="false">IF(AND(G5&gt;=Assumptions!$D$93,G5&lt;=Assumptions!$D$94,G33&lt;G32),MIN(Assumptions!$D$92,Tax_Bands!G$17),0)</f>
        <v>9000</v>
      </c>
      <c r="H35" s="20" t="n">
        <f aca="false">IF(AND(H5&gt;=Assumptions!$D$93,H5&lt;=Assumptions!$D$94,H33&lt;H32),MIN(Assumptions!$D$92,Tax_Bands!H$17),0)</f>
        <v>9000</v>
      </c>
      <c r="I35" s="20" t="n">
        <f aca="false">IF(AND(I5&gt;=Assumptions!$D$93,I5&lt;=Assumptions!$D$94,I33&lt;I32),MIN(Assumptions!$D$92,Tax_Bands!I$17),0)</f>
        <v>0</v>
      </c>
      <c r="J35" s="20" t="n">
        <f aca="false">IF(AND(J5&gt;=Assumptions!$D$93,J5&lt;=Assumptions!$D$94,J33&lt;J32),MIN(Assumptions!$D$92,Tax_Bands!J$17),0)</f>
        <v>0</v>
      </c>
      <c r="K35" s="20" t="n">
        <f aca="false">IF(AND(K5&gt;=Assumptions!$D$93,K5&lt;=Assumptions!$D$94,K33&lt;K32),MIN(Assumptions!$D$92,Tax_Bands!K$17),0)</f>
        <v>0</v>
      </c>
      <c r="L35" s="20" t="n">
        <f aca="false">IF(AND(L5&gt;=Assumptions!$D$93,L5&lt;=Assumptions!$D$94,L33&lt;L32),MIN(Assumptions!$D$92,Tax_Bands!L$17),0)</f>
        <v>0</v>
      </c>
      <c r="M35" s="20" t="n">
        <f aca="false">IF(AND(M5&gt;=Assumptions!$D$93,M5&lt;=Assumptions!$D$94,M33&lt;M32),MIN(Assumptions!$D$92,Tax_Bands!M$17),0)</f>
        <v>0</v>
      </c>
      <c r="N35" s="20" t="n">
        <f aca="false">IF(AND(N5&gt;=Assumptions!$D$93,N5&lt;=Assumptions!$D$94,N33&lt;N32),MIN(Assumptions!$D$92,Tax_Bands!N$17),0)</f>
        <v>0</v>
      </c>
      <c r="O35" s="20" t="n">
        <f aca="false">IF(AND(O5&gt;=Assumptions!$D$93,O5&lt;=Assumptions!$D$94,O33&lt;O32),MIN(Assumptions!$D$92,Tax_Bands!O$17),0)</f>
        <v>0</v>
      </c>
      <c r="P35" s="20" t="n">
        <f aca="false">IF(AND(P5&gt;=Assumptions!$D$93,P5&lt;=Assumptions!$D$94,P33&lt;P32),MIN(Assumptions!$D$92,Tax_Bands!P$17),0)</f>
        <v>0</v>
      </c>
      <c r="Q35" s="20" t="n">
        <f aca="false">IF(AND(Q5&gt;=Assumptions!$D$93,Q5&lt;=Assumptions!$D$94,Q33&lt;Q32),MIN(Assumptions!$D$92,Tax_Bands!Q$17),0)</f>
        <v>0</v>
      </c>
      <c r="R35" s="20" t="n">
        <f aca="false">IF(AND(R5&gt;=Assumptions!$D$93,R5&lt;=Assumptions!$D$94,R33&lt;R32),MIN(Assumptions!$D$92,Tax_Bands!R$17),0)</f>
        <v>0</v>
      </c>
      <c r="S35" s="20" t="n">
        <f aca="false">IF(AND(S5&gt;=Assumptions!$D$93,S5&lt;=Assumptions!$D$94,S33&lt;S32),MIN(Assumptions!$D$92,Tax_Bands!S$17),0)</f>
        <v>0</v>
      </c>
      <c r="T35" s="20" t="n">
        <f aca="false">IF(AND(T5&gt;=Assumptions!$D$93,T5&lt;=Assumptions!$D$94,T33&lt;T32),MIN(Assumptions!$D$92,Tax_Bands!T$17),0)</f>
        <v>0</v>
      </c>
      <c r="U35" s="20" t="n">
        <f aca="false">IF(AND(U5&gt;=Assumptions!$D$93,U5&lt;=Assumptions!$D$94,U33&lt;U32),MIN(Assumptions!$D$92,Tax_Bands!U$17),0)</f>
        <v>0</v>
      </c>
      <c r="V35" s="20" t="n">
        <f aca="false">IF(AND(V5&gt;=Assumptions!$D$93,V5&lt;=Assumptions!$D$94,V33&lt;V32),MIN(Assumptions!$D$92,Tax_Bands!V$17),0)</f>
        <v>0</v>
      </c>
      <c r="W35" s="20" t="n">
        <f aca="false">IF(AND(W5&gt;=Assumptions!$D$93,W5&lt;=Assumptions!$D$94,W33&lt;W32),MIN(Assumptions!$D$92,Tax_Bands!W$17),0)</f>
        <v>0</v>
      </c>
      <c r="X35" s="20" t="n">
        <f aca="false">IF(AND(X5&gt;=Assumptions!$D$93,X5&lt;=Assumptions!$D$94,X33&lt;X32),MIN(Assumptions!$D$92,Tax_Bands!X$17),0)</f>
        <v>0</v>
      </c>
      <c r="Y35" s="20" t="n">
        <f aca="false">IF(AND(Y5&gt;=Assumptions!$D$93,Y5&lt;=Assumptions!$D$94,Y33&lt;Y32),MIN(Assumptions!$D$92,Tax_Bands!Y$17),0)</f>
        <v>0</v>
      </c>
      <c r="Z35" s="20" t="n">
        <f aca="false">IF(AND(Z5&gt;=Assumptions!$D$93,Z5&lt;=Assumptions!$D$94,Z33&lt;Z32),MIN(Assumptions!$D$92,Tax_Bands!Z$17),0)</f>
        <v>0</v>
      </c>
      <c r="AA35" s="20" t="n">
        <f aca="false">IF(AND(AA5&gt;=Assumptions!$D$93,AA5&lt;=Assumptions!$D$94,AA33&lt;AA32),MIN(Assumptions!$D$92,Tax_Bands!AA$17),0)</f>
        <v>0</v>
      </c>
      <c r="AB35" s="20" t="n">
        <f aca="false">IF(AND(AB5&gt;=Assumptions!$D$93,AB5&lt;=Assumptions!$D$94,AB33&lt;AB32),MIN(Assumptions!$D$92,Tax_Bands!AB$17),0)</f>
        <v>0</v>
      </c>
      <c r="AC35" s="20" t="n">
        <f aca="false">IF(AND(AC5&gt;=Assumptions!$D$93,AC5&lt;=Assumptions!$D$94,AC33&lt;AC32),MIN(Assumptions!$D$92,Tax_Bands!AC$17),0)</f>
        <v>0</v>
      </c>
      <c r="AD35" s="20" t="n">
        <f aca="false">IF(AND(AD5&gt;=Assumptions!$D$93,AD5&lt;=Assumptions!$D$94,AD33&lt;AD32),MIN(Assumptions!$D$92,Tax_Bands!AD$17),0)</f>
        <v>0</v>
      </c>
      <c r="AE35" s="20" t="n">
        <f aca="false">IF(AND(AE5&gt;=Assumptions!$D$93,AE5&lt;=Assumptions!$D$94,AE33&lt;AE32),MIN(Assumptions!$D$92,Tax_Bands!AE$17),0)</f>
        <v>0</v>
      </c>
      <c r="AF35" s="20" t="n">
        <f aca="false">IF(AND(AF5&gt;=Assumptions!$D$93,AF5&lt;=Assumptions!$D$94,AF33&lt;AF32),MIN(Assumptions!$D$92,Tax_Bands!AF$17),0)</f>
        <v>0</v>
      </c>
    </row>
    <row r="36" customFormat="false" ht="15" hidden="false" customHeight="true" outlineLevel="0" collapsed="false">
      <c r="B36" s="56" t="s">
        <v>385</v>
      </c>
      <c r="C36" s="20" t="n">
        <f aca="false">C34*Assumptions!$C$32</f>
        <v>0</v>
      </c>
      <c r="D36" s="20" t="n">
        <f aca="false">D34*Assumptions!$C$32</f>
        <v>720</v>
      </c>
      <c r="E36" s="20" t="n">
        <f aca="false">E34*Assumptions!$C$32</f>
        <v>1497.6</v>
      </c>
      <c r="F36" s="20" t="n">
        <f aca="false">F34*Assumptions!$C$32</f>
        <v>2337.408</v>
      </c>
      <c r="G36" s="20" t="n">
        <f aca="false">G34*Assumptions!$C$32</f>
        <v>3244.40064</v>
      </c>
      <c r="H36" s="20" t="n">
        <f aca="false">H34*Assumptions!$C$32</f>
        <v>4223.9526912</v>
      </c>
      <c r="I36" s="20" t="n">
        <f aca="false">I34*Assumptions!$C$32</f>
        <v>5281.868906496</v>
      </c>
      <c r="J36" s="20" t="n">
        <f aca="false">J34*Assumptions!$C$32</f>
        <v>5704.41841901568</v>
      </c>
      <c r="K36" s="20" t="n">
        <f aca="false">K34*Assumptions!$C$32</f>
        <v>6160.77189253693</v>
      </c>
      <c r="L36" s="20" t="n">
        <f aca="false">L34*Assumptions!$C$32</f>
        <v>6653.63364393989</v>
      </c>
      <c r="M36" s="20" t="n">
        <f aca="false">M34*Assumptions!$C$32</f>
        <v>7185.92433545508</v>
      </c>
      <c r="N36" s="20" t="n">
        <f aca="false">N34*Assumptions!$C$32</f>
        <v>7760.79828229149</v>
      </c>
      <c r="O36" s="20" t="n">
        <f aca="false">O34*Assumptions!$C$32</f>
        <v>8381.66214487481</v>
      </c>
      <c r="P36" s="20" t="n">
        <f aca="false">P34*Assumptions!$C$32</f>
        <v>9052.19511646479</v>
      </c>
      <c r="Q36" s="20" t="n">
        <f aca="false">Q34*Assumptions!$C$32</f>
        <v>9776.37072578198</v>
      </c>
      <c r="R36" s="20" t="n">
        <f aca="false">R34*Assumptions!$C$32</f>
        <v>10558.4803838445</v>
      </c>
      <c r="S36" s="20" t="n">
        <f aca="false">S34*Assumptions!$C$32</f>
        <v>11403.1588145521</v>
      </c>
      <c r="T36" s="20" t="n">
        <f aca="false">T34*Assumptions!$C$32</f>
        <v>9409.73772317402</v>
      </c>
      <c r="U36" s="20" t="n">
        <f aca="false">U34*Assumptions!$C$32</f>
        <v>7198.72946855485</v>
      </c>
      <c r="V36" s="20" t="n">
        <f aca="false">V34*Assumptions!$C$32</f>
        <v>4751.56480811669</v>
      </c>
      <c r="W36" s="20" t="n">
        <f aca="false">W34*Assumptions!$C$32</f>
        <v>1496.88730716956</v>
      </c>
      <c r="X36" s="20" t="n">
        <f aca="false">X34*Assumptions!$C$32</f>
        <v>1616.63829174313</v>
      </c>
      <c r="Y36" s="20" t="n">
        <f aca="false">Y34*Assumptions!$C$32</f>
        <v>1745.96935508258</v>
      </c>
      <c r="Z36" s="20" t="n">
        <f aca="false">Z34*Assumptions!$C$32</f>
        <v>1885.64690348918</v>
      </c>
      <c r="AA36" s="20" t="n">
        <f aca="false">AA34*Assumptions!$C$32</f>
        <v>2036.49865576832</v>
      </c>
      <c r="AB36" s="20" t="n">
        <f aca="false">AB34*Assumptions!$C$32</f>
        <v>2199.41854822978</v>
      </c>
      <c r="AC36" s="20" t="n">
        <f aca="false">AC34*Assumptions!$C$32</f>
        <v>2375.37203208817</v>
      </c>
      <c r="AD36" s="20" t="n">
        <f aca="false">AD34*Assumptions!$C$32</f>
        <v>2565.40179465522</v>
      </c>
      <c r="AE36" s="20" t="n">
        <f aca="false">AE34*Assumptions!$C$32</f>
        <v>2770.63393822764</v>
      </c>
      <c r="AF36" s="20" t="n">
        <f aca="false">AF34*Assumptions!$C$32</f>
        <v>2992.28465328585</v>
      </c>
    </row>
    <row r="37" customFormat="false" ht="15" hidden="false" customHeight="true" outlineLevel="0" collapsed="false">
      <c r="B37" s="56" t="s">
        <v>386</v>
      </c>
      <c r="C37" s="20" t="n">
        <f aca="false">MIN(C34+C35+C36,C31)</f>
        <v>0</v>
      </c>
      <c r="D37" s="20" t="n">
        <f aca="false">MIN(D34+D35+D36,D31)</f>
        <v>0</v>
      </c>
      <c r="E37" s="20" t="n">
        <f aca="false">MIN(E34+E35+E36,E31)</f>
        <v>0</v>
      </c>
      <c r="F37" s="20" t="n">
        <f aca="false">MIN(F34+F35+F36,F31)</f>
        <v>0</v>
      </c>
      <c r="G37" s="20" t="n">
        <f aca="false">MIN(G34+G35+G36,G31)</f>
        <v>0</v>
      </c>
      <c r="H37" s="20" t="n">
        <f aca="false">MIN(H34+H35+H36,H31)</f>
        <v>0</v>
      </c>
      <c r="I37" s="20" t="n">
        <f aca="false">MIN(I34+I35+I36,I31)</f>
        <v>0</v>
      </c>
      <c r="J37" s="20" t="n">
        <f aca="false">MIN(J34+J35+J36,J31)</f>
        <v>0</v>
      </c>
      <c r="K37" s="20" t="n">
        <f aca="false">MIN(K34+K35+K36,K31)</f>
        <v>0</v>
      </c>
      <c r="L37" s="20" t="n">
        <f aca="false">MIN(L34+L35+L36,L31)</f>
        <v>0</v>
      </c>
      <c r="M37" s="20" t="n">
        <f aca="false">MIN(M34+M35+M36,M31)</f>
        <v>0</v>
      </c>
      <c r="N37" s="20" t="n">
        <f aca="false">MIN(N34+N35+N36,N31)</f>
        <v>0</v>
      </c>
      <c r="O37" s="20" t="n">
        <f aca="false">MIN(O34+O35+O36,O31)</f>
        <v>0</v>
      </c>
      <c r="P37" s="20" t="n">
        <f aca="false">MIN(P34+P35+P36,P31)</f>
        <v>0</v>
      </c>
      <c r="Q37" s="20" t="n">
        <f aca="false">MIN(Q34+Q35+Q36,Q31)</f>
        <v>0</v>
      </c>
      <c r="R37" s="20" t="n">
        <f aca="false">MIN(R34+R35+R36,R31)</f>
        <v>0</v>
      </c>
      <c r="S37" s="20" t="n">
        <f aca="false">MIN(S34+S35+S36,S31)</f>
        <v>36320.922456778</v>
      </c>
      <c r="T37" s="20" t="n">
        <f aca="false">MIN(T34+T35+T36,T31)</f>
        <v>37047.3409059136</v>
      </c>
      <c r="U37" s="20" t="n">
        <f aca="false">MIN(U34+U35+U36,U31)</f>
        <v>37788.2877240319</v>
      </c>
      <c r="V37" s="20" t="n">
        <f aca="false">MIN(V34+V35+V36,V31)</f>
        <v>45435.0335699558</v>
      </c>
      <c r="W37" s="20" t="n">
        <f aca="false">MIN(W34+W35+W36,W31)</f>
        <v>0</v>
      </c>
      <c r="X37" s="20" t="n">
        <f aca="false">MIN(X34+X35+X36,X31)</f>
        <v>0</v>
      </c>
      <c r="Y37" s="20" t="n">
        <f aca="false">MIN(Y34+Y35+Y36,Y31)</f>
        <v>0</v>
      </c>
      <c r="Z37" s="20" t="n">
        <f aca="false">MIN(Z34+Z35+Z36,Z31)</f>
        <v>0</v>
      </c>
      <c r="AA37" s="20" t="n">
        <f aca="false">MIN(AA34+AA35+AA36,AA31)</f>
        <v>0</v>
      </c>
      <c r="AB37" s="20" t="n">
        <f aca="false">MIN(AB34+AB35+AB36,AB31)</f>
        <v>0</v>
      </c>
      <c r="AC37" s="20" t="n">
        <f aca="false">MIN(AC34+AC35+AC36,AC31)</f>
        <v>0</v>
      </c>
      <c r="AD37" s="20" t="n">
        <f aca="false">MIN(AD34+AD35+AD36,AD31)</f>
        <v>0</v>
      </c>
      <c r="AE37" s="20" t="n">
        <f aca="false">MIN(AE34+AE35+AE36,AE31)</f>
        <v>0</v>
      </c>
      <c r="AF37" s="20" t="n">
        <f aca="false">MIN(AF34+AF35+AF36,AF31)</f>
        <v>0</v>
      </c>
    </row>
    <row r="38" customFormat="false" ht="15" hidden="false" customHeight="true" outlineLevel="0" collapsed="false">
      <c r="B38" s="16" t="s">
        <v>392</v>
      </c>
      <c r="C38" s="59" t="n">
        <f aca="false">C34+C35+C36-C37</f>
        <v>9000</v>
      </c>
      <c r="D38" s="59" t="n">
        <f aca="false">D34+D35+D36-D37</f>
        <v>18720</v>
      </c>
      <c r="E38" s="59" t="n">
        <f aca="false">E34+E35+E36-E37</f>
        <v>29217.6</v>
      </c>
      <c r="F38" s="59" t="n">
        <f aca="false">F34+F35+F36-F37</f>
        <v>40555.008</v>
      </c>
      <c r="G38" s="59" t="n">
        <f aca="false">G34+G35+G36-G37</f>
        <v>52799.40864</v>
      </c>
      <c r="H38" s="59" t="n">
        <f aca="false">H34+H35+H36-H37</f>
        <v>66023.3613312</v>
      </c>
      <c r="I38" s="59" t="n">
        <f aca="false">I34+I35+I36-I37</f>
        <v>71305.230237696</v>
      </c>
      <c r="J38" s="59" t="n">
        <f aca="false">J34+J35+J36-J37</f>
        <v>77009.6486567117</v>
      </c>
      <c r="K38" s="59" t="n">
        <f aca="false">K34+K35+K36-K37</f>
        <v>83170.4205492486</v>
      </c>
      <c r="L38" s="59" t="n">
        <f aca="false">L34+L35+L36-L37</f>
        <v>89824.0541931885</v>
      </c>
      <c r="M38" s="59" t="n">
        <f aca="false">M34+M35+M36-M37</f>
        <v>97009.9785286436</v>
      </c>
      <c r="N38" s="59" t="n">
        <f aca="false">N34+N35+N36-N37</f>
        <v>104770.776810935</v>
      </c>
      <c r="O38" s="59" t="n">
        <f aca="false">O34+O35+O36-O37</f>
        <v>113152.43895581</v>
      </c>
      <c r="P38" s="59" t="n">
        <f aca="false">P34+P35+P36-P37</f>
        <v>122204.634072275</v>
      </c>
      <c r="Q38" s="59" t="n">
        <f aca="false">Q34+Q35+Q36-Q37</f>
        <v>131981.004798057</v>
      </c>
      <c r="R38" s="59" t="n">
        <f aca="false">R34+R35+R36-R37</f>
        <v>142539.485181901</v>
      </c>
      <c r="S38" s="59" t="n">
        <f aca="false">S34+S35+S36-S37</f>
        <v>117621.721539675</v>
      </c>
      <c r="T38" s="59" t="n">
        <f aca="false">T34+T35+T36-T37</f>
        <v>89984.1183569357</v>
      </c>
      <c r="U38" s="59" t="n">
        <f aca="false">U34+U35+U36-U37</f>
        <v>59394.5601014586</v>
      </c>
      <c r="V38" s="59" t="n">
        <f aca="false">V34+V35+V36-V37</f>
        <v>18711.0913396195</v>
      </c>
      <c r="W38" s="59" t="n">
        <f aca="false">W34+W35+W36-W37</f>
        <v>20207.9786467891</v>
      </c>
      <c r="X38" s="59" t="n">
        <f aca="false">X34+X35+X36-X37</f>
        <v>21824.6169385322</v>
      </c>
      <c r="Y38" s="59" t="n">
        <f aca="false">Y34+Y35+Y36-Y37</f>
        <v>23570.5862936148</v>
      </c>
      <c r="Z38" s="59" t="n">
        <f aca="false">Z34+Z35+Z36-Z37</f>
        <v>25456.233197104</v>
      </c>
      <c r="AA38" s="59" t="n">
        <f aca="false">AA34+AA35+AA36-AA37</f>
        <v>27492.7318528723</v>
      </c>
      <c r="AB38" s="59" t="n">
        <f aca="false">AB34+AB35+AB36-AB37</f>
        <v>29692.1504011021</v>
      </c>
      <c r="AC38" s="59" t="n">
        <f aca="false">AC34+AC35+AC36-AC37</f>
        <v>32067.5224331902</v>
      </c>
      <c r="AD38" s="59" t="n">
        <f aca="false">AD34+AD35+AD36-AD37</f>
        <v>34632.9242278455</v>
      </c>
      <c r="AE38" s="59" t="n">
        <f aca="false">AE34+AE35+AE36-AE37</f>
        <v>37403.5581660731</v>
      </c>
      <c r="AF38" s="59" t="n">
        <f aca="false">AF34+AF35+AF36-AF37</f>
        <v>40395.8428193589</v>
      </c>
    </row>
    <row r="39" customFormat="false" ht="15" hidden="false" customHeight="true" outlineLevel="0" collapsed="false">
      <c r="B39" s="16" t="s">
        <v>393</v>
      </c>
      <c r="C39" s="58" t="n">
        <f aca="false">C31-C37</f>
        <v>0</v>
      </c>
      <c r="D39" s="58" t="n">
        <f aca="false">D31-D37</f>
        <v>0</v>
      </c>
      <c r="E39" s="58" t="n">
        <f aca="false">E31-E37</f>
        <v>0</v>
      </c>
      <c r="F39" s="58" t="n">
        <f aca="false">F31-F37</f>
        <v>0</v>
      </c>
      <c r="G39" s="58" t="n">
        <f aca="false">G31-G37</f>
        <v>0</v>
      </c>
      <c r="H39" s="58" t="n">
        <f aca="false">H31-H37</f>
        <v>0</v>
      </c>
      <c r="I39" s="58" t="n">
        <f aca="false">I31-I37</f>
        <v>0</v>
      </c>
      <c r="J39" s="58" t="n">
        <f aca="false">J31-J37</f>
        <v>0</v>
      </c>
      <c r="K39" s="58" t="n">
        <f aca="false">K31-K37</f>
        <v>0</v>
      </c>
      <c r="L39" s="58" t="n">
        <f aca="false">L31-L37</f>
        <v>0</v>
      </c>
      <c r="M39" s="58" t="n">
        <f aca="false">M31-M37</f>
        <v>0</v>
      </c>
      <c r="N39" s="58" t="n">
        <f aca="false">N31-N37</f>
        <v>0</v>
      </c>
      <c r="O39" s="58" t="n">
        <f aca="false">O31-O37</f>
        <v>0</v>
      </c>
      <c r="P39" s="58" t="n">
        <f aca="false">P31-P37</f>
        <v>0</v>
      </c>
      <c r="Q39" s="58" t="n">
        <f aca="false">Q31-Q37</f>
        <v>0</v>
      </c>
      <c r="R39" s="58" t="n">
        <f aca="false">R31-R37</f>
        <v>0</v>
      </c>
      <c r="S39" s="58" t="n">
        <f aca="false">S31-S37</f>
        <v>0</v>
      </c>
      <c r="T39" s="58" t="n">
        <f aca="false">T31-T37</f>
        <v>0</v>
      </c>
      <c r="U39" s="58" t="n">
        <f aca="false">U31-U37</f>
        <v>0</v>
      </c>
      <c r="V39" s="58" t="n">
        <f aca="false">V31-V37</f>
        <v>0</v>
      </c>
      <c r="W39" s="58" t="n">
        <f aca="false">W31-W37</f>
        <v>0</v>
      </c>
      <c r="X39" s="58" t="n">
        <f aca="false">X31-X37</f>
        <v>0</v>
      </c>
      <c r="Y39" s="58" t="n">
        <f aca="false">Y31-Y37</f>
        <v>0</v>
      </c>
      <c r="Z39" s="58" t="n">
        <f aca="false">Z31-Z37</f>
        <v>0</v>
      </c>
      <c r="AA39" s="58" t="n">
        <f aca="false">AA31-AA37</f>
        <v>0</v>
      </c>
      <c r="AB39" s="58" t="n">
        <f aca="false">AB31-AB37</f>
        <v>0</v>
      </c>
      <c r="AC39" s="58" t="n">
        <f aca="false">AC31-AC37</f>
        <v>0</v>
      </c>
      <c r="AD39" s="58" t="n">
        <f aca="false">AD31-AD37</f>
        <v>0</v>
      </c>
      <c r="AE39" s="58" t="n">
        <f aca="false">AE31-AE37</f>
        <v>0</v>
      </c>
      <c r="AF39" s="58" t="n">
        <f aca="false">AF31-AF37</f>
        <v>0</v>
      </c>
    </row>
    <row r="42" customFormat="false" ht="15" hidden="false" customHeight="true" outlineLevel="0" collapsed="false">
      <c r="A42" s="30" t="s">
        <v>394</v>
      </c>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customFormat="false" ht="15" hidden="false" customHeight="true" outlineLevel="0" collapsed="false">
      <c r="B43" s="16" t="s">
        <v>395</v>
      </c>
      <c r="C43" s="58" t="n">
        <f aca="false">IF(AND(C5&gt;=Assumptions!$E$89,C5&lt;=Assumptions!$E$89+Assumptions!$C$77-1),C14,IF(C5=Assumptions!$E$90,C15,0))</f>
        <v>0</v>
      </c>
      <c r="D43" s="58" t="n">
        <f aca="false">IF(AND(D5&gt;=Assumptions!$E$89,D5&lt;=Assumptions!$E$89+Assumptions!$C$77-1),D14,IF(D5=Assumptions!$E$90,D15,0))</f>
        <v>0</v>
      </c>
      <c r="E43" s="58" t="n">
        <f aca="false">IF(AND(E5&gt;=Assumptions!$E$89,E5&lt;=Assumptions!$E$89+Assumptions!$C$77-1),E14,IF(E5=Assumptions!$E$90,E15,0))</f>
        <v>0</v>
      </c>
      <c r="F43" s="58" t="n">
        <f aca="false">IF(AND(F5&gt;=Assumptions!$E$89,F5&lt;=Assumptions!$E$89+Assumptions!$C$77-1),F14,IF(F5=Assumptions!$E$90,F15,0))</f>
        <v>0</v>
      </c>
      <c r="G43" s="58" t="n">
        <f aca="false">IF(AND(G5&gt;=Assumptions!$E$89,G5&lt;=Assumptions!$E$89+Assumptions!$C$77-1),G14,IF(G5=Assumptions!$E$90,G15,0))</f>
        <v>0</v>
      </c>
      <c r="H43" s="58" t="n">
        <f aca="false">IF(AND(H5&gt;=Assumptions!$E$89,H5&lt;=Assumptions!$E$89+Assumptions!$C$77-1),H14,IF(H5=Assumptions!$E$90,H15,0))</f>
        <v>0</v>
      </c>
      <c r="I43" s="58" t="n">
        <f aca="false">IF(AND(I5&gt;=Assumptions!$E$89,I5&lt;=Assumptions!$E$89+Assumptions!$C$77-1),I14,IF(I5=Assumptions!$E$90,I15,0))</f>
        <v>0</v>
      </c>
      <c r="J43" s="58" t="n">
        <f aca="false">IF(AND(J5&gt;=Assumptions!$E$89,J5&lt;=Assumptions!$E$89+Assumptions!$C$77-1),J14,IF(J5=Assumptions!$E$90,J15,0))</f>
        <v>0</v>
      </c>
      <c r="K43" s="58" t="n">
        <f aca="false">IF(AND(K5&gt;=Assumptions!$E$89,K5&lt;=Assumptions!$E$89+Assumptions!$C$77-1),K14,IF(K5=Assumptions!$E$90,K15,0))</f>
        <v>0</v>
      </c>
      <c r="L43" s="58" t="n">
        <f aca="false">IF(AND(L5&gt;=Assumptions!$E$89,L5&lt;=Assumptions!$E$89+Assumptions!$C$77-1),L14,IF(L5=Assumptions!$E$90,L15,0))</f>
        <v>0</v>
      </c>
      <c r="M43" s="58" t="n">
        <f aca="false">IF(AND(M5&gt;=Assumptions!$E$89,M5&lt;=Assumptions!$E$89+Assumptions!$C$77-1),M14,IF(M5=Assumptions!$E$90,M15,0))</f>
        <v>0</v>
      </c>
      <c r="N43" s="58" t="n">
        <f aca="false">IF(AND(N5&gt;=Assumptions!$E$89,N5&lt;=Assumptions!$E$89+Assumptions!$C$77-1),N14,IF(N5=Assumptions!$E$90,N15,0))</f>
        <v>0</v>
      </c>
      <c r="O43" s="58" t="n">
        <f aca="false">IF(AND(O5&gt;=Assumptions!$E$89,O5&lt;=Assumptions!$E$89+Assumptions!$C$77-1),O14,IF(O5=Assumptions!$E$90,O15,0))</f>
        <v>0</v>
      </c>
      <c r="P43" s="58" t="n">
        <f aca="false">IF(AND(P5&gt;=Assumptions!$E$89,P5&lt;=Assumptions!$E$89+Assumptions!$C$77-1),P14,IF(P5=Assumptions!$E$90,P15,0))</f>
        <v>0</v>
      </c>
      <c r="Q43" s="58" t="n">
        <f aca="false">IF(AND(Q5&gt;=Assumptions!$E$89,Q5&lt;=Assumptions!$E$89+Assumptions!$C$77-1),Q14,IF(Q5=Assumptions!$E$90,Q15,0))</f>
        <v>0</v>
      </c>
      <c r="R43" s="58" t="n">
        <f aca="false">IF(AND(R5&gt;=Assumptions!$E$89,R5&lt;=Assumptions!$E$89+Assumptions!$C$77-1),R14,IF(R5=Assumptions!$E$90,R15,0))</f>
        <v>0</v>
      </c>
      <c r="S43" s="58" t="n">
        <f aca="false">IF(AND(S5&gt;=Assumptions!$E$89,S5&lt;=Assumptions!$E$89+Assumptions!$C$77-1),S14,IF(S5=Assumptions!$E$90,S15,0))</f>
        <v>0</v>
      </c>
      <c r="T43" s="58" t="n">
        <f aca="false">IF(AND(T5&gt;=Assumptions!$E$89,T5&lt;=Assumptions!$E$89+Assumptions!$C$77-1),T14,IF(T5=Assumptions!$E$90,T15,0))</f>
        <v>0</v>
      </c>
      <c r="U43" s="58" t="n">
        <f aca="false">IF(AND(U5&gt;=Assumptions!$E$89,U5&lt;=Assumptions!$E$89+Assumptions!$C$77-1),U14,IF(U5=Assumptions!$E$90,U15,0))</f>
        <v>0</v>
      </c>
      <c r="V43" s="58" t="n">
        <f aca="false">IF(AND(V5&gt;=Assumptions!$E$89,V5&lt;=Assumptions!$E$89+Assumptions!$C$77-1),V14,IF(V5=Assumptions!$E$90,V15,0))</f>
        <v>38544.0534785125</v>
      </c>
      <c r="W43" s="58" t="n">
        <f aca="false">IF(AND(W5&gt;=Assumptions!$E$89,W5&lt;=Assumptions!$E$89+Assumptions!$C$77-1),W14,IF(W5=Assumptions!$E$90,W15,0))</f>
        <v>39314.9345480828</v>
      </c>
      <c r="X43" s="58" t="n">
        <f aca="false">IF(AND(X5&gt;=Assumptions!$E$89,X5&lt;=Assumptions!$E$89+Assumptions!$C$77-1),X14,IF(X5=Assumptions!$E$90,X15,0))</f>
        <v>40101.2332390444</v>
      </c>
      <c r="Y43" s="58" t="n">
        <f aca="false">IF(AND(Y5&gt;=Assumptions!$E$89,Y5&lt;=Assumptions!$E$89+Assumptions!$C$77-1),Y14,IF(Y5=Assumptions!$E$90,Y15,0))</f>
        <v>48216.0211047057</v>
      </c>
      <c r="Z43" s="58" t="n">
        <f aca="false">IF(AND(Z5&gt;=Assumptions!$E$89,Z5&lt;=Assumptions!$E$89+Assumptions!$C$77-1),Z14,IF(Z5=Assumptions!$E$90,Z15,0))</f>
        <v>0</v>
      </c>
      <c r="AA43" s="58" t="n">
        <f aca="false">IF(AND(AA5&gt;=Assumptions!$E$89,AA5&lt;=Assumptions!$E$89+Assumptions!$C$77-1),AA14,IF(AA5=Assumptions!$E$90,AA15,0))</f>
        <v>0</v>
      </c>
      <c r="AB43" s="58" t="n">
        <f aca="false">IF(AND(AB5&gt;=Assumptions!$E$89,AB5&lt;=Assumptions!$E$89+Assumptions!$C$77-1),AB14,IF(AB5=Assumptions!$E$90,AB15,0))</f>
        <v>0</v>
      </c>
      <c r="AC43" s="58" t="n">
        <f aca="false">IF(AND(AC5&gt;=Assumptions!$E$89,AC5&lt;=Assumptions!$E$89+Assumptions!$C$77-1),AC14,IF(AC5=Assumptions!$E$90,AC15,0))</f>
        <v>0</v>
      </c>
      <c r="AD43" s="58" t="n">
        <f aca="false">IF(AND(AD5&gt;=Assumptions!$E$89,AD5&lt;=Assumptions!$E$89+Assumptions!$C$77-1),AD14,IF(AD5=Assumptions!$E$90,AD15,0))</f>
        <v>0</v>
      </c>
      <c r="AE43" s="58" t="n">
        <f aca="false">IF(AND(AE5&gt;=Assumptions!$E$89,AE5&lt;=Assumptions!$E$89+Assumptions!$C$77-1),AE14,IF(AE5=Assumptions!$E$90,AE15,0))</f>
        <v>0</v>
      </c>
      <c r="AF43" s="58" t="n">
        <f aca="false">IF(AND(AF5&gt;=Assumptions!$E$89,AF5&lt;=Assumptions!$E$89+Assumptions!$C$77-1),AF14,IF(AF5=Assumptions!$E$90,AF15,0))</f>
        <v>0</v>
      </c>
    </row>
    <row r="44" customFormat="false" ht="15" hidden="false" customHeight="true" outlineLevel="0" collapsed="false">
      <c r="B44" s="16" t="s">
        <v>396</v>
      </c>
      <c r="C44" s="59" t="n">
        <f aca="false">SUMPRODUCT($C$43:$AF$43/(1+Assumptions!$C$32)^($C$5:$AF$5-Assumptions!$E$89+1))</f>
        <v>136669.024756571</v>
      </c>
      <c r="D44" s="59" t="n">
        <f aca="false">SUMPRODUCT($C$43:$AF$43/(1+Assumptions!$C$32)^($C$5:$AF$5-Assumptions!$E$89+1))</f>
        <v>136669.024756571</v>
      </c>
      <c r="E44" s="59" t="n">
        <f aca="false">SUMPRODUCT($C$43:$AF$43/(1+Assumptions!$C$32)^($C$5:$AF$5-Assumptions!$E$89+1))</f>
        <v>136669.024756571</v>
      </c>
      <c r="F44" s="59" t="n">
        <f aca="false">SUMPRODUCT($C$43:$AF$43/(1+Assumptions!$C$32)^($C$5:$AF$5-Assumptions!$E$89+1))</f>
        <v>136669.024756571</v>
      </c>
      <c r="G44" s="59" t="n">
        <f aca="false">SUMPRODUCT($C$43:$AF$43/(1+Assumptions!$C$32)^($C$5:$AF$5-Assumptions!$E$89+1))</f>
        <v>136669.024756571</v>
      </c>
      <c r="H44" s="59" t="n">
        <f aca="false">SUMPRODUCT($C$43:$AF$43/(1+Assumptions!$C$32)^($C$5:$AF$5-Assumptions!$E$89+1))</f>
        <v>136669.024756571</v>
      </c>
      <c r="I44" s="59" t="n">
        <f aca="false">SUMPRODUCT($C$43:$AF$43/(1+Assumptions!$C$32)^($C$5:$AF$5-Assumptions!$E$89+1))</f>
        <v>136669.024756571</v>
      </c>
      <c r="J44" s="59" t="n">
        <f aca="false">SUMPRODUCT($C$43:$AF$43/(1+Assumptions!$C$32)^($C$5:$AF$5-Assumptions!$E$89+1))</f>
        <v>136669.024756571</v>
      </c>
      <c r="K44" s="59" t="n">
        <f aca="false">SUMPRODUCT($C$43:$AF$43/(1+Assumptions!$C$32)^($C$5:$AF$5-Assumptions!$E$89+1))</f>
        <v>136669.024756571</v>
      </c>
      <c r="L44" s="59" t="n">
        <f aca="false">SUMPRODUCT($C$43:$AF$43/(1+Assumptions!$C$32)^($C$5:$AF$5-Assumptions!$E$89+1))</f>
        <v>136669.024756571</v>
      </c>
      <c r="M44" s="59" t="n">
        <f aca="false">SUMPRODUCT($C$43:$AF$43/(1+Assumptions!$C$32)^($C$5:$AF$5-Assumptions!$E$89+1))</f>
        <v>136669.024756571</v>
      </c>
      <c r="N44" s="59" t="n">
        <f aca="false">SUMPRODUCT($C$43:$AF$43/(1+Assumptions!$C$32)^($C$5:$AF$5-Assumptions!$E$89+1))</f>
        <v>136669.024756571</v>
      </c>
      <c r="O44" s="59" t="n">
        <f aca="false">SUMPRODUCT($C$43:$AF$43/(1+Assumptions!$C$32)^($C$5:$AF$5-Assumptions!$E$89+1))</f>
        <v>136669.024756571</v>
      </c>
      <c r="P44" s="59" t="n">
        <f aca="false">SUMPRODUCT($C$43:$AF$43/(1+Assumptions!$C$32)^($C$5:$AF$5-Assumptions!$E$89+1))</f>
        <v>136669.024756571</v>
      </c>
      <c r="Q44" s="59" t="n">
        <f aca="false">SUMPRODUCT($C$43:$AF$43/(1+Assumptions!$C$32)^($C$5:$AF$5-Assumptions!$E$89+1))</f>
        <v>136669.024756571</v>
      </c>
      <c r="R44" s="59" t="n">
        <f aca="false">SUMPRODUCT($C$43:$AF$43/(1+Assumptions!$C$32)^($C$5:$AF$5-Assumptions!$E$89+1))</f>
        <v>136669.024756571</v>
      </c>
      <c r="S44" s="59" t="n">
        <f aca="false">SUMPRODUCT($C$43:$AF$43/(1+Assumptions!$C$32)^($C$5:$AF$5-Assumptions!$E$89+1))</f>
        <v>136669.024756571</v>
      </c>
      <c r="T44" s="59" t="n">
        <f aca="false">SUMPRODUCT($C$43:$AF$43/(1+Assumptions!$C$32)^($C$5:$AF$5-Assumptions!$E$89+1))</f>
        <v>136669.024756571</v>
      </c>
      <c r="U44" s="59" t="n">
        <f aca="false">SUMPRODUCT($C$43:$AF$43/(1+Assumptions!$C$32)^($C$5:$AF$5-Assumptions!$E$89+1))</f>
        <v>136669.024756571</v>
      </c>
      <c r="V44" s="59" t="n">
        <f aca="false">SUMPRODUCT($C$43:$AF$43/(1+Assumptions!$C$32)^($C$5:$AF$5-Assumptions!$E$89+1))</f>
        <v>136669.024756571</v>
      </c>
      <c r="W44" s="59" t="n">
        <f aca="false">SUMPRODUCT($C$43:$AF$43/(1+Assumptions!$C$32)^($C$5:$AF$5-Assumptions!$E$89+1))</f>
        <v>136669.024756571</v>
      </c>
      <c r="X44" s="59" t="n">
        <f aca="false">SUMPRODUCT($C$43:$AF$43/(1+Assumptions!$C$32)^($C$5:$AF$5-Assumptions!$E$89+1))</f>
        <v>136669.024756571</v>
      </c>
      <c r="Y44" s="59" t="n">
        <f aca="false">SUMPRODUCT($C$43:$AF$43/(1+Assumptions!$C$32)^($C$5:$AF$5-Assumptions!$E$89+1))</f>
        <v>136669.024756571</v>
      </c>
      <c r="Z44" s="59" t="n">
        <f aca="false">SUMPRODUCT($C$43:$AF$43/(1+Assumptions!$C$32)^($C$5:$AF$5-Assumptions!$E$89+1))</f>
        <v>136669.024756571</v>
      </c>
      <c r="AA44" s="59" t="n">
        <f aca="false">SUMPRODUCT($C$43:$AF$43/(1+Assumptions!$C$32)^($C$5:$AF$5-Assumptions!$E$89+1))</f>
        <v>136669.024756571</v>
      </c>
      <c r="AB44" s="59" t="n">
        <f aca="false">SUMPRODUCT($C$43:$AF$43/(1+Assumptions!$C$32)^($C$5:$AF$5-Assumptions!$E$89+1))</f>
        <v>136669.024756571</v>
      </c>
      <c r="AC44" s="59" t="n">
        <f aca="false">SUMPRODUCT($C$43:$AF$43/(1+Assumptions!$C$32)^($C$5:$AF$5-Assumptions!$E$89+1))</f>
        <v>136669.024756571</v>
      </c>
      <c r="AD44" s="59" t="n">
        <f aca="false">SUMPRODUCT($C$43:$AF$43/(1+Assumptions!$C$32)^($C$5:$AF$5-Assumptions!$E$89+1))</f>
        <v>136669.024756571</v>
      </c>
      <c r="AE44" s="59" t="n">
        <f aca="false">SUMPRODUCT($C$43:$AF$43/(1+Assumptions!$C$32)^($C$5:$AF$5-Assumptions!$E$89+1))</f>
        <v>136669.024756571</v>
      </c>
      <c r="AF44" s="59" t="n">
        <f aca="false">SUMPRODUCT($C$43:$AF$43/(1+Assumptions!$C$32)^($C$5:$AF$5-Assumptions!$E$89+1))</f>
        <v>136669.024756571</v>
      </c>
    </row>
    <row r="45" customFormat="false" ht="15" hidden="false" customHeight="true" outlineLevel="0" collapsed="false">
      <c r="B45" s="56" t="s">
        <v>382</v>
      </c>
      <c r="C45" s="20" t="n">
        <f aca="false">C46*(1+Assumptions!$C$32)^(Assumptions!$E$89-C5)</f>
        <v>0</v>
      </c>
      <c r="D45" s="20" t="n">
        <f aca="false">D46*(1+Assumptions!$C$32)^(Assumptions!$E$89-D5)</f>
        <v>0</v>
      </c>
      <c r="E45" s="20" t="n">
        <f aca="false">E46*(1+Assumptions!$C$32)^(Assumptions!$E$89-E5)</f>
        <v>0</v>
      </c>
      <c r="F45" s="20" t="n">
        <f aca="false">F46*(1+Assumptions!$C$32)^(Assumptions!$E$89-F5)</f>
        <v>30833.4837900072</v>
      </c>
      <c r="G45" s="20" t="n">
        <f aca="false">G46*(1+Assumptions!$C$32)^(Assumptions!$E$89-G5)</f>
        <v>59383.0058177917</v>
      </c>
      <c r="H45" s="20" t="n">
        <f aca="false">H46*(1+Assumptions!$C$32)^(Assumptions!$E$89-H5)</f>
        <v>85817.7484361106</v>
      </c>
      <c r="I45" s="20" t="n">
        <f aca="false">I46*(1+Assumptions!$C$32)^(Assumptions!$E$89-I5)</f>
        <v>110294.361971591</v>
      </c>
      <c r="J45" s="20" t="n">
        <f aca="false">J46*(1+Assumptions!$C$32)^(Assumptions!$E$89-J5)</f>
        <v>132957.893022962</v>
      </c>
      <c r="K45" s="20" t="n">
        <f aca="false">K46*(1+Assumptions!$C$32)^(Assumptions!$E$89-K5)</f>
        <v>153942.643996453</v>
      </c>
      <c r="L45" s="20" t="n">
        <f aca="false">L46*(1+Assumptions!$C$32)^(Assumptions!$E$89-L5)</f>
        <v>153942.643996453</v>
      </c>
      <c r="M45" s="20" t="n">
        <f aca="false">M46*(1+Assumptions!$C$32)^(Assumptions!$E$89-M5)</f>
        <v>153942.643996453</v>
      </c>
      <c r="N45" s="20" t="n">
        <f aca="false">N46*(1+Assumptions!$C$32)^(Assumptions!$E$89-N5)</f>
        <v>153942.643996453</v>
      </c>
      <c r="O45" s="20" t="n">
        <f aca="false">O46*(1+Assumptions!$C$32)^(Assumptions!$E$89-O5)</f>
        <v>153942.643996453</v>
      </c>
      <c r="P45" s="20" t="n">
        <f aca="false">P46*(1+Assumptions!$C$32)^(Assumptions!$E$89-P5)</f>
        <v>153942.643996453</v>
      </c>
      <c r="Q45" s="20" t="n">
        <f aca="false">Q46*(1+Assumptions!$C$32)^(Assumptions!$E$89-Q5)</f>
        <v>153942.643996453</v>
      </c>
      <c r="R45" s="20" t="n">
        <f aca="false">R46*(1+Assumptions!$C$32)^(Assumptions!$E$89-R5)</f>
        <v>153942.643996453</v>
      </c>
      <c r="S45" s="20" t="n">
        <f aca="false">S46*(1+Assumptions!$C$32)^(Assumptions!$E$89-S5)</f>
        <v>153942.643996453</v>
      </c>
      <c r="T45" s="20" t="n">
        <f aca="false">T46*(1+Assumptions!$C$32)^(Assumptions!$E$89-T5)</f>
        <v>153942.643996453</v>
      </c>
      <c r="U45" s="20" t="n">
        <f aca="false">U46*(1+Assumptions!$C$32)^(Assumptions!$E$89-U5)</f>
        <v>153942.643996453</v>
      </c>
      <c r="V45" s="20" t="n">
        <f aca="false">V46*(1+Assumptions!$C$32)^(Assumptions!$E$89-V5)</f>
        <v>153942.643996453</v>
      </c>
      <c r="W45" s="20" t="n">
        <f aca="false">W46*(1+Assumptions!$C$32)^(Assumptions!$E$89-W5)</f>
        <v>118253.705590423</v>
      </c>
      <c r="X45" s="20" t="n">
        <f aca="false">X46*(1+Assumptions!$C$32)^(Assumptions!$E$89-X5)</f>
        <v>84547.4859847281</v>
      </c>
      <c r="Y45" s="20" t="n">
        <f aca="false">Y46*(1+Assumptions!$C$32)^(Assumptions!$E$89-Y5)</f>
        <v>52713.8341349049</v>
      </c>
      <c r="Z45" s="20" t="n">
        <f aca="false">Z46*(1+Assumptions!$C$32)^(Assumptions!$E$89-Z5)</f>
        <v>17273.6192398824</v>
      </c>
      <c r="AA45" s="20" t="n">
        <f aca="false">AA46*(1+Assumptions!$C$32)^(Assumptions!$E$89-AA5)</f>
        <v>17273.6192398824</v>
      </c>
      <c r="AB45" s="20" t="n">
        <f aca="false">AB46*(1+Assumptions!$C$32)^(Assumptions!$E$89-AB5)</f>
        <v>17273.6192398824</v>
      </c>
      <c r="AC45" s="20" t="n">
        <f aca="false">AC46*(1+Assumptions!$C$32)^(Assumptions!$E$89-AC5)</f>
        <v>17273.6192398824</v>
      </c>
      <c r="AD45" s="20" t="n">
        <f aca="false">AD46*(1+Assumptions!$C$32)^(Assumptions!$E$89-AD5)</f>
        <v>17273.6192398824</v>
      </c>
      <c r="AE45" s="20" t="n">
        <f aca="false">AE46*(1+Assumptions!$C$32)^(Assumptions!$E$89-AE5)</f>
        <v>17273.6192398824</v>
      </c>
      <c r="AF45" s="20" t="n">
        <f aca="false">AF46*(1+Assumptions!$C$32)^(Assumptions!$E$89-AF5)</f>
        <v>17273.6192398824</v>
      </c>
    </row>
    <row r="46" customFormat="false" ht="15" hidden="false" customHeight="true" outlineLevel="0" collapsed="false">
      <c r="B46" s="6" t="s">
        <v>383</v>
      </c>
      <c r="C46" s="20" t="n">
        <f aca="false">Assumptions!$E$91</f>
        <v>0</v>
      </c>
      <c r="D46" s="20" t="n">
        <f aca="false">C50</f>
        <v>0</v>
      </c>
      <c r="E46" s="20" t="n">
        <f aca="false">D50</f>
        <v>0</v>
      </c>
      <c r="F46" s="20" t="n">
        <f aca="false">E50</f>
        <v>9000</v>
      </c>
      <c r="G46" s="20" t="n">
        <f aca="false">F50</f>
        <v>18720</v>
      </c>
      <c r="H46" s="20" t="n">
        <f aca="false">G50</f>
        <v>29217.6</v>
      </c>
      <c r="I46" s="20" t="n">
        <f aca="false">H50</f>
        <v>40555.008</v>
      </c>
      <c r="J46" s="20" t="n">
        <f aca="false">I50</f>
        <v>52799.40864</v>
      </c>
      <c r="K46" s="20" t="n">
        <f aca="false">J50</f>
        <v>66023.3613312</v>
      </c>
      <c r="L46" s="20" t="n">
        <f aca="false">K50</f>
        <v>71305.230237696</v>
      </c>
      <c r="M46" s="20" t="n">
        <f aca="false">L50</f>
        <v>77009.6486567117</v>
      </c>
      <c r="N46" s="20" t="n">
        <f aca="false">M50</f>
        <v>83170.4205492486</v>
      </c>
      <c r="O46" s="20" t="n">
        <f aca="false">N50</f>
        <v>89824.0541931885</v>
      </c>
      <c r="P46" s="20" t="n">
        <f aca="false">O50</f>
        <v>97009.9785286436</v>
      </c>
      <c r="Q46" s="20" t="n">
        <f aca="false">P50</f>
        <v>104770.776810935</v>
      </c>
      <c r="R46" s="20" t="n">
        <f aca="false">Q50</f>
        <v>113152.43895581</v>
      </c>
      <c r="S46" s="20" t="n">
        <f aca="false">R50</f>
        <v>122204.634072275</v>
      </c>
      <c r="T46" s="20" t="n">
        <f aca="false">S50</f>
        <v>131981.004798057</v>
      </c>
      <c r="U46" s="20" t="n">
        <f aca="false">T50</f>
        <v>142539.485181901</v>
      </c>
      <c r="V46" s="20" t="n">
        <f aca="false">U50</f>
        <v>153942.643996453</v>
      </c>
      <c r="W46" s="20" t="n">
        <f aca="false">V50</f>
        <v>127714.002037657</v>
      </c>
      <c r="X46" s="20" t="n">
        <f aca="false">W50</f>
        <v>98616.1876525868</v>
      </c>
      <c r="Y46" s="20" t="n">
        <f aca="false">X50</f>
        <v>66404.2494257494</v>
      </c>
      <c r="Z46" s="20" t="n">
        <f aca="false">Y50</f>
        <v>23500.5682751036</v>
      </c>
      <c r="AA46" s="20" t="n">
        <f aca="false">Z50</f>
        <v>25380.6137371119</v>
      </c>
      <c r="AB46" s="20" t="n">
        <f aca="false">AA50</f>
        <v>27411.0628360809</v>
      </c>
      <c r="AC46" s="20" t="n">
        <f aca="false">AB50</f>
        <v>29603.9478629674</v>
      </c>
      <c r="AD46" s="20" t="n">
        <f aca="false">AC50</f>
        <v>31972.2636920047</v>
      </c>
      <c r="AE46" s="20" t="n">
        <f aca="false">AD50</f>
        <v>34530.0447873651</v>
      </c>
      <c r="AF46" s="20" t="n">
        <f aca="false">AE50</f>
        <v>37292.4483703543</v>
      </c>
    </row>
    <row r="47" customFormat="false" ht="15" hidden="false" customHeight="true" outlineLevel="0" collapsed="false">
      <c r="B47" s="56" t="s">
        <v>384</v>
      </c>
      <c r="C47" s="20" t="n">
        <f aca="false">IF(AND(C5&gt;=Assumptions!$E$93,C5&lt;=Assumptions!$E$94,C45&lt;C44),MIN(Assumptions!$E$92,Tax_Bands!C$17),0)</f>
        <v>0</v>
      </c>
      <c r="D47" s="20" t="n">
        <f aca="false">IF(AND(D5&gt;=Assumptions!$E$93,D5&lt;=Assumptions!$E$94,D45&lt;D44),MIN(Assumptions!$E$92,Tax_Bands!D$17),0)</f>
        <v>0</v>
      </c>
      <c r="E47" s="20" t="n">
        <f aca="false">IF(AND(E5&gt;=Assumptions!$E$93,E5&lt;=Assumptions!$E$94,E45&lt;E44),MIN(Assumptions!$E$92,Tax_Bands!E$17),0)</f>
        <v>9000</v>
      </c>
      <c r="F47" s="20" t="n">
        <f aca="false">IF(AND(F5&gt;=Assumptions!$E$93,F5&lt;=Assumptions!$E$94,F45&lt;F44),MIN(Assumptions!$E$92,Tax_Bands!F$17),0)</f>
        <v>9000</v>
      </c>
      <c r="G47" s="20" t="n">
        <f aca="false">IF(AND(G5&gt;=Assumptions!$E$93,G5&lt;=Assumptions!$E$94,G45&lt;G44),MIN(Assumptions!$E$92,Tax_Bands!G$17),0)</f>
        <v>9000</v>
      </c>
      <c r="H47" s="20" t="n">
        <f aca="false">IF(AND(H5&gt;=Assumptions!$E$93,H5&lt;=Assumptions!$E$94,H45&lt;H44),MIN(Assumptions!$E$92,Tax_Bands!H$17),0)</f>
        <v>9000</v>
      </c>
      <c r="I47" s="20" t="n">
        <f aca="false">IF(AND(I5&gt;=Assumptions!$E$93,I5&lt;=Assumptions!$E$94,I45&lt;I44),MIN(Assumptions!$E$92,Tax_Bands!I$17),0)</f>
        <v>9000</v>
      </c>
      <c r="J47" s="20" t="n">
        <f aca="false">IF(AND(J5&gt;=Assumptions!$E$93,J5&lt;=Assumptions!$E$94,J45&lt;J44),MIN(Assumptions!$E$92,Tax_Bands!J$17),0)</f>
        <v>9000</v>
      </c>
      <c r="K47" s="20" t="n">
        <f aca="false">IF(AND(K5&gt;=Assumptions!$E$93,K5&lt;=Assumptions!$E$94,K45&lt;K44),MIN(Assumptions!$E$92,Tax_Bands!K$17),0)</f>
        <v>0</v>
      </c>
      <c r="L47" s="20" t="n">
        <f aca="false">IF(AND(L5&gt;=Assumptions!$E$93,L5&lt;=Assumptions!$E$94,L45&lt;L44),MIN(Assumptions!$E$92,Tax_Bands!L$17),0)</f>
        <v>0</v>
      </c>
      <c r="M47" s="20" t="n">
        <f aca="false">IF(AND(M5&gt;=Assumptions!$E$93,M5&lt;=Assumptions!$E$94,M45&lt;M44),MIN(Assumptions!$E$92,Tax_Bands!M$17),0)</f>
        <v>0</v>
      </c>
      <c r="N47" s="20" t="n">
        <f aca="false">IF(AND(N5&gt;=Assumptions!$E$93,N5&lt;=Assumptions!$E$94,N45&lt;N44),MIN(Assumptions!$E$92,Tax_Bands!N$17),0)</f>
        <v>0</v>
      </c>
      <c r="O47" s="20" t="n">
        <f aca="false">IF(AND(O5&gt;=Assumptions!$E$93,O5&lt;=Assumptions!$E$94,O45&lt;O44),MIN(Assumptions!$E$92,Tax_Bands!O$17),0)</f>
        <v>0</v>
      </c>
      <c r="P47" s="20" t="n">
        <f aca="false">IF(AND(P5&gt;=Assumptions!$E$93,P5&lt;=Assumptions!$E$94,P45&lt;P44),MIN(Assumptions!$E$92,Tax_Bands!P$17),0)</f>
        <v>0</v>
      </c>
      <c r="Q47" s="20" t="n">
        <f aca="false">IF(AND(Q5&gt;=Assumptions!$E$93,Q5&lt;=Assumptions!$E$94,Q45&lt;Q44),MIN(Assumptions!$E$92,Tax_Bands!Q$17),0)</f>
        <v>0</v>
      </c>
      <c r="R47" s="20" t="n">
        <f aca="false">IF(AND(R5&gt;=Assumptions!$E$93,R5&lt;=Assumptions!$E$94,R45&lt;R44),MIN(Assumptions!$E$92,Tax_Bands!R$17),0)</f>
        <v>0</v>
      </c>
      <c r="S47" s="20" t="n">
        <f aca="false">IF(AND(S5&gt;=Assumptions!$E$93,S5&lt;=Assumptions!$E$94,S45&lt;S44),MIN(Assumptions!$E$92,Tax_Bands!S$17),0)</f>
        <v>0</v>
      </c>
      <c r="T47" s="20" t="n">
        <f aca="false">IF(AND(T5&gt;=Assumptions!$E$93,T5&lt;=Assumptions!$E$94,T45&lt;T44),MIN(Assumptions!$E$92,Tax_Bands!T$17),0)</f>
        <v>0</v>
      </c>
      <c r="U47" s="20" t="n">
        <f aca="false">IF(AND(U5&gt;=Assumptions!$E$93,U5&lt;=Assumptions!$E$94,U45&lt;U44),MIN(Assumptions!$E$92,Tax_Bands!U$17),0)</f>
        <v>0</v>
      </c>
      <c r="V47" s="20" t="n">
        <f aca="false">IF(AND(V5&gt;=Assumptions!$E$93,V5&lt;=Assumptions!$E$94,V45&lt;V44),MIN(Assumptions!$E$92,Tax_Bands!V$17),0)</f>
        <v>0</v>
      </c>
      <c r="W47" s="20" t="n">
        <f aca="false">IF(AND(W5&gt;=Assumptions!$E$93,W5&lt;=Assumptions!$E$94,W45&lt;W44),MIN(Assumptions!$E$92,Tax_Bands!W$17),0)</f>
        <v>0</v>
      </c>
      <c r="X47" s="20" t="n">
        <f aca="false">IF(AND(X5&gt;=Assumptions!$E$93,X5&lt;=Assumptions!$E$94,X45&lt;X44),MIN(Assumptions!$E$92,Tax_Bands!X$17),0)</f>
        <v>0</v>
      </c>
      <c r="Y47" s="20" t="n">
        <f aca="false">IF(AND(Y5&gt;=Assumptions!$E$93,Y5&lt;=Assumptions!$E$94,Y45&lt;Y44),MIN(Assumptions!$E$92,Tax_Bands!Y$17),0)</f>
        <v>0</v>
      </c>
      <c r="Z47" s="20" t="n">
        <f aca="false">IF(AND(Z5&gt;=Assumptions!$E$93,Z5&lt;=Assumptions!$E$94,Z45&lt;Z44),MIN(Assumptions!$E$92,Tax_Bands!Z$17),0)</f>
        <v>0</v>
      </c>
      <c r="AA47" s="20" t="n">
        <f aca="false">IF(AND(AA5&gt;=Assumptions!$E$93,AA5&lt;=Assumptions!$E$94,AA45&lt;AA44),MIN(Assumptions!$E$92,Tax_Bands!AA$17),0)</f>
        <v>0</v>
      </c>
      <c r="AB47" s="20" t="n">
        <f aca="false">IF(AND(AB5&gt;=Assumptions!$E$93,AB5&lt;=Assumptions!$E$94,AB45&lt;AB44),MIN(Assumptions!$E$92,Tax_Bands!AB$17),0)</f>
        <v>0</v>
      </c>
      <c r="AC47" s="20" t="n">
        <f aca="false">IF(AND(AC5&gt;=Assumptions!$E$93,AC5&lt;=Assumptions!$E$94,AC45&lt;AC44),MIN(Assumptions!$E$92,Tax_Bands!AC$17),0)</f>
        <v>0</v>
      </c>
      <c r="AD47" s="20" t="n">
        <f aca="false">IF(AND(AD5&gt;=Assumptions!$E$93,AD5&lt;=Assumptions!$E$94,AD45&lt;AD44),MIN(Assumptions!$E$92,Tax_Bands!AD$17),0)</f>
        <v>0</v>
      </c>
      <c r="AE47" s="20" t="n">
        <f aca="false">IF(AND(AE5&gt;=Assumptions!$E$93,AE5&lt;=Assumptions!$E$94,AE45&lt;AE44),MIN(Assumptions!$E$92,Tax_Bands!AE$17),0)</f>
        <v>0</v>
      </c>
      <c r="AF47" s="20" t="n">
        <f aca="false">IF(AND(AF5&gt;=Assumptions!$E$93,AF5&lt;=Assumptions!$E$94,AF45&lt;AF44),MIN(Assumptions!$E$92,Tax_Bands!AF$17),0)</f>
        <v>0</v>
      </c>
    </row>
    <row r="48" customFormat="false" ht="15" hidden="false" customHeight="true" outlineLevel="0" collapsed="false">
      <c r="B48" s="56" t="s">
        <v>385</v>
      </c>
      <c r="C48" s="20" t="n">
        <f aca="false">C46*Assumptions!$C$32</f>
        <v>0</v>
      </c>
      <c r="D48" s="20" t="n">
        <f aca="false">D46*Assumptions!$C$32</f>
        <v>0</v>
      </c>
      <c r="E48" s="20" t="n">
        <f aca="false">E46*Assumptions!$C$32</f>
        <v>0</v>
      </c>
      <c r="F48" s="20" t="n">
        <f aca="false">F46*Assumptions!$C$32</f>
        <v>720</v>
      </c>
      <c r="G48" s="20" t="n">
        <f aca="false">G46*Assumptions!$C$32</f>
        <v>1497.6</v>
      </c>
      <c r="H48" s="20" t="n">
        <f aca="false">H46*Assumptions!$C$32</f>
        <v>2337.408</v>
      </c>
      <c r="I48" s="20" t="n">
        <f aca="false">I46*Assumptions!$C$32</f>
        <v>3244.40064</v>
      </c>
      <c r="J48" s="20" t="n">
        <f aca="false">J46*Assumptions!$C$32</f>
        <v>4223.9526912</v>
      </c>
      <c r="K48" s="20" t="n">
        <f aca="false">K46*Assumptions!$C$32</f>
        <v>5281.868906496</v>
      </c>
      <c r="L48" s="20" t="n">
        <f aca="false">L46*Assumptions!$C$32</f>
        <v>5704.41841901568</v>
      </c>
      <c r="M48" s="20" t="n">
        <f aca="false">M46*Assumptions!$C$32</f>
        <v>6160.77189253693</v>
      </c>
      <c r="N48" s="20" t="n">
        <f aca="false">N46*Assumptions!$C$32</f>
        <v>6653.63364393989</v>
      </c>
      <c r="O48" s="20" t="n">
        <f aca="false">O46*Assumptions!$C$32</f>
        <v>7185.92433545508</v>
      </c>
      <c r="P48" s="20" t="n">
        <f aca="false">P46*Assumptions!$C$32</f>
        <v>7760.79828229149</v>
      </c>
      <c r="Q48" s="20" t="n">
        <f aca="false">Q46*Assumptions!$C$32</f>
        <v>8381.66214487481</v>
      </c>
      <c r="R48" s="20" t="n">
        <f aca="false">R46*Assumptions!$C$32</f>
        <v>9052.19511646479</v>
      </c>
      <c r="S48" s="20" t="n">
        <f aca="false">S46*Assumptions!$C$32</f>
        <v>9776.37072578198</v>
      </c>
      <c r="T48" s="20" t="n">
        <f aca="false">T46*Assumptions!$C$32</f>
        <v>10558.4803838445</v>
      </c>
      <c r="U48" s="20" t="n">
        <f aca="false">U46*Assumptions!$C$32</f>
        <v>11403.1588145521</v>
      </c>
      <c r="V48" s="20" t="n">
        <f aca="false">V46*Assumptions!$C$32</f>
        <v>12315.4115197163</v>
      </c>
      <c r="W48" s="20" t="n">
        <f aca="false">W46*Assumptions!$C$32</f>
        <v>10217.1201630126</v>
      </c>
      <c r="X48" s="20" t="n">
        <f aca="false">X46*Assumptions!$C$32</f>
        <v>7889.29501220695</v>
      </c>
      <c r="Y48" s="20" t="n">
        <f aca="false">Y46*Assumptions!$C$32</f>
        <v>5312.33995405995</v>
      </c>
      <c r="Z48" s="20" t="n">
        <f aca="false">Z46*Assumptions!$C$32</f>
        <v>1880.04546200829</v>
      </c>
      <c r="AA48" s="20" t="n">
        <f aca="false">AA46*Assumptions!$C$32</f>
        <v>2030.44909896895</v>
      </c>
      <c r="AB48" s="20" t="n">
        <f aca="false">AB46*Assumptions!$C$32</f>
        <v>2192.88502688647</v>
      </c>
      <c r="AC48" s="20" t="n">
        <f aca="false">AC46*Assumptions!$C$32</f>
        <v>2368.31582903739</v>
      </c>
      <c r="AD48" s="20" t="n">
        <f aca="false">AD46*Assumptions!$C$32</f>
        <v>2557.78109536038</v>
      </c>
      <c r="AE48" s="20" t="n">
        <f aca="false">AE46*Assumptions!$C$32</f>
        <v>2762.40358298921</v>
      </c>
      <c r="AF48" s="20" t="n">
        <f aca="false">AF46*Assumptions!$C$32</f>
        <v>2983.39586962835</v>
      </c>
    </row>
    <row r="49" customFormat="false" ht="15" hidden="false" customHeight="true" outlineLevel="0" collapsed="false">
      <c r="B49" s="56" t="s">
        <v>386</v>
      </c>
      <c r="C49" s="20" t="n">
        <f aca="false">MIN(C46+C47+C48,C43)</f>
        <v>0</v>
      </c>
      <c r="D49" s="20" t="n">
        <f aca="false">MIN(D46+D47+D48,D43)</f>
        <v>0</v>
      </c>
      <c r="E49" s="20" t="n">
        <f aca="false">MIN(E46+E47+E48,E43)</f>
        <v>0</v>
      </c>
      <c r="F49" s="20" t="n">
        <f aca="false">MIN(F46+F47+F48,F43)</f>
        <v>0</v>
      </c>
      <c r="G49" s="20" t="n">
        <f aca="false">MIN(G46+G47+G48,G43)</f>
        <v>0</v>
      </c>
      <c r="H49" s="20" t="n">
        <f aca="false">MIN(H46+H47+H48,H43)</f>
        <v>0</v>
      </c>
      <c r="I49" s="20" t="n">
        <f aca="false">MIN(I46+I47+I48,I43)</f>
        <v>0</v>
      </c>
      <c r="J49" s="20" t="n">
        <f aca="false">MIN(J46+J47+J48,J43)</f>
        <v>0</v>
      </c>
      <c r="K49" s="20" t="n">
        <f aca="false">MIN(K46+K47+K48,K43)</f>
        <v>0</v>
      </c>
      <c r="L49" s="20" t="n">
        <f aca="false">MIN(L46+L47+L48,L43)</f>
        <v>0</v>
      </c>
      <c r="M49" s="20" t="n">
        <f aca="false">MIN(M46+M47+M48,M43)</f>
        <v>0</v>
      </c>
      <c r="N49" s="20" t="n">
        <f aca="false">MIN(N46+N47+N48,N43)</f>
        <v>0</v>
      </c>
      <c r="O49" s="20" t="n">
        <f aca="false">MIN(O46+O47+O48,O43)</f>
        <v>0</v>
      </c>
      <c r="P49" s="20" t="n">
        <f aca="false">MIN(P46+P47+P48,P43)</f>
        <v>0</v>
      </c>
      <c r="Q49" s="20" t="n">
        <f aca="false">MIN(Q46+Q47+Q48,Q43)</f>
        <v>0</v>
      </c>
      <c r="R49" s="20" t="n">
        <f aca="false">MIN(R46+R47+R48,R43)</f>
        <v>0</v>
      </c>
      <c r="S49" s="20" t="n">
        <f aca="false">MIN(S46+S47+S48,S43)</f>
        <v>0</v>
      </c>
      <c r="T49" s="20" t="n">
        <f aca="false">MIN(T46+T47+T48,T43)</f>
        <v>0</v>
      </c>
      <c r="U49" s="20" t="n">
        <f aca="false">MIN(U46+U47+U48,U43)</f>
        <v>0</v>
      </c>
      <c r="V49" s="20" t="n">
        <f aca="false">MIN(V46+V47+V48,V43)</f>
        <v>38544.0534785125</v>
      </c>
      <c r="W49" s="20" t="n">
        <f aca="false">MIN(W46+W47+W48,W43)</f>
        <v>39314.9345480828</v>
      </c>
      <c r="X49" s="20" t="n">
        <f aca="false">MIN(X46+X47+X48,X43)</f>
        <v>40101.2332390444</v>
      </c>
      <c r="Y49" s="20" t="n">
        <f aca="false">MIN(Y46+Y47+Y48,Y43)</f>
        <v>48216.0211047057</v>
      </c>
      <c r="Z49" s="20" t="n">
        <f aca="false">MIN(Z46+Z47+Z48,Z43)</f>
        <v>0</v>
      </c>
      <c r="AA49" s="20" t="n">
        <f aca="false">MIN(AA46+AA47+AA48,AA43)</f>
        <v>0</v>
      </c>
      <c r="AB49" s="20" t="n">
        <f aca="false">MIN(AB46+AB47+AB48,AB43)</f>
        <v>0</v>
      </c>
      <c r="AC49" s="20" t="n">
        <f aca="false">MIN(AC46+AC47+AC48,AC43)</f>
        <v>0</v>
      </c>
      <c r="AD49" s="20" t="n">
        <f aca="false">MIN(AD46+AD47+AD48,AD43)</f>
        <v>0</v>
      </c>
      <c r="AE49" s="20" t="n">
        <f aca="false">MIN(AE46+AE47+AE48,AE43)</f>
        <v>0</v>
      </c>
      <c r="AF49" s="20" t="n">
        <f aca="false">MIN(AF46+AF47+AF48,AF43)</f>
        <v>0</v>
      </c>
    </row>
    <row r="50" customFormat="false" ht="15" hidden="false" customHeight="true" outlineLevel="0" collapsed="false">
      <c r="B50" s="16" t="s">
        <v>397</v>
      </c>
      <c r="C50" s="59" t="n">
        <f aca="false">C46+C47+C48-C49</f>
        <v>0</v>
      </c>
      <c r="D50" s="59" t="n">
        <f aca="false">D46+D47+D48-D49</f>
        <v>0</v>
      </c>
      <c r="E50" s="59" t="n">
        <f aca="false">E46+E47+E48-E49</f>
        <v>9000</v>
      </c>
      <c r="F50" s="59" t="n">
        <f aca="false">F46+F47+F48-F49</f>
        <v>18720</v>
      </c>
      <c r="G50" s="59" t="n">
        <f aca="false">G46+G47+G48-G49</f>
        <v>29217.6</v>
      </c>
      <c r="H50" s="59" t="n">
        <f aca="false">H46+H47+H48-H49</f>
        <v>40555.008</v>
      </c>
      <c r="I50" s="59" t="n">
        <f aca="false">I46+I47+I48-I49</f>
        <v>52799.40864</v>
      </c>
      <c r="J50" s="59" t="n">
        <f aca="false">J46+J47+J48-J49</f>
        <v>66023.3613312</v>
      </c>
      <c r="K50" s="59" t="n">
        <f aca="false">K46+K47+K48-K49</f>
        <v>71305.230237696</v>
      </c>
      <c r="L50" s="59" t="n">
        <f aca="false">L46+L47+L48-L49</f>
        <v>77009.6486567117</v>
      </c>
      <c r="M50" s="59" t="n">
        <f aca="false">M46+M47+M48-M49</f>
        <v>83170.4205492486</v>
      </c>
      <c r="N50" s="59" t="n">
        <f aca="false">N46+N47+N48-N49</f>
        <v>89824.0541931885</v>
      </c>
      <c r="O50" s="59" t="n">
        <f aca="false">O46+O47+O48-O49</f>
        <v>97009.9785286436</v>
      </c>
      <c r="P50" s="59" t="n">
        <f aca="false">P46+P47+P48-P49</f>
        <v>104770.776810935</v>
      </c>
      <c r="Q50" s="59" t="n">
        <f aca="false">Q46+Q47+Q48-Q49</f>
        <v>113152.43895581</v>
      </c>
      <c r="R50" s="59" t="n">
        <f aca="false">R46+R47+R48-R49</f>
        <v>122204.634072275</v>
      </c>
      <c r="S50" s="59" t="n">
        <f aca="false">S46+S47+S48-S49</f>
        <v>131981.004798057</v>
      </c>
      <c r="T50" s="59" t="n">
        <f aca="false">T46+T47+T48-T49</f>
        <v>142539.485181901</v>
      </c>
      <c r="U50" s="59" t="n">
        <f aca="false">U46+U47+U48-U49</f>
        <v>153942.643996453</v>
      </c>
      <c r="V50" s="59" t="n">
        <f aca="false">V46+V47+V48-V49</f>
        <v>127714.002037657</v>
      </c>
      <c r="W50" s="59" t="n">
        <f aca="false">W46+W47+W48-W49</f>
        <v>98616.1876525868</v>
      </c>
      <c r="X50" s="59" t="n">
        <f aca="false">X46+X47+X48-X49</f>
        <v>66404.2494257494</v>
      </c>
      <c r="Y50" s="59" t="n">
        <f aca="false">Y46+Y47+Y48-Y49</f>
        <v>23500.5682751036</v>
      </c>
      <c r="Z50" s="59" t="n">
        <f aca="false">Z46+Z47+Z48-Z49</f>
        <v>25380.6137371119</v>
      </c>
      <c r="AA50" s="59" t="n">
        <f aca="false">AA46+AA47+AA48-AA49</f>
        <v>27411.0628360809</v>
      </c>
      <c r="AB50" s="59" t="n">
        <f aca="false">AB46+AB47+AB48-AB49</f>
        <v>29603.9478629674</v>
      </c>
      <c r="AC50" s="59" t="n">
        <f aca="false">AC46+AC47+AC48-AC49</f>
        <v>31972.2636920047</v>
      </c>
      <c r="AD50" s="59" t="n">
        <f aca="false">AD46+AD47+AD48-AD49</f>
        <v>34530.0447873651</v>
      </c>
      <c r="AE50" s="59" t="n">
        <f aca="false">AE46+AE47+AE48-AE49</f>
        <v>37292.4483703543</v>
      </c>
      <c r="AF50" s="59" t="n">
        <f aca="false">AF46+AF47+AF48-AF49</f>
        <v>40275.8442399827</v>
      </c>
    </row>
    <row r="51" customFormat="false" ht="15" hidden="false" customHeight="true" outlineLevel="0" collapsed="false">
      <c r="B51" s="16" t="s">
        <v>398</v>
      </c>
      <c r="C51" s="58" t="n">
        <f aca="false">C43-C49</f>
        <v>0</v>
      </c>
      <c r="D51" s="58" t="n">
        <f aca="false">D43-D49</f>
        <v>0</v>
      </c>
      <c r="E51" s="58" t="n">
        <f aca="false">E43-E49</f>
        <v>0</v>
      </c>
      <c r="F51" s="58" t="n">
        <f aca="false">F43-F49</f>
        <v>0</v>
      </c>
      <c r="G51" s="58" t="n">
        <f aca="false">G43-G49</f>
        <v>0</v>
      </c>
      <c r="H51" s="58" t="n">
        <f aca="false">H43-H49</f>
        <v>0</v>
      </c>
      <c r="I51" s="58" t="n">
        <f aca="false">I43-I49</f>
        <v>0</v>
      </c>
      <c r="J51" s="58" t="n">
        <f aca="false">J43-J49</f>
        <v>0</v>
      </c>
      <c r="K51" s="58" t="n">
        <f aca="false">K43-K49</f>
        <v>0</v>
      </c>
      <c r="L51" s="58" t="n">
        <f aca="false">L43-L49</f>
        <v>0</v>
      </c>
      <c r="M51" s="58" t="n">
        <f aca="false">M43-M49</f>
        <v>0</v>
      </c>
      <c r="N51" s="58" t="n">
        <f aca="false">N43-N49</f>
        <v>0</v>
      </c>
      <c r="O51" s="58" t="n">
        <f aca="false">O43-O49</f>
        <v>0</v>
      </c>
      <c r="P51" s="58" t="n">
        <f aca="false">P43-P49</f>
        <v>0</v>
      </c>
      <c r="Q51" s="58" t="n">
        <f aca="false">Q43-Q49</f>
        <v>0</v>
      </c>
      <c r="R51" s="58" t="n">
        <f aca="false">R43-R49</f>
        <v>0</v>
      </c>
      <c r="S51" s="58" t="n">
        <f aca="false">S43-S49</f>
        <v>0</v>
      </c>
      <c r="T51" s="58" t="n">
        <f aca="false">T43-T49</f>
        <v>0</v>
      </c>
      <c r="U51" s="58" t="n">
        <f aca="false">U43-U49</f>
        <v>0</v>
      </c>
      <c r="V51" s="58" t="n">
        <f aca="false">V43-V49</f>
        <v>0</v>
      </c>
      <c r="W51" s="58" t="n">
        <f aca="false">W43-W49</f>
        <v>0</v>
      </c>
      <c r="X51" s="58" t="n">
        <f aca="false">X43-X49</f>
        <v>0</v>
      </c>
      <c r="Y51" s="58" t="n">
        <f aca="false">Y43-Y49</f>
        <v>0</v>
      </c>
      <c r="Z51" s="58" t="n">
        <f aca="false">Z43-Z49</f>
        <v>0</v>
      </c>
      <c r="AA51" s="58" t="n">
        <f aca="false">AA43-AA49</f>
        <v>0</v>
      </c>
      <c r="AB51" s="58" t="n">
        <f aca="false">AB43-AB49</f>
        <v>0</v>
      </c>
      <c r="AC51" s="58" t="n">
        <f aca="false">AC43-AC49</f>
        <v>0</v>
      </c>
      <c r="AD51" s="58" t="n">
        <f aca="false">AD43-AD49</f>
        <v>0</v>
      </c>
      <c r="AE51" s="58" t="n">
        <f aca="false">AE43-AE49</f>
        <v>0</v>
      </c>
      <c r="AF51" s="58" t="n">
        <f aca="false">AF43-AF49</f>
        <v>0</v>
      </c>
    </row>
    <row r="55" customFormat="false" ht="15" hidden="false" customHeight="true" outlineLevel="0" collapsed="false">
      <c r="A55" s="30" t="s">
        <v>399</v>
      </c>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customFormat="false" ht="15" hidden="false" customHeight="true" outlineLevel="0" collapsed="false">
      <c r="B56" s="16" t="s">
        <v>400</v>
      </c>
      <c r="C56" s="58" t="n">
        <f aca="false">C23+C35</f>
        <v>18000</v>
      </c>
      <c r="D56" s="58" t="n">
        <f aca="false">D23+D35</f>
        <v>18000</v>
      </c>
      <c r="E56" s="58" t="n">
        <f aca="false">E23+E35</f>
        <v>18000</v>
      </c>
      <c r="F56" s="58" t="n">
        <f aca="false">F23+F35</f>
        <v>18000</v>
      </c>
      <c r="G56" s="58" t="n">
        <f aca="false">G23+G35</f>
        <v>9000</v>
      </c>
      <c r="H56" s="58" t="n">
        <f aca="false">H23+H35</f>
        <v>9000</v>
      </c>
      <c r="I56" s="58" t="n">
        <f aca="false">I23+I35</f>
        <v>0</v>
      </c>
      <c r="J56" s="58" t="n">
        <f aca="false">J23+J35</f>
        <v>0</v>
      </c>
      <c r="K56" s="58" t="n">
        <f aca="false">K23+K35</f>
        <v>0</v>
      </c>
      <c r="L56" s="58" t="n">
        <f aca="false">L23+L35</f>
        <v>0</v>
      </c>
      <c r="M56" s="58" t="n">
        <f aca="false">M23+M35</f>
        <v>0</v>
      </c>
      <c r="N56" s="58" t="n">
        <f aca="false">N23+N35</f>
        <v>0</v>
      </c>
      <c r="O56" s="58" t="n">
        <f aca="false">O23+O35</f>
        <v>0</v>
      </c>
      <c r="P56" s="58" t="n">
        <f aca="false">P23+P35</f>
        <v>0</v>
      </c>
      <c r="Q56" s="58" t="n">
        <f aca="false">Q23+Q35</f>
        <v>0</v>
      </c>
      <c r="R56" s="58" t="n">
        <f aca="false">R23+R35</f>
        <v>0</v>
      </c>
      <c r="S56" s="58" t="n">
        <f aca="false">S23+S35</f>
        <v>0</v>
      </c>
      <c r="T56" s="58" t="n">
        <f aca="false">T23+T35</f>
        <v>0</v>
      </c>
      <c r="U56" s="58" t="n">
        <f aca="false">U23+U35</f>
        <v>0</v>
      </c>
      <c r="V56" s="58" t="n">
        <f aca="false">V23+V35</f>
        <v>0</v>
      </c>
      <c r="W56" s="58" t="n">
        <f aca="false">W23+W35</f>
        <v>0</v>
      </c>
      <c r="X56" s="58" t="n">
        <f aca="false">X23+X35</f>
        <v>0</v>
      </c>
      <c r="Y56" s="58" t="n">
        <f aca="false">Y23+Y35</f>
        <v>0</v>
      </c>
      <c r="Z56" s="58" t="n">
        <f aca="false">Z23+Z35</f>
        <v>0</v>
      </c>
      <c r="AA56" s="58" t="n">
        <f aca="false">AA23+AA35</f>
        <v>0</v>
      </c>
      <c r="AB56" s="58" t="n">
        <f aca="false">AB23+AB35</f>
        <v>0</v>
      </c>
      <c r="AC56" s="58" t="n">
        <f aca="false">AC23+AC35</f>
        <v>0</v>
      </c>
      <c r="AD56" s="58" t="n">
        <f aca="false">AD23+AD35</f>
        <v>0</v>
      </c>
      <c r="AE56" s="58" t="n">
        <f aca="false">AE23+AE35</f>
        <v>0</v>
      </c>
      <c r="AF56" s="58" t="n">
        <f aca="false">AF23+AF35</f>
        <v>0</v>
      </c>
    </row>
    <row r="57" customFormat="false" ht="15" hidden="false" customHeight="true" outlineLevel="0" collapsed="false">
      <c r="B57" s="16" t="s">
        <v>401</v>
      </c>
      <c r="C57" s="58" t="n">
        <f aca="false">C27+C39</f>
        <v>0</v>
      </c>
      <c r="D57" s="58" t="n">
        <f aca="false">D27+D39</f>
        <v>0</v>
      </c>
      <c r="E57" s="58" t="n">
        <f aca="false">E27+E39</f>
        <v>0</v>
      </c>
      <c r="F57" s="58" t="n">
        <f aca="false">F27+F39</f>
        <v>0</v>
      </c>
      <c r="G57" s="58" t="n">
        <f aca="false">G27+G39</f>
        <v>0</v>
      </c>
      <c r="H57" s="58" t="n">
        <f aca="false">H27+H39</f>
        <v>0</v>
      </c>
      <c r="I57" s="58" t="n">
        <f aca="false">I27+I39</f>
        <v>0</v>
      </c>
      <c r="J57" s="58" t="n">
        <f aca="false">J27+J39</f>
        <v>0</v>
      </c>
      <c r="K57" s="58" t="n">
        <f aca="false">K27+K39</f>
        <v>0</v>
      </c>
      <c r="L57" s="58" t="n">
        <f aca="false">L27+L39</f>
        <v>0</v>
      </c>
      <c r="M57" s="58" t="n">
        <f aca="false">M27+M39</f>
        <v>0</v>
      </c>
      <c r="N57" s="58" t="n">
        <f aca="false">N27+N39</f>
        <v>0</v>
      </c>
      <c r="O57" s="58" t="n">
        <f aca="false">O27+O39</f>
        <v>0</v>
      </c>
      <c r="P57" s="58" t="n">
        <f aca="false">P27+P39</f>
        <v>0</v>
      </c>
      <c r="Q57" s="58" t="n">
        <f aca="false">Q27+Q39</f>
        <v>0</v>
      </c>
      <c r="R57" s="58" t="n">
        <f aca="false">R27+R39</f>
        <v>0</v>
      </c>
      <c r="S57" s="58" t="n">
        <f aca="false">S27+S39</f>
        <v>0</v>
      </c>
      <c r="T57" s="58" t="n">
        <f aca="false">T27+T39</f>
        <v>0</v>
      </c>
      <c r="U57" s="58" t="n">
        <f aca="false">U27+U39</f>
        <v>0</v>
      </c>
      <c r="V57" s="58" t="n">
        <f aca="false">V27+V39</f>
        <v>0</v>
      </c>
      <c r="W57" s="58" t="n">
        <f aca="false">W27+W39</f>
        <v>0</v>
      </c>
      <c r="X57" s="58" t="n">
        <f aca="false">X27+X39</f>
        <v>0</v>
      </c>
      <c r="Y57" s="58" t="n">
        <f aca="false">Y27+Y39</f>
        <v>0</v>
      </c>
      <c r="Z57" s="58" t="n">
        <f aca="false">Z27+Z39</f>
        <v>0</v>
      </c>
      <c r="AA57" s="58" t="n">
        <f aca="false">AA27+AA39</f>
        <v>0</v>
      </c>
      <c r="AB57" s="58" t="n">
        <f aca="false">AB27+AB39</f>
        <v>0</v>
      </c>
      <c r="AC57" s="58" t="n">
        <f aca="false">AC27+AC39</f>
        <v>0</v>
      </c>
      <c r="AD57" s="58" t="n">
        <f aca="false">AD27+AD39</f>
        <v>0</v>
      </c>
      <c r="AE57" s="58" t="n">
        <f aca="false">AE27+AE39</f>
        <v>0</v>
      </c>
      <c r="AF57" s="58" t="n">
        <f aca="false">AF27+AF39</f>
        <v>0</v>
      </c>
    </row>
    <row r="58" customFormat="false" ht="15" hidden="false" customHeight="true" outlineLevel="0" collapsed="false">
      <c r="B58" s="56" t="s">
        <v>402</v>
      </c>
      <c r="C58" s="20" t="n">
        <f aca="false">C26+C38</f>
        <v>34200</v>
      </c>
      <c r="D58" s="20" t="n">
        <f aca="false">D26+D38</f>
        <v>54936</v>
      </c>
      <c r="E58" s="20" t="n">
        <f aca="false">E26+E38</f>
        <v>77330.88</v>
      </c>
      <c r="F58" s="20" t="n">
        <f aca="false">F26+F38</f>
        <v>101517.3504</v>
      </c>
      <c r="G58" s="20" t="n">
        <f aca="false">G26+G38</f>
        <v>118638.738432</v>
      </c>
      <c r="H58" s="20" t="n">
        <f aca="false">H26+H38</f>
        <v>137129.83750656</v>
      </c>
      <c r="I58" s="20" t="n">
        <f aca="false">I26+I38</f>
        <v>148100.224507085</v>
      </c>
      <c r="J58" s="20" t="n">
        <f aca="false">J26+J38</f>
        <v>159948.242467652</v>
      </c>
      <c r="K58" s="20" t="n">
        <f aca="false">K26+K38</f>
        <v>172744.101865064</v>
      </c>
      <c r="L58" s="20" t="n">
        <f aca="false">L26+L38</f>
        <v>186563.630014269</v>
      </c>
      <c r="M58" s="20" t="n">
        <f aca="false">M26+M38</f>
        <v>201488.72041541</v>
      </c>
      <c r="N58" s="20" t="n">
        <f aca="false">N26+N38</f>
        <v>217607.818048643</v>
      </c>
      <c r="O58" s="20" t="n">
        <f aca="false">O26+O38</f>
        <v>235016.443492535</v>
      </c>
      <c r="P58" s="20" t="n">
        <f aca="false">P26+P38</f>
        <v>219591.742529564</v>
      </c>
      <c r="Q58" s="20" t="n">
        <f aca="false">Q26+Q38</f>
        <v>202248.545160709</v>
      </c>
      <c r="R58" s="20" t="n">
        <f aca="false">R26+R38</f>
        <v>182819.68126692</v>
      </c>
      <c r="S58" s="20" t="n">
        <f aca="false">S26+S38</f>
        <v>118309.886407632</v>
      </c>
      <c r="T58" s="20" t="n">
        <f aca="false">T26+T38</f>
        <v>90727.3364143285</v>
      </c>
      <c r="U58" s="20" t="n">
        <f aca="false">U26+U38</f>
        <v>60197.2356034429</v>
      </c>
      <c r="V58" s="20" t="n">
        <f aca="false">V26+V38</f>
        <v>19577.9808817625</v>
      </c>
      <c r="W58" s="20" t="n">
        <f aca="false">W26+W38</f>
        <v>21144.2193523035</v>
      </c>
      <c r="X58" s="20" t="n">
        <f aca="false">X26+X38</f>
        <v>22835.7569004878</v>
      </c>
      <c r="Y58" s="20" t="n">
        <f aca="false">Y26+Y38</f>
        <v>24662.6174525268</v>
      </c>
      <c r="Z58" s="20" t="n">
        <f aca="false">Z26+Z38</f>
        <v>26635.626848729</v>
      </c>
      <c r="AA58" s="20" t="n">
        <f aca="false">AA26+AA38</f>
        <v>28766.4769966273</v>
      </c>
      <c r="AB58" s="20" t="n">
        <f aca="false">AB26+AB38</f>
        <v>31067.7951563575</v>
      </c>
      <c r="AC58" s="20" t="n">
        <f aca="false">AC26+AC38</f>
        <v>33553.2187688661</v>
      </c>
      <c r="AD58" s="20" t="n">
        <f aca="false">AD26+AD38</f>
        <v>36237.4762703753</v>
      </c>
      <c r="AE58" s="20" t="n">
        <f aca="false">AE26+AE38</f>
        <v>39136.4743720054</v>
      </c>
      <c r="AF58" s="20" t="n">
        <f aca="false">AF26+AF38</f>
        <v>42267.3923217658</v>
      </c>
    </row>
    <row r="59" customFormat="false" ht="15" hidden="false" customHeight="true" outlineLevel="0" collapsed="false">
      <c r="A59" s="30" t="s">
        <v>403</v>
      </c>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customFormat="false" ht="15" hidden="false" customHeight="true" outlineLevel="0" collapsed="false">
      <c r="B60" s="6" t="s">
        <v>404</v>
      </c>
      <c r="C60" s="62" t="n">
        <f aca="false">IF(OR(C5&lt;Assumptions!$E$84,C5&gt;Assumptions!$E$86),0,IF(C5=Assumptions!$E$84,Assumptions!$E$85,IF(C5=Assumptions!$E$86,Assumptions!$E$87,12)))</f>
        <v>0</v>
      </c>
      <c r="D60" s="62" t="n">
        <f aca="false">IF(OR(D5&lt;Assumptions!$E$84,D5&gt;Assumptions!$E$86),0,IF(D5=Assumptions!$E$84,Assumptions!$E$85,IF(D5=Assumptions!$E$86,Assumptions!$E$87,12)))</f>
        <v>0</v>
      </c>
      <c r="E60" s="62" t="n">
        <f aca="false">IF(OR(E5&lt;Assumptions!$E$84,E5&gt;Assumptions!$E$86),0,IF(E5=Assumptions!$E$84,Assumptions!$E$85,IF(E5=Assumptions!$E$86,Assumptions!$E$87,12)))</f>
        <v>4</v>
      </c>
      <c r="F60" s="62" t="n">
        <f aca="false">IF(OR(F5&lt;Assumptions!$E$84,F5&gt;Assumptions!$E$86),0,IF(F5=Assumptions!$E$84,Assumptions!$E$85,IF(F5=Assumptions!$E$86,Assumptions!$E$87,12)))</f>
        <v>12</v>
      </c>
      <c r="G60" s="62" t="n">
        <f aca="false">IF(OR(G5&lt;Assumptions!$E$84,G5&gt;Assumptions!$E$86),0,IF(G5=Assumptions!$E$84,Assumptions!$E$85,IF(G5=Assumptions!$E$86,Assumptions!$E$87,12)))</f>
        <v>12</v>
      </c>
      <c r="H60" s="62" t="n">
        <f aca="false">IF(OR(H5&lt;Assumptions!$E$84,H5&gt;Assumptions!$E$86),0,IF(H5=Assumptions!$E$84,Assumptions!$E$85,IF(H5=Assumptions!$E$86,Assumptions!$E$87,12)))</f>
        <v>8</v>
      </c>
      <c r="I60" s="62" t="n">
        <f aca="false">IF(OR(I5&lt;Assumptions!$E$84,I5&gt;Assumptions!$E$86),0,IF(I5=Assumptions!$E$84,Assumptions!$E$85,IF(I5=Assumptions!$E$86,Assumptions!$E$87,12)))</f>
        <v>0</v>
      </c>
      <c r="J60" s="62" t="n">
        <f aca="false">IF(OR(J5&lt;Assumptions!$E$84,J5&gt;Assumptions!$E$86),0,IF(J5=Assumptions!$E$84,Assumptions!$E$85,IF(J5=Assumptions!$E$86,Assumptions!$E$87,12)))</f>
        <v>0</v>
      </c>
      <c r="K60" s="62" t="n">
        <f aca="false">IF(OR(K5&lt;Assumptions!$E$84,K5&gt;Assumptions!$E$86),0,IF(K5=Assumptions!$E$84,Assumptions!$E$85,IF(K5=Assumptions!$E$86,Assumptions!$E$87,12)))</f>
        <v>0</v>
      </c>
      <c r="L60" s="62" t="n">
        <f aca="false">IF(OR(L5&lt;Assumptions!$E$84,L5&gt;Assumptions!$E$86),0,IF(L5=Assumptions!$E$84,Assumptions!$E$85,IF(L5=Assumptions!$E$86,Assumptions!$E$87,12)))</f>
        <v>0</v>
      </c>
      <c r="M60" s="62" t="n">
        <f aca="false">IF(OR(M5&lt;Assumptions!$E$84,M5&gt;Assumptions!$E$86),0,IF(M5=Assumptions!$E$84,Assumptions!$E$85,IF(M5=Assumptions!$E$86,Assumptions!$E$87,12)))</f>
        <v>0</v>
      </c>
      <c r="N60" s="62" t="n">
        <f aca="false">IF(OR(N5&lt;Assumptions!$E$84,N5&gt;Assumptions!$E$86),0,IF(N5=Assumptions!$E$84,Assumptions!$E$85,IF(N5=Assumptions!$E$86,Assumptions!$E$87,12)))</f>
        <v>0</v>
      </c>
      <c r="O60" s="62" t="n">
        <f aca="false">IF(OR(O5&lt;Assumptions!$E$84,O5&gt;Assumptions!$E$86),0,IF(O5=Assumptions!$E$84,Assumptions!$E$85,IF(O5=Assumptions!$E$86,Assumptions!$E$87,12)))</f>
        <v>0</v>
      </c>
      <c r="P60" s="62" t="n">
        <f aca="false">IF(OR(P5&lt;Assumptions!$E$84,P5&gt;Assumptions!$E$86),0,IF(P5=Assumptions!$E$84,Assumptions!$E$85,IF(P5=Assumptions!$E$86,Assumptions!$E$87,12)))</f>
        <v>0</v>
      </c>
      <c r="Q60" s="62" t="n">
        <f aca="false">IF(OR(Q5&lt;Assumptions!$E$84,Q5&gt;Assumptions!$E$86),0,IF(Q5=Assumptions!$E$84,Assumptions!$E$85,IF(Q5=Assumptions!$E$86,Assumptions!$E$87,12)))</f>
        <v>0</v>
      </c>
      <c r="R60" s="62" t="n">
        <f aca="false">IF(OR(R5&lt;Assumptions!$E$84,R5&gt;Assumptions!$E$86),0,IF(R5=Assumptions!$E$84,Assumptions!$E$85,IF(R5=Assumptions!$E$86,Assumptions!$E$87,12)))</f>
        <v>0</v>
      </c>
      <c r="S60" s="62" t="n">
        <f aca="false">IF(OR(S5&lt;Assumptions!$E$84,S5&gt;Assumptions!$E$86),0,IF(S5=Assumptions!$E$84,Assumptions!$E$85,IF(S5=Assumptions!$E$86,Assumptions!$E$87,12)))</f>
        <v>0</v>
      </c>
      <c r="T60" s="62" t="n">
        <f aca="false">IF(OR(T5&lt;Assumptions!$E$84,T5&gt;Assumptions!$E$86),0,IF(T5=Assumptions!$E$84,Assumptions!$E$85,IF(T5=Assumptions!$E$86,Assumptions!$E$87,12)))</f>
        <v>0</v>
      </c>
      <c r="U60" s="62" t="n">
        <f aca="false">IF(OR(U5&lt;Assumptions!$E$84,U5&gt;Assumptions!$E$86),0,IF(U5=Assumptions!$E$84,Assumptions!$E$85,IF(U5=Assumptions!$E$86,Assumptions!$E$87,12)))</f>
        <v>0</v>
      </c>
      <c r="V60" s="62" t="n">
        <f aca="false">IF(OR(V5&lt;Assumptions!$E$84,V5&gt;Assumptions!$E$86),0,IF(V5=Assumptions!$E$84,Assumptions!$E$85,IF(V5=Assumptions!$E$86,Assumptions!$E$87,12)))</f>
        <v>0</v>
      </c>
      <c r="W60" s="62" t="n">
        <f aca="false">IF(OR(W5&lt;Assumptions!$E$84,W5&gt;Assumptions!$E$86),0,IF(W5=Assumptions!$E$84,Assumptions!$E$85,IF(W5=Assumptions!$E$86,Assumptions!$E$87,12)))</f>
        <v>0</v>
      </c>
      <c r="X60" s="62" t="n">
        <f aca="false">IF(OR(X5&lt;Assumptions!$E$84,X5&gt;Assumptions!$E$86),0,IF(X5=Assumptions!$E$84,Assumptions!$E$85,IF(X5=Assumptions!$E$86,Assumptions!$E$87,12)))</f>
        <v>0</v>
      </c>
      <c r="Y60" s="62" t="n">
        <f aca="false">IF(OR(Y5&lt;Assumptions!$E$84,Y5&gt;Assumptions!$E$86),0,IF(Y5=Assumptions!$E$84,Assumptions!$E$85,IF(Y5=Assumptions!$E$86,Assumptions!$E$87,12)))</f>
        <v>0</v>
      </c>
      <c r="Z60" s="62" t="n">
        <f aca="false">IF(OR(Z5&lt;Assumptions!$E$84,Z5&gt;Assumptions!$E$86),0,IF(Z5=Assumptions!$E$84,Assumptions!$E$85,IF(Z5=Assumptions!$E$86,Assumptions!$E$87,12)))</f>
        <v>0</v>
      </c>
      <c r="AA60" s="62" t="n">
        <f aca="false">IF(OR(AA5&lt;Assumptions!$E$84,AA5&gt;Assumptions!$E$86),0,IF(AA5=Assumptions!$E$84,Assumptions!$E$85,IF(AA5=Assumptions!$E$86,Assumptions!$E$87,12)))</f>
        <v>0</v>
      </c>
      <c r="AB60" s="62" t="n">
        <f aca="false">IF(OR(AB5&lt;Assumptions!$E$84,AB5&gt;Assumptions!$E$86),0,IF(AB5=Assumptions!$E$84,Assumptions!$E$85,IF(AB5=Assumptions!$E$86,Assumptions!$E$87,12)))</f>
        <v>0</v>
      </c>
      <c r="AC60" s="62" t="n">
        <f aca="false">IF(OR(AC5&lt;Assumptions!$E$84,AC5&gt;Assumptions!$E$86),0,IF(AC5=Assumptions!$E$84,Assumptions!$E$85,IF(AC5=Assumptions!$E$86,Assumptions!$E$87,12)))</f>
        <v>0</v>
      </c>
      <c r="AD60" s="62" t="n">
        <f aca="false">IF(OR(AD5&lt;Assumptions!$E$84,AD5&gt;Assumptions!$E$86),0,IF(AD5=Assumptions!$E$84,Assumptions!$E$85,IF(AD5=Assumptions!$E$86,Assumptions!$E$87,12)))</f>
        <v>0</v>
      </c>
      <c r="AE60" s="62" t="n">
        <f aca="false">IF(OR(AE5&lt;Assumptions!$E$84,AE5&gt;Assumptions!$E$86),0,IF(AE5=Assumptions!$E$84,Assumptions!$E$85,IF(AE5=Assumptions!$E$86,Assumptions!$E$87,12)))</f>
        <v>0</v>
      </c>
      <c r="AF60" s="62" t="n">
        <f aca="false">IF(OR(AF5&lt;Assumptions!$E$84,AF5&gt;Assumptions!$E$86),0,IF(AF5=Assumptions!$E$84,Assumptions!$E$85,IF(AF5=Assumptions!$E$86,Assumptions!$E$87,12)))</f>
        <v>0</v>
      </c>
    </row>
    <row r="61" customFormat="false" ht="15" hidden="false" customHeight="true" outlineLevel="0" collapsed="false">
      <c r="B61" s="6" t="s">
        <v>405</v>
      </c>
      <c r="C61" s="20" t="n">
        <f aca="false">C60*Assumptions!$C$68*Assumptions!C$9</f>
        <v>0</v>
      </c>
      <c r="D61" s="20" t="n">
        <f aca="false">D60*Assumptions!$C$68*Assumptions!D$9</f>
        <v>0</v>
      </c>
      <c r="E61" s="20" t="n">
        <f aca="false">E60*Assumptions!$C$68*Assumptions!E$9</f>
        <v>11681.28</v>
      </c>
      <c r="F61" s="20" t="n">
        <f aca="false">F60*Assumptions!$C$68*Assumptions!F$9</f>
        <v>35744.7168</v>
      </c>
      <c r="G61" s="20" t="n">
        <f aca="false">G60*Assumptions!$C$68*Assumptions!G$9</f>
        <v>36459.611136</v>
      </c>
      <c r="H61" s="20" t="n">
        <f aca="false">H60*Assumptions!$C$68*Assumptions!H$9</f>
        <v>24792.53557248</v>
      </c>
      <c r="I61" s="20" t="n">
        <f aca="false">I60*Assumptions!$C$68*Assumptions!I$9</f>
        <v>0</v>
      </c>
      <c r="J61" s="20" t="n">
        <f aca="false">J60*Assumptions!$C$68*Assumptions!J$9</f>
        <v>0</v>
      </c>
      <c r="K61" s="20" t="n">
        <f aca="false">K60*Assumptions!$C$68*Assumptions!K$9</f>
        <v>0</v>
      </c>
      <c r="L61" s="20" t="n">
        <f aca="false">L60*Assumptions!$C$68*Assumptions!L$9</f>
        <v>0</v>
      </c>
      <c r="M61" s="20" t="n">
        <f aca="false">M60*Assumptions!$C$68*Assumptions!M$9</f>
        <v>0</v>
      </c>
      <c r="N61" s="20" t="n">
        <f aca="false">N60*Assumptions!$C$68*Assumptions!N$9</f>
        <v>0</v>
      </c>
      <c r="O61" s="20" t="n">
        <f aca="false">O60*Assumptions!$C$68*Assumptions!O$9</f>
        <v>0</v>
      </c>
      <c r="P61" s="20" t="n">
        <f aca="false">P60*Assumptions!$C$68*Assumptions!P$9</f>
        <v>0</v>
      </c>
      <c r="Q61" s="20" t="n">
        <f aca="false">Q60*Assumptions!$C$68*Assumptions!Q$9</f>
        <v>0</v>
      </c>
      <c r="R61" s="20" t="n">
        <f aca="false">R60*Assumptions!$C$68*Assumptions!R$9</f>
        <v>0</v>
      </c>
      <c r="S61" s="20" t="n">
        <f aca="false">S60*Assumptions!$C$68*Assumptions!S$9</f>
        <v>0</v>
      </c>
      <c r="T61" s="20" t="n">
        <f aca="false">T60*Assumptions!$C$68*Assumptions!T$9</f>
        <v>0</v>
      </c>
      <c r="U61" s="20" t="n">
        <f aca="false">U60*Assumptions!$C$68*Assumptions!U$9</f>
        <v>0</v>
      </c>
      <c r="V61" s="20" t="n">
        <f aca="false">V60*Assumptions!$C$68*Assumptions!V$9</f>
        <v>0</v>
      </c>
      <c r="W61" s="20" t="n">
        <f aca="false">W60*Assumptions!$C$68*Assumptions!W$9</f>
        <v>0</v>
      </c>
      <c r="X61" s="20" t="n">
        <f aca="false">X60*Assumptions!$C$68*Assumptions!X$9</f>
        <v>0</v>
      </c>
      <c r="Y61" s="20" t="n">
        <f aca="false">Y60*Assumptions!$C$68*Assumptions!Y$9</f>
        <v>0</v>
      </c>
      <c r="Z61" s="20" t="n">
        <f aca="false">Z60*Assumptions!$C$68*Assumptions!Z$9</f>
        <v>0</v>
      </c>
      <c r="AA61" s="20" t="n">
        <f aca="false">AA60*Assumptions!$C$68*Assumptions!AA$9</f>
        <v>0</v>
      </c>
      <c r="AB61" s="20" t="n">
        <f aca="false">AB60*Assumptions!$C$68*Assumptions!AB$9</f>
        <v>0</v>
      </c>
      <c r="AC61" s="20" t="n">
        <f aca="false">AC60*Assumptions!$C$68*Assumptions!AC$9</f>
        <v>0</v>
      </c>
      <c r="AD61" s="20" t="n">
        <f aca="false">AD60*Assumptions!$C$68*Assumptions!AD$9</f>
        <v>0</v>
      </c>
      <c r="AE61" s="20" t="n">
        <f aca="false">AE60*Assumptions!$C$68*Assumptions!AE$9</f>
        <v>0</v>
      </c>
      <c r="AF61" s="20" t="n">
        <f aca="false">AF60*Assumptions!$C$68*Assumptions!AF$9</f>
        <v>0</v>
      </c>
    </row>
    <row r="62" customFormat="false" ht="15" hidden="false" customHeight="true" outlineLevel="0" collapsed="false">
      <c r="B62" s="6" t="s">
        <v>406</v>
      </c>
      <c r="C62" s="20" t="n">
        <f aca="false">IF(C5&lt;Assumptions!$C$98,0,IF(C5=Assumptions!$C$98,13-Assumptions!$C$99,12))*Assumptions!$C$72*Assumptions!C$9</f>
        <v>0</v>
      </c>
      <c r="D62" s="20" t="n">
        <f aca="false">IF(D5&lt;Assumptions!$C$98,0,IF(D5=Assumptions!$C$98,13-Assumptions!$C$99,12))*Assumptions!$C$72*Assumptions!D$9</f>
        <v>3120</v>
      </c>
      <c r="E62" s="20" t="n">
        <f aca="false">IF(E5&lt;Assumptions!$C$98,0,IF(E5=Assumptions!$C$98,13-Assumptions!$C$99,12))*Assumptions!$C$72*Assumptions!E$9</f>
        <v>6489.6</v>
      </c>
      <c r="F62" s="20" t="n">
        <f aca="false">IF(F5&lt;Assumptions!$C$98,0,IF(F5=Assumptions!$C$98,13-Assumptions!$C$99,12))*Assumptions!$C$72*Assumptions!F$9</f>
        <v>6619.392</v>
      </c>
      <c r="G62" s="20" t="n">
        <f aca="false">IF(G5&lt;Assumptions!$C$98,0,IF(G5=Assumptions!$C$98,13-Assumptions!$C$99,12))*Assumptions!$C$72*Assumptions!G$9</f>
        <v>6751.77984</v>
      </c>
      <c r="H62" s="20" t="n">
        <f aca="false">IF(H5&lt;Assumptions!$C$98,0,IF(H5=Assumptions!$C$98,13-Assumptions!$C$99,12))*Assumptions!$C$72*Assumptions!H$9</f>
        <v>6886.8154368</v>
      </c>
      <c r="I62" s="20" t="n">
        <f aca="false">IF(I5&lt;Assumptions!$C$98,0,IF(I5=Assumptions!$C$98,13-Assumptions!$C$99,12))*Assumptions!$C$72*Assumptions!I$9</f>
        <v>7024.551745536</v>
      </c>
      <c r="J62" s="20" t="n">
        <f aca="false">IF(J5&lt;Assumptions!$C$98,0,IF(J5=Assumptions!$C$98,13-Assumptions!$C$99,12))*Assumptions!$C$72*Assumptions!J$9</f>
        <v>7165.04278044672</v>
      </c>
      <c r="K62" s="20" t="n">
        <f aca="false">IF(K5&lt;Assumptions!$C$98,0,IF(K5=Assumptions!$C$98,13-Assumptions!$C$99,12))*Assumptions!$C$72*Assumptions!K$9</f>
        <v>7308.34363605566</v>
      </c>
      <c r="L62" s="20" t="n">
        <f aca="false">IF(L5&lt;Assumptions!$C$98,0,IF(L5=Assumptions!$C$98,13-Assumptions!$C$99,12))*Assumptions!$C$72*Assumptions!L$9</f>
        <v>7454.51050877677</v>
      </c>
      <c r="M62" s="20" t="n">
        <f aca="false">IF(M5&lt;Assumptions!$C$98,0,IF(M5=Assumptions!$C$98,13-Assumptions!$C$99,12))*Assumptions!$C$72*Assumptions!M$9</f>
        <v>7603.60071895231</v>
      </c>
      <c r="N62" s="20" t="n">
        <f aca="false">IF(N5&lt;Assumptions!$C$98,0,IF(N5=Assumptions!$C$98,13-Assumptions!$C$99,12))*Assumptions!$C$72*Assumptions!N$9</f>
        <v>7755.67273333135</v>
      </c>
      <c r="O62" s="20" t="n">
        <f aca="false">IF(O5&lt;Assumptions!$C$98,0,IF(O5=Assumptions!$C$98,13-Assumptions!$C$99,12))*Assumptions!$C$72*Assumptions!O$9</f>
        <v>7910.78618799798</v>
      </c>
      <c r="P62" s="20" t="n">
        <f aca="false">IF(P5&lt;Assumptions!$C$98,0,IF(P5=Assumptions!$C$98,13-Assumptions!$C$99,12))*Assumptions!$C$72*Assumptions!P$9</f>
        <v>8069.00191175794</v>
      </c>
      <c r="Q62" s="20" t="n">
        <f aca="false">IF(Q5&lt;Assumptions!$C$98,0,IF(Q5=Assumptions!$C$98,13-Assumptions!$C$99,12))*Assumptions!$C$72*Assumptions!Q$9</f>
        <v>8230.3819499931</v>
      </c>
      <c r="R62" s="20" t="n">
        <f aca="false">IF(R5&lt;Assumptions!$C$98,0,IF(R5=Assumptions!$C$98,13-Assumptions!$C$99,12))*Assumptions!$C$72*Assumptions!R$9</f>
        <v>8394.98958899296</v>
      </c>
      <c r="S62" s="20" t="n">
        <f aca="false">IF(S5&lt;Assumptions!$C$98,0,IF(S5=Assumptions!$C$98,13-Assumptions!$C$99,12))*Assumptions!$C$72*Assumptions!S$9</f>
        <v>8562.88938077282</v>
      </c>
      <c r="T62" s="20" t="n">
        <f aca="false">IF(T5&lt;Assumptions!$C$98,0,IF(T5=Assumptions!$C$98,13-Assumptions!$C$99,12))*Assumptions!$C$72*Assumptions!T$9</f>
        <v>8734.14716838827</v>
      </c>
      <c r="U62" s="20" t="n">
        <f aca="false">IF(U5&lt;Assumptions!$C$98,0,IF(U5=Assumptions!$C$98,13-Assumptions!$C$99,12))*Assumptions!$C$72*Assumptions!U$9</f>
        <v>8908.83011175604</v>
      </c>
      <c r="V62" s="20" t="n">
        <f aca="false">IF(V5&lt;Assumptions!$C$98,0,IF(V5=Assumptions!$C$98,13-Assumptions!$C$99,12))*Assumptions!$C$72*Assumptions!V$9</f>
        <v>9087.00671399116</v>
      </c>
      <c r="W62" s="20" t="n">
        <f aca="false">IF(W5&lt;Assumptions!$C$98,0,IF(W5=Assumptions!$C$98,13-Assumptions!$C$99,12))*Assumptions!$C$72*Assumptions!W$9</f>
        <v>9268.74684827099</v>
      </c>
      <c r="X62" s="20" t="n">
        <f aca="false">IF(X5&lt;Assumptions!$C$98,0,IF(X5=Assumptions!$C$98,13-Assumptions!$C$99,12))*Assumptions!$C$72*Assumptions!X$9</f>
        <v>9454.1217852364</v>
      </c>
      <c r="Y62" s="20" t="n">
        <f aca="false">IF(Y5&lt;Assumptions!$C$98,0,IF(Y5=Assumptions!$C$98,13-Assumptions!$C$99,12))*Assumptions!$C$72*Assumptions!Y$9</f>
        <v>9643.20422094113</v>
      </c>
      <c r="Z62" s="20" t="n">
        <f aca="false">IF(Z5&lt;Assumptions!$C$98,0,IF(Z5=Assumptions!$C$98,13-Assumptions!$C$99,12))*Assumptions!$C$72*Assumptions!Z$9</f>
        <v>9836.06830535996</v>
      </c>
      <c r="AA62" s="20" t="n">
        <f aca="false">IF(AA5&lt;Assumptions!$C$98,0,IF(AA5=Assumptions!$C$98,13-Assumptions!$C$99,12))*Assumptions!$C$72*Assumptions!AA$9</f>
        <v>10032.7896714672</v>
      </c>
      <c r="AB62" s="20" t="n">
        <f aca="false">IF(AB5&lt;Assumptions!$C$98,0,IF(AB5=Assumptions!$C$98,13-Assumptions!$C$99,12))*Assumptions!$C$72*Assumptions!AB$9</f>
        <v>10233.4454648965</v>
      </c>
      <c r="AC62" s="20" t="n">
        <f aca="false">IF(AC5&lt;Assumptions!$C$98,0,IF(AC5=Assumptions!$C$98,13-Assumptions!$C$99,12))*Assumptions!$C$72*Assumptions!AC$9</f>
        <v>10438.1143741944</v>
      </c>
      <c r="AD62" s="20" t="n">
        <f aca="false">IF(AD5&lt;Assumptions!$C$98,0,IF(AD5=Assumptions!$C$98,13-Assumptions!$C$99,12))*Assumptions!$C$72*Assumptions!AD$9</f>
        <v>10646.8766616783</v>
      </c>
      <c r="AE62" s="20" t="n">
        <f aca="false">IF(AE5&lt;Assumptions!$C$98,0,IF(AE5=Assumptions!$C$98,13-Assumptions!$C$99,12))*Assumptions!$C$72*Assumptions!AE$9</f>
        <v>10859.8141949119</v>
      </c>
      <c r="AF62" s="20" t="n">
        <f aca="false">IF(AF5&lt;Assumptions!$C$98,0,IF(AF5=Assumptions!$C$98,13-Assumptions!$C$99,12))*Assumptions!$C$72*Assumptions!AF$9</f>
        <v>11077.0104788101</v>
      </c>
    </row>
    <row r="63" customFormat="false" ht="15" hidden="false" customHeight="true" outlineLevel="0" collapsed="false">
      <c r="B63" s="16" t="s">
        <v>407</v>
      </c>
      <c r="C63" s="58" t="n">
        <f aca="false">C56+C47</f>
        <v>18000</v>
      </c>
      <c r="D63" s="58" t="n">
        <f aca="false">D56+D47</f>
        <v>18000</v>
      </c>
      <c r="E63" s="58" t="n">
        <f aca="false">E56+E47</f>
        <v>27000</v>
      </c>
      <c r="F63" s="58" t="n">
        <f aca="false">F56+F47</f>
        <v>27000</v>
      </c>
      <c r="G63" s="58" t="n">
        <f aca="false">G56+G47</f>
        <v>18000</v>
      </c>
      <c r="H63" s="58" t="n">
        <f aca="false">H56+H47</f>
        <v>18000</v>
      </c>
      <c r="I63" s="58" t="n">
        <f aca="false">I56+I47</f>
        <v>9000</v>
      </c>
      <c r="J63" s="58" t="n">
        <f aca="false">J56+J47</f>
        <v>9000</v>
      </c>
      <c r="K63" s="58" t="n">
        <f aca="false">K56+K47</f>
        <v>0</v>
      </c>
      <c r="L63" s="58" t="n">
        <f aca="false">L56+L47</f>
        <v>0</v>
      </c>
      <c r="M63" s="58" t="n">
        <f aca="false">M56+M47</f>
        <v>0</v>
      </c>
      <c r="N63" s="58" t="n">
        <f aca="false">N56+N47</f>
        <v>0</v>
      </c>
      <c r="O63" s="58" t="n">
        <f aca="false">O56+O47</f>
        <v>0</v>
      </c>
      <c r="P63" s="58" t="n">
        <f aca="false">P56+P47</f>
        <v>0</v>
      </c>
      <c r="Q63" s="58" t="n">
        <f aca="false">Q56+Q47</f>
        <v>0</v>
      </c>
      <c r="R63" s="58" t="n">
        <f aca="false">R56+R47</f>
        <v>0</v>
      </c>
      <c r="S63" s="58" t="n">
        <f aca="false">S56+S47</f>
        <v>0</v>
      </c>
      <c r="T63" s="58" t="n">
        <f aca="false">T56+T47</f>
        <v>0</v>
      </c>
      <c r="U63" s="58" t="n">
        <f aca="false">U56+U47</f>
        <v>0</v>
      </c>
      <c r="V63" s="58" t="n">
        <f aca="false">V56+V47</f>
        <v>0</v>
      </c>
      <c r="W63" s="58" t="n">
        <f aca="false">W56+W47</f>
        <v>0</v>
      </c>
      <c r="X63" s="58" t="n">
        <f aca="false">X56+X47</f>
        <v>0</v>
      </c>
      <c r="Y63" s="58" t="n">
        <f aca="false">Y56+Y47</f>
        <v>0</v>
      </c>
      <c r="Z63" s="58" t="n">
        <f aca="false">Z56+Z47</f>
        <v>0</v>
      </c>
      <c r="AA63" s="58" t="n">
        <f aca="false">AA56+AA47</f>
        <v>0</v>
      </c>
      <c r="AB63" s="58" t="n">
        <f aca="false">AB56+AB47</f>
        <v>0</v>
      </c>
      <c r="AC63" s="58" t="n">
        <f aca="false">AC56+AC47</f>
        <v>0</v>
      </c>
      <c r="AD63" s="58" t="n">
        <f aca="false">AD56+AD47</f>
        <v>0</v>
      </c>
      <c r="AE63" s="58" t="n">
        <f aca="false">AE56+AE47</f>
        <v>0</v>
      </c>
      <c r="AF63" s="58" t="n">
        <f aca="false">AF56+AF47</f>
        <v>0</v>
      </c>
    </row>
    <row r="64" customFormat="false" ht="15" hidden="false" customHeight="true" outlineLevel="0" collapsed="false">
      <c r="B64" s="16" t="s">
        <v>408</v>
      </c>
      <c r="C64" s="58" t="n">
        <f aca="false">C57+C51</f>
        <v>0</v>
      </c>
      <c r="D64" s="58" t="n">
        <f aca="false">D57+D51</f>
        <v>0</v>
      </c>
      <c r="E64" s="58" t="n">
        <f aca="false">E57+E51</f>
        <v>0</v>
      </c>
      <c r="F64" s="58" t="n">
        <f aca="false">F57+F51</f>
        <v>0</v>
      </c>
      <c r="G64" s="58" t="n">
        <f aca="false">G57+G51</f>
        <v>0</v>
      </c>
      <c r="H64" s="58" t="n">
        <f aca="false">H57+H51</f>
        <v>0</v>
      </c>
      <c r="I64" s="58" t="n">
        <f aca="false">I57+I51</f>
        <v>0</v>
      </c>
      <c r="J64" s="58" t="n">
        <f aca="false">J57+J51</f>
        <v>0</v>
      </c>
      <c r="K64" s="58" t="n">
        <f aca="false">K57+K51</f>
        <v>0</v>
      </c>
      <c r="L64" s="58" t="n">
        <f aca="false">L57+L51</f>
        <v>0</v>
      </c>
      <c r="M64" s="58" t="n">
        <f aca="false">M57+M51</f>
        <v>0</v>
      </c>
      <c r="N64" s="58" t="n">
        <f aca="false">N57+N51</f>
        <v>0</v>
      </c>
      <c r="O64" s="58" t="n">
        <f aca="false">O57+O51</f>
        <v>0</v>
      </c>
      <c r="P64" s="58" t="n">
        <f aca="false">P57+P51</f>
        <v>0</v>
      </c>
      <c r="Q64" s="58" t="n">
        <f aca="false">Q57+Q51</f>
        <v>0</v>
      </c>
      <c r="R64" s="58" t="n">
        <f aca="false">R57+R51</f>
        <v>0</v>
      </c>
      <c r="S64" s="58" t="n">
        <f aca="false">S57+S51</f>
        <v>0</v>
      </c>
      <c r="T64" s="58" t="n">
        <f aca="false">T57+T51</f>
        <v>0</v>
      </c>
      <c r="U64" s="58" t="n">
        <f aca="false">U57+U51</f>
        <v>0</v>
      </c>
      <c r="V64" s="58" t="n">
        <f aca="false">V57+V51</f>
        <v>0</v>
      </c>
      <c r="W64" s="58" t="n">
        <f aca="false">W57+W51</f>
        <v>0</v>
      </c>
      <c r="X64" s="58" t="n">
        <f aca="false">X57+X51</f>
        <v>0</v>
      </c>
      <c r="Y64" s="58" t="n">
        <f aca="false">Y57+Y51</f>
        <v>0</v>
      </c>
      <c r="Z64" s="58" t="n">
        <f aca="false">Z57+Z51</f>
        <v>0</v>
      </c>
      <c r="AA64" s="58" t="n">
        <f aca="false">AA57+AA51</f>
        <v>0</v>
      </c>
      <c r="AB64" s="58" t="n">
        <f aca="false">AB57+AB51</f>
        <v>0</v>
      </c>
      <c r="AC64" s="58" t="n">
        <f aca="false">AC57+AC51</f>
        <v>0</v>
      </c>
      <c r="AD64" s="58" t="n">
        <f aca="false">AD57+AD51</f>
        <v>0</v>
      </c>
      <c r="AE64" s="58" t="n">
        <f aca="false">AE57+AE51</f>
        <v>0</v>
      </c>
      <c r="AF64" s="58" t="n">
        <f aca="false">AF57+AF51</f>
        <v>0</v>
      </c>
    </row>
    <row r="65" customFormat="false" ht="15" hidden="false" customHeight="true" outlineLevel="0" collapsed="false">
      <c r="B65" s="56" t="s">
        <v>409</v>
      </c>
      <c r="C65" s="20" t="n">
        <f aca="false">C58+C50</f>
        <v>34200</v>
      </c>
      <c r="D65" s="20" t="n">
        <f aca="false">D58+D50</f>
        <v>54936</v>
      </c>
      <c r="E65" s="20" t="n">
        <f aca="false">E58+E50</f>
        <v>86330.88</v>
      </c>
      <c r="F65" s="20" t="n">
        <f aca="false">F58+F50</f>
        <v>120237.3504</v>
      </c>
      <c r="G65" s="20" t="n">
        <f aca="false">G58+G50</f>
        <v>147856.338432</v>
      </c>
      <c r="H65" s="20" t="n">
        <f aca="false">H58+H50</f>
        <v>177684.84550656</v>
      </c>
      <c r="I65" s="20" t="n">
        <f aca="false">I58+I50</f>
        <v>200899.633147085</v>
      </c>
      <c r="J65" s="20" t="n">
        <f aca="false">J58+J50</f>
        <v>225971.603798852</v>
      </c>
      <c r="K65" s="20" t="n">
        <f aca="false">K58+K50</f>
        <v>244049.33210276</v>
      </c>
      <c r="L65" s="20" t="n">
        <f aca="false">L58+L50</f>
        <v>263573.278670981</v>
      </c>
      <c r="M65" s="20" t="n">
        <f aca="false">M58+M50</f>
        <v>284659.140964659</v>
      </c>
      <c r="N65" s="20" t="n">
        <f aca="false">N58+N50</f>
        <v>307431.872241832</v>
      </c>
      <c r="O65" s="20" t="n">
        <f aca="false">O58+O50</f>
        <v>332026.422021178</v>
      </c>
      <c r="P65" s="20" t="n">
        <f aca="false">P58+P50</f>
        <v>324362.519340499</v>
      </c>
      <c r="Q65" s="20" t="n">
        <f aca="false">Q58+Q50</f>
        <v>315400.984116518</v>
      </c>
      <c r="R65" s="20" t="n">
        <f aca="false">R58+R50</f>
        <v>305024.315339195</v>
      </c>
      <c r="S65" s="20" t="n">
        <f aca="false">S58+S50</f>
        <v>250290.891205688</v>
      </c>
      <c r="T65" s="20" t="n">
        <f aca="false">T58+T50</f>
        <v>233266.82159623</v>
      </c>
      <c r="U65" s="20" t="n">
        <f aca="false">U58+U50</f>
        <v>214139.879599896</v>
      </c>
      <c r="V65" s="20" t="n">
        <f aca="false">V58+V50</f>
        <v>147291.98291942</v>
      </c>
      <c r="W65" s="20" t="n">
        <f aca="false">W58+W50</f>
        <v>119760.40700489</v>
      </c>
      <c r="X65" s="20" t="n">
        <f aca="false">X58+X50</f>
        <v>89240.0063262371</v>
      </c>
      <c r="Y65" s="20" t="n">
        <f aca="false">Y58+Y50</f>
        <v>48163.1857276305</v>
      </c>
      <c r="Z65" s="20" t="n">
        <f aca="false">Z58+Z50</f>
        <v>52016.2405858409</v>
      </c>
      <c r="AA65" s="20" t="n">
        <f aca="false">AA58+AA50</f>
        <v>56177.5398327082</v>
      </c>
      <c r="AB65" s="20" t="n">
        <f aca="false">AB58+AB50</f>
        <v>60671.7430193248</v>
      </c>
      <c r="AC65" s="20" t="n">
        <f aca="false">AC58+AC50</f>
        <v>65525.4824608708</v>
      </c>
      <c r="AD65" s="20" t="n">
        <f aca="false">AD58+AD50</f>
        <v>70767.5210577405</v>
      </c>
      <c r="AE65" s="20" t="n">
        <f aca="false">AE58+AE50</f>
        <v>76428.9227423597</v>
      </c>
      <c r="AF65" s="20" t="n">
        <f aca="false">AF58+AF50</f>
        <v>82543.2365617485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410</v>
      </c>
    </row>
    <row r="2" customFormat="false" ht="15" hidden="false" customHeight="true" outlineLevel="0" collapsed="false">
      <c r="A2" s="29" t="s">
        <v>411</v>
      </c>
    </row>
    <row r="4" customFormat="false" ht="15" hidden="false" customHeight="true" outlineLevel="0" collapsed="false">
      <c r="A4" s="30" t="s">
        <v>370</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412</v>
      </c>
      <c r="C6" s="48" t="n">
        <f aca="false">Assumptions!C$9</f>
        <v>1</v>
      </c>
      <c r="D6" s="48" t="n">
        <f aca="false">Assumptions!D$9</f>
        <v>1.04</v>
      </c>
      <c r="E6" s="48" t="n">
        <f aca="false">Assumptions!E$9</f>
        <v>1.0816</v>
      </c>
      <c r="F6" s="48" t="n">
        <f aca="false">Assumptions!F$9</f>
        <v>1.103232</v>
      </c>
      <c r="G6" s="48" t="n">
        <f aca="false">Assumptions!G$9</f>
        <v>1.12529664</v>
      </c>
      <c r="H6" s="48" t="n">
        <f aca="false">Assumptions!H$9</f>
        <v>1.1478025728</v>
      </c>
      <c r="I6" s="48" t="n">
        <f aca="false">Assumptions!I$9</f>
        <v>1.170758624256</v>
      </c>
      <c r="J6" s="48" t="n">
        <f aca="false">Assumptions!J$9</f>
        <v>1.19417379674112</v>
      </c>
      <c r="K6" s="48" t="n">
        <f aca="false">Assumptions!K$9</f>
        <v>1.21805727267594</v>
      </c>
      <c r="L6" s="48" t="n">
        <f aca="false">Assumptions!L$9</f>
        <v>1.24241841812946</v>
      </c>
      <c r="M6" s="48" t="n">
        <f aca="false">Assumptions!M$9</f>
        <v>1.26726678649205</v>
      </c>
      <c r="N6" s="48" t="n">
        <f aca="false">Assumptions!N$9</f>
        <v>1.29261212222189</v>
      </c>
      <c r="O6" s="48" t="n">
        <f aca="false">Assumptions!O$9</f>
        <v>1.31846436466633</v>
      </c>
      <c r="P6" s="48" t="n">
        <f aca="false">Assumptions!P$9</f>
        <v>1.34483365195966</v>
      </c>
      <c r="Q6" s="48" t="n">
        <f aca="false">Assumptions!Q$9</f>
        <v>1.37173032499885</v>
      </c>
      <c r="R6" s="48" t="n">
        <f aca="false">Assumptions!R$9</f>
        <v>1.39916493149883</v>
      </c>
      <c r="S6" s="48" t="n">
        <f aca="false">Assumptions!S$9</f>
        <v>1.4271482301288</v>
      </c>
      <c r="T6" s="48" t="n">
        <f aca="false">Assumptions!T$9</f>
        <v>1.45569119473138</v>
      </c>
      <c r="U6" s="48" t="n">
        <f aca="false">Assumptions!U$9</f>
        <v>1.48480501862601</v>
      </c>
      <c r="V6" s="48" t="n">
        <f aca="false">Assumptions!V$9</f>
        <v>1.51450111899853</v>
      </c>
      <c r="W6" s="48" t="n">
        <f aca="false">Assumptions!W$9</f>
        <v>1.5447911413785</v>
      </c>
      <c r="X6" s="48" t="n">
        <f aca="false">Assumptions!X$9</f>
        <v>1.57568696420607</v>
      </c>
      <c r="Y6" s="48" t="n">
        <f aca="false">Assumptions!Y$9</f>
        <v>1.60720070349019</v>
      </c>
      <c r="Z6" s="48" t="n">
        <f aca="false">Assumptions!Z$9</f>
        <v>1.63934471755999</v>
      </c>
      <c r="AA6" s="48" t="n">
        <f aca="false">Assumptions!AA$9</f>
        <v>1.67213161191119</v>
      </c>
      <c r="AB6" s="48" t="n">
        <f aca="false">Assumptions!AB$9</f>
        <v>1.70557424414942</v>
      </c>
      <c r="AC6" s="48" t="n">
        <f aca="false">Assumptions!AC$9</f>
        <v>1.7396857290324</v>
      </c>
      <c r="AD6" s="48" t="n">
        <f aca="false">Assumptions!AD$9</f>
        <v>1.77447944361305</v>
      </c>
      <c r="AE6" s="48" t="n">
        <f aca="false">Assumptions!AE$9</f>
        <v>1.80996903248531</v>
      </c>
      <c r="AF6" s="48" t="n">
        <f aca="false">Assumptions!AF$9</f>
        <v>1.84616841313502</v>
      </c>
    </row>
    <row r="7" customFormat="false" ht="15" hidden="false" customHeight="true" outlineLevel="0" collapsed="false">
      <c r="A7" s="30" t="s">
        <v>413</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row>
    <row r="8" customFormat="false" ht="15" hidden="false" customHeight="true" outlineLevel="0" collapsed="false">
      <c r="B8" s="6" t="s">
        <v>414</v>
      </c>
      <c r="C8" s="17" t="n">
        <f aca="false">MM_Income!C$22</f>
        <v>98036.4</v>
      </c>
      <c r="D8" s="17" t="n">
        <f aca="false">MM_Income!D$22</f>
        <v>101255.4</v>
      </c>
      <c r="E8" s="17" t="n">
        <f aca="false">MM_Income!E$22</f>
        <v>104834.16</v>
      </c>
      <c r="F8" s="17" t="n">
        <f aca="false">MM_Income!F$22</f>
        <v>106695.1152</v>
      </c>
      <c r="G8" s="17" t="n">
        <f aca="false">MM_Income!G$22</f>
        <v>108593.289504</v>
      </c>
      <c r="H8" s="17" t="n">
        <f aca="false">MM_Income!H$22</f>
        <v>110765.15529408</v>
      </c>
      <c r="I8" s="17" t="n">
        <f aca="false">MM_Income!I$22</f>
        <v>112980.458399962</v>
      </c>
      <c r="J8" s="17" t="n">
        <f aca="false">MM_Income!J$22</f>
        <v>115240.067567961</v>
      </c>
      <c r="K8" s="17" t="n">
        <f aca="false">MM_Income!K$22</f>
        <v>117544.86891932</v>
      </c>
      <c r="L8" s="17" t="n">
        <f aca="false">MM_Income!L$22</f>
        <v>119895.766297706</v>
      </c>
      <c r="M8" s="17" t="n">
        <f aca="false">MM_Income!M$22</f>
        <v>122293.681623661</v>
      </c>
      <c r="N8" s="17" t="n">
        <f aca="false">MM_Income!N$22</f>
        <v>124739.555256134</v>
      </c>
      <c r="O8" s="17" t="n">
        <f aca="false">MM_Income!O$22</f>
        <v>127234.346361256</v>
      </c>
      <c r="P8" s="17" t="n">
        <f aca="false">MM_Income!P$22</f>
        <v>129779.033288482</v>
      </c>
      <c r="Q8" s="17" t="n">
        <f aca="false">MM_Income!Q$22</f>
        <v>132374.613954251</v>
      </c>
      <c r="R8" s="17" t="n">
        <f aca="false">MM_Income!R$22</f>
        <v>135022.106233336</v>
      </c>
      <c r="S8" s="17" t="n">
        <f aca="false">MM_Income!S$22</f>
        <v>137722.548358003</v>
      </c>
      <c r="T8" s="17" t="n">
        <f aca="false">MM_Income!T$22</f>
        <v>140476.999325163</v>
      </c>
      <c r="U8" s="17" t="n">
        <f aca="false">MM_Income!U$22</f>
        <v>143286.539311666</v>
      </c>
      <c r="V8" s="17" t="n">
        <f aca="false">MM_Income!V$22</f>
        <v>146152.2700979</v>
      </c>
      <c r="W8" s="17" t="n">
        <f aca="false">MM_Income!W$22</f>
        <v>149075.315499858</v>
      </c>
      <c r="X8" s="17" t="n">
        <f aca="false">MM_Income!X$22</f>
        <v>152056.821809855</v>
      </c>
      <c r="Y8" s="17" t="n">
        <f aca="false">MM_Income!Y$22</f>
        <v>155097.958246052</v>
      </c>
      <c r="Z8" s="17" t="n">
        <f aca="false">MM_Income!Z$22</f>
        <v>158199.917410973</v>
      </c>
      <c r="AA8" s="17" t="n">
        <f aca="false">MM_Income!AA$22</f>
        <v>161363.915759192</v>
      </c>
      <c r="AB8" s="17" t="n">
        <f aca="false">MM_Income!AB$22</f>
        <v>164591.194074376</v>
      </c>
      <c r="AC8" s="17" t="n">
        <f aca="false">MM_Income!AC$22</f>
        <v>167883.017955864</v>
      </c>
      <c r="AD8" s="17" t="n">
        <f aca="false">MM_Income!AD$22</f>
        <v>171240.678314981</v>
      </c>
      <c r="AE8" s="17" t="n">
        <f aca="false">MM_Income!AE$22</f>
        <v>174665.491881281</v>
      </c>
      <c r="AF8" s="17" t="n">
        <f aca="false">MM_Income!AF$22</f>
        <v>178158.801718906</v>
      </c>
    </row>
    <row r="9" customFormat="false" ht="15" hidden="false" customHeight="true" outlineLevel="0" collapsed="false">
      <c r="B9" s="6" t="s">
        <v>415</v>
      </c>
      <c r="C9" s="17" t="n">
        <f aca="false">DM_Income!C$22</f>
        <v>103906.4</v>
      </c>
      <c r="D9" s="17" t="n">
        <f aca="false">DM_Income!D$22</f>
        <v>107591.2</v>
      </c>
      <c r="E9" s="17" t="n">
        <f aca="false">DM_Income!E$22</f>
        <v>111423.392</v>
      </c>
      <c r="F9" s="17" t="n">
        <f aca="false">DM_Income!F$22</f>
        <v>113416.13184</v>
      </c>
      <c r="G9" s="17" t="n">
        <f aca="false">DM_Income!G$22</f>
        <v>115448.7264768</v>
      </c>
      <c r="H9" s="17" t="n">
        <f aca="false">DM_Income!H$22</f>
        <v>117757.701006336</v>
      </c>
      <c r="I9" s="17" t="n">
        <f aca="false">DM_Income!I$22</f>
        <v>120112.855026463</v>
      </c>
      <c r="J9" s="17" t="n">
        <f aca="false">DM_Income!J$22</f>
        <v>122515.112126992</v>
      </c>
      <c r="K9" s="17" t="n">
        <f aca="false">DM_Income!K$22</f>
        <v>124965.414369532</v>
      </c>
      <c r="L9" s="17" t="n">
        <f aca="false">DM_Income!L$22</f>
        <v>127464.722656922</v>
      </c>
      <c r="M9" s="17" t="n">
        <f aca="false">DM_Income!M$22</f>
        <v>130014.017110061</v>
      </c>
      <c r="N9" s="17" t="n">
        <f aca="false">DM_Income!N$22</f>
        <v>132614.297452262</v>
      </c>
      <c r="O9" s="17" t="n">
        <f aca="false">DM_Income!O$22</f>
        <v>135266.583401307</v>
      </c>
      <c r="P9" s="17" t="n">
        <f aca="false">DM_Income!P$22</f>
        <v>137971.915069334</v>
      </c>
      <c r="Q9" s="17" t="n">
        <f aca="false">DM_Income!Q$22</f>
        <v>140731.35337072</v>
      </c>
      <c r="R9" s="17" t="n">
        <f aca="false">DM_Income!R$22</f>
        <v>143545.980438135</v>
      </c>
      <c r="S9" s="17" t="n">
        <f aca="false">DM_Income!S$22</f>
        <v>146416.900046897</v>
      </c>
      <c r="T9" s="17" t="n">
        <f aca="false">DM_Income!T$22</f>
        <v>149345.238047835</v>
      </c>
      <c r="U9" s="17" t="n">
        <f aca="false">DM_Income!U$22</f>
        <v>152332.142808792</v>
      </c>
      <c r="V9" s="17" t="n">
        <f aca="false">DM_Income!V$22</f>
        <v>155378.785664968</v>
      </c>
      <c r="W9" s="17" t="n">
        <f aca="false">DM_Income!W$22</f>
        <v>158486.361378267</v>
      </c>
      <c r="X9" s="17" t="n">
        <f aca="false">DM_Income!X$22</f>
        <v>161656.088605832</v>
      </c>
      <c r="Y9" s="17" t="n">
        <f aca="false">DM_Income!Y$22</f>
        <v>164889.210377949</v>
      </c>
      <c r="Z9" s="17" t="n">
        <f aca="false">DM_Income!Z$22</f>
        <v>168186.994585508</v>
      </c>
      <c r="AA9" s="17" t="n">
        <f aca="false">DM_Income!AA$22</f>
        <v>171550.734477218</v>
      </c>
      <c r="AB9" s="17" t="n">
        <f aca="false">DM_Income!AB$22</f>
        <v>174981.749166763</v>
      </c>
      <c r="AC9" s="17" t="n">
        <f aca="false">DM_Income!AC$22</f>
        <v>178481.384150098</v>
      </c>
      <c r="AD9" s="17" t="n">
        <f aca="false">DM_Income!AD$22</f>
        <v>182051.0118331</v>
      </c>
      <c r="AE9" s="17" t="n">
        <f aca="false">DM_Income!AE$22</f>
        <v>185692.032069762</v>
      </c>
      <c r="AF9" s="17" t="n">
        <f aca="false">DM_Income!AF$22</f>
        <v>189405.872711157</v>
      </c>
    </row>
    <row r="10" customFormat="false" ht="15" hidden="false" customHeight="true" outlineLevel="0" collapsed="false">
      <c r="B10" s="16" t="s">
        <v>416</v>
      </c>
      <c r="C10" s="59" t="n">
        <f aca="false">C8+C9</f>
        <v>201942.8</v>
      </c>
      <c r="D10" s="59" t="n">
        <f aca="false">D8+D9</f>
        <v>208846.6</v>
      </c>
      <c r="E10" s="59" t="n">
        <f aca="false">E8+E9</f>
        <v>216257.552</v>
      </c>
      <c r="F10" s="59" t="n">
        <f aca="false">F8+F9</f>
        <v>220111.24704</v>
      </c>
      <c r="G10" s="59" t="n">
        <f aca="false">G8+G9</f>
        <v>224042.0159808</v>
      </c>
      <c r="H10" s="59" t="n">
        <f aca="false">H8+H9</f>
        <v>228522.856300416</v>
      </c>
      <c r="I10" s="59" t="n">
        <f aca="false">I8+I9</f>
        <v>233093.313426424</v>
      </c>
      <c r="J10" s="59" t="n">
        <f aca="false">J8+J9</f>
        <v>237755.179694953</v>
      </c>
      <c r="K10" s="59" t="n">
        <f aca="false">K8+K9</f>
        <v>242510.283288852</v>
      </c>
      <c r="L10" s="59" t="n">
        <f aca="false">L8+L9</f>
        <v>247360.488954629</v>
      </c>
      <c r="M10" s="59" t="n">
        <f aca="false">M8+M9</f>
        <v>252307.698733722</v>
      </c>
      <c r="N10" s="59" t="n">
        <f aca="false">N8+N9</f>
        <v>257353.852708396</v>
      </c>
      <c r="O10" s="59" t="n">
        <f aca="false">O8+O9</f>
        <v>262500.929762564</v>
      </c>
      <c r="P10" s="59" t="n">
        <f aca="false">P8+P9</f>
        <v>267750.948357815</v>
      </c>
      <c r="Q10" s="59" t="n">
        <f aca="false">Q8+Q9</f>
        <v>273105.967324971</v>
      </c>
      <c r="R10" s="59" t="n">
        <f aca="false">R8+R9</f>
        <v>278568.086671471</v>
      </c>
      <c r="S10" s="59" t="n">
        <f aca="false">S8+S9</f>
        <v>284139.4484049</v>
      </c>
      <c r="T10" s="59" t="n">
        <f aca="false">T8+T9</f>
        <v>289822.237372998</v>
      </c>
      <c r="U10" s="59" t="n">
        <f aca="false">U8+U9</f>
        <v>295618.682120458</v>
      </c>
      <c r="V10" s="59" t="n">
        <f aca="false">V8+V9</f>
        <v>301531.055762868</v>
      </c>
      <c r="W10" s="59" t="n">
        <f aca="false">W8+W9</f>
        <v>307561.676878125</v>
      </c>
      <c r="X10" s="59" t="n">
        <f aca="false">X8+X9</f>
        <v>313712.910415687</v>
      </c>
      <c r="Y10" s="59" t="n">
        <f aca="false">Y8+Y9</f>
        <v>319987.168624001</v>
      </c>
      <c r="Z10" s="59" t="n">
        <f aca="false">Z8+Z9</f>
        <v>326386.911996481</v>
      </c>
      <c r="AA10" s="59" t="n">
        <f aca="false">AA8+AA9</f>
        <v>332914.650236411</v>
      </c>
      <c r="AB10" s="59" t="n">
        <f aca="false">AB8+AB9</f>
        <v>339572.943241139</v>
      </c>
      <c r="AC10" s="59" t="n">
        <f aca="false">AC8+AC9</f>
        <v>346364.402105962</v>
      </c>
      <c r="AD10" s="59" t="n">
        <f aca="false">AD8+AD9</f>
        <v>353291.690148081</v>
      </c>
      <c r="AE10" s="59" t="n">
        <f aca="false">AE8+AE9</f>
        <v>360357.523951043</v>
      </c>
      <c r="AF10" s="59" t="n">
        <f aca="false">AF8+AF9</f>
        <v>367564.674430064</v>
      </c>
    </row>
    <row r="11" customFormat="false" ht="15" hidden="false" customHeight="true" outlineLevel="0" collapsed="false">
      <c r="A11" s="30" t="s">
        <v>417</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row>
    <row r="12" customFormat="false" ht="15" hidden="false" customHeight="true" outlineLevel="0" collapsed="false">
      <c r="B12" s="6" t="s">
        <v>418</v>
      </c>
      <c r="C12" s="20" t="n">
        <f aca="false">12*Assumptions!$C$27*C$6</f>
        <v>12000</v>
      </c>
      <c r="D12" s="20" t="n">
        <f aca="false">12*Assumptions!$C$27*D$6</f>
        <v>12480</v>
      </c>
      <c r="E12" s="20" t="n">
        <f aca="false">12*Assumptions!$C$27*E$6</f>
        <v>12979.2</v>
      </c>
      <c r="F12" s="20" t="n">
        <f aca="false">12*Assumptions!$C$27*F$6</f>
        <v>13238.784</v>
      </c>
      <c r="G12" s="20" t="n">
        <f aca="false">12*Assumptions!$C$27*G$6</f>
        <v>13503.55968</v>
      </c>
      <c r="H12" s="20" t="n">
        <f aca="false">12*Assumptions!$C$27*H$6</f>
        <v>13773.6308736</v>
      </c>
      <c r="I12" s="20" t="n">
        <f aca="false">12*Assumptions!$C$27*I$6</f>
        <v>14049.103491072</v>
      </c>
      <c r="J12" s="20" t="n">
        <f aca="false">12*Assumptions!$C$27*J$6</f>
        <v>14330.0855608934</v>
      </c>
      <c r="K12" s="20" t="n">
        <f aca="false">12*Assumptions!$C$27*K$6</f>
        <v>14616.6872721113</v>
      </c>
      <c r="L12" s="20" t="n">
        <f aca="false">12*Assumptions!$C$27*L$6</f>
        <v>14909.0210175535</v>
      </c>
      <c r="M12" s="20" t="n">
        <f aca="false">12*Assumptions!$C$27*M$6</f>
        <v>15207.2014379046</v>
      </c>
      <c r="N12" s="20" t="n">
        <f aca="false">12*Assumptions!$C$27*N$6</f>
        <v>15511.3454666627</v>
      </c>
      <c r="O12" s="20" t="n">
        <f aca="false">12*Assumptions!$C$27*O$6</f>
        <v>15821.572375996</v>
      </c>
      <c r="P12" s="20" t="n">
        <f aca="false">12*Assumptions!$C$27*P$6</f>
        <v>16138.0038235159</v>
      </c>
      <c r="Q12" s="20" t="n">
        <f aca="false">12*Assumptions!$C$27*Q$6</f>
        <v>16460.7638999862</v>
      </c>
      <c r="R12" s="20" t="n">
        <f aca="false">12*Assumptions!$C$27*R$6</f>
        <v>16789.9791779859</v>
      </c>
      <c r="S12" s="20" t="n">
        <f aca="false">12*Assumptions!$C$27*S$6</f>
        <v>17125.7787615456</v>
      </c>
      <c r="T12" s="20" t="n">
        <f aca="false">12*Assumptions!$C$27*T$6</f>
        <v>17468.2943367765</v>
      </c>
      <c r="U12" s="20" t="n">
        <f aca="false">12*Assumptions!$C$27*U$6</f>
        <v>17817.6602235121</v>
      </c>
      <c r="V12" s="20" t="n">
        <f aca="false">12*Assumptions!$C$27*V$6</f>
        <v>18174.0134279823</v>
      </c>
      <c r="W12" s="20" t="n">
        <f aca="false">12*Assumptions!$C$27*W$6</f>
        <v>18537.493696542</v>
      </c>
      <c r="X12" s="20" t="n">
        <f aca="false">12*Assumptions!$C$27*X$6</f>
        <v>18908.2435704728</v>
      </c>
      <c r="Y12" s="20" t="n">
        <f aca="false">12*Assumptions!$C$27*Y$6</f>
        <v>19286.4084418823</v>
      </c>
      <c r="Z12" s="20" t="n">
        <f aca="false">12*Assumptions!$C$27*Z$6</f>
        <v>19672.1366107199</v>
      </c>
      <c r="AA12" s="20" t="n">
        <f aca="false">12*Assumptions!$C$27*AA$6</f>
        <v>20065.5793429343</v>
      </c>
      <c r="AB12" s="20" t="n">
        <f aca="false">12*Assumptions!$C$27*AB$6</f>
        <v>20466.890929793</v>
      </c>
      <c r="AC12" s="20" t="n">
        <f aca="false">12*Assumptions!$C$27*AC$6</f>
        <v>20876.2287483889</v>
      </c>
      <c r="AD12" s="20" t="n">
        <f aca="false">12*Assumptions!$C$27*AD$6</f>
        <v>21293.7533233566</v>
      </c>
      <c r="AE12" s="20" t="n">
        <f aca="false">12*Assumptions!$C$27*AE$6</f>
        <v>21719.6283898238</v>
      </c>
      <c r="AF12" s="20" t="n">
        <f aca="false">12*Assumptions!$C$27*AF$6</f>
        <v>22154.0209576202</v>
      </c>
    </row>
    <row r="13" customFormat="false" ht="15" hidden="false" customHeight="true" outlineLevel="0" collapsed="false">
      <c r="B13" s="6" t="s">
        <v>419</v>
      </c>
      <c r="C13" s="20" t="n">
        <f aca="false">12*Assumptions!$D$27*C$6</f>
        <v>9600</v>
      </c>
      <c r="D13" s="20" t="n">
        <f aca="false">12*Assumptions!$D$27*D$6</f>
        <v>9984</v>
      </c>
      <c r="E13" s="20" t="n">
        <f aca="false">12*Assumptions!$D$27*E$6</f>
        <v>10383.36</v>
      </c>
      <c r="F13" s="20" t="n">
        <f aca="false">12*Assumptions!$D$27*F$6</f>
        <v>10591.0272</v>
      </c>
      <c r="G13" s="20" t="n">
        <f aca="false">12*Assumptions!$D$27*G$6</f>
        <v>10802.847744</v>
      </c>
      <c r="H13" s="20" t="n">
        <f aca="false">12*Assumptions!$D$27*H$6</f>
        <v>11018.90469888</v>
      </c>
      <c r="I13" s="20" t="n">
        <f aca="false">12*Assumptions!$D$27*I$6</f>
        <v>11239.2827928576</v>
      </c>
      <c r="J13" s="20" t="n">
        <f aca="false">12*Assumptions!$D$27*J$6</f>
        <v>11464.0684487148</v>
      </c>
      <c r="K13" s="20" t="n">
        <f aca="false">12*Assumptions!$D$27*K$6</f>
        <v>11693.3498176891</v>
      </c>
      <c r="L13" s="20" t="n">
        <f aca="false">12*Assumptions!$D$27*L$6</f>
        <v>11927.2168140428</v>
      </c>
      <c r="M13" s="20" t="n">
        <f aca="false">12*Assumptions!$D$27*M$6</f>
        <v>12165.7611503237</v>
      </c>
      <c r="N13" s="20" t="n">
        <f aca="false">12*Assumptions!$D$27*N$6</f>
        <v>12409.0763733302</v>
      </c>
      <c r="O13" s="20" t="n">
        <f aca="false">12*Assumptions!$D$27*O$6</f>
        <v>12657.2579007968</v>
      </c>
      <c r="P13" s="20" t="n">
        <f aca="false">12*Assumptions!$D$27*P$6</f>
        <v>12910.4030588127</v>
      </c>
      <c r="Q13" s="20" t="n">
        <f aca="false">12*Assumptions!$D$27*Q$6</f>
        <v>13168.611119989</v>
      </c>
      <c r="R13" s="20" t="n">
        <f aca="false">12*Assumptions!$D$27*R$6</f>
        <v>13431.9833423887</v>
      </c>
      <c r="S13" s="20" t="n">
        <f aca="false">12*Assumptions!$D$27*S$6</f>
        <v>13700.6230092365</v>
      </c>
      <c r="T13" s="20" t="n">
        <f aca="false">12*Assumptions!$D$27*T$6</f>
        <v>13974.6354694212</v>
      </c>
      <c r="U13" s="20" t="n">
        <f aca="false">12*Assumptions!$D$27*U$6</f>
        <v>14254.1281788097</v>
      </c>
      <c r="V13" s="20" t="n">
        <f aca="false">12*Assumptions!$D$27*V$6</f>
        <v>14539.2107423859</v>
      </c>
      <c r="W13" s="20" t="n">
        <f aca="false">12*Assumptions!$D$27*W$6</f>
        <v>14829.9949572336</v>
      </c>
      <c r="X13" s="20" t="n">
        <f aca="false">12*Assumptions!$D$27*X$6</f>
        <v>15126.5948563782</v>
      </c>
      <c r="Y13" s="20" t="n">
        <f aca="false">12*Assumptions!$D$27*Y$6</f>
        <v>15429.1267535058</v>
      </c>
      <c r="Z13" s="20" t="n">
        <f aca="false">12*Assumptions!$D$27*Z$6</f>
        <v>15737.7092885759</v>
      </c>
      <c r="AA13" s="20" t="n">
        <f aca="false">12*Assumptions!$D$27*AA$6</f>
        <v>16052.4634743474</v>
      </c>
      <c r="AB13" s="20" t="n">
        <f aca="false">12*Assumptions!$D$27*AB$6</f>
        <v>16373.5127438344</v>
      </c>
      <c r="AC13" s="20" t="n">
        <f aca="false">12*Assumptions!$D$27*AC$6</f>
        <v>16700.9829987111</v>
      </c>
      <c r="AD13" s="20" t="n">
        <f aca="false">12*Assumptions!$D$27*AD$6</f>
        <v>17035.0026586853</v>
      </c>
      <c r="AE13" s="20" t="n">
        <f aca="false">12*Assumptions!$D$27*AE$6</f>
        <v>17375.702711859</v>
      </c>
      <c r="AF13" s="20" t="n">
        <f aca="false">12*Assumptions!$D$27*AF$6</f>
        <v>17723.2167660962</v>
      </c>
    </row>
    <row r="14" customFormat="false" ht="15" hidden="false" customHeight="true" outlineLevel="0" collapsed="false">
      <c r="B14" s="6" t="s">
        <v>420</v>
      </c>
      <c r="C14" s="20" t="n">
        <f aca="false">IF(C5&lt;=Assumptions!$C$64,12*Assumptions!$C$62*C$6,0)</f>
        <v>23400</v>
      </c>
      <c r="D14" s="20" t="n">
        <f aca="false">IF(D5&lt;=Assumptions!$C$64,12*Assumptions!$C$62*D$6,0)</f>
        <v>24336</v>
      </c>
      <c r="E14" s="20" t="n">
        <f aca="false">IF(E5&lt;=Assumptions!$C$64,12*Assumptions!$C$62*E$6,0)</f>
        <v>25309.44</v>
      </c>
      <c r="F14" s="20" t="n">
        <f aca="false">IF(F5&lt;=Assumptions!$C$64,12*Assumptions!$C$62*F$6,0)</f>
        <v>25815.6288</v>
      </c>
      <c r="G14" s="20" t="n">
        <f aca="false">IF(G5&lt;=Assumptions!$C$64,12*Assumptions!$C$62*G$6,0)</f>
        <v>26331.941376</v>
      </c>
      <c r="H14" s="20" t="n">
        <f aca="false">IF(H5&lt;=Assumptions!$C$64,12*Assumptions!$C$62*H$6,0)</f>
        <v>26858.58020352</v>
      </c>
      <c r="I14" s="20" t="n">
        <f aca="false">IF(I5&lt;=Assumptions!$C$64,12*Assumptions!$C$62*I$6,0)</f>
        <v>27395.7518075904</v>
      </c>
      <c r="J14" s="20" t="n">
        <f aca="false">IF(J5&lt;=Assumptions!$C$64,12*Assumptions!$C$62*J$6,0)</f>
        <v>27943.6668437422</v>
      </c>
      <c r="K14" s="20" t="n">
        <f aca="false">IF(K5&lt;=Assumptions!$C$64,12*Assumptions!$C$62*K$6,0)</f>
        <v>28502.5401806171</v>
      </c>
      <c r="L14" s="20" t="n">
        <f aca="false">IF(L5&lt;=Assumptions!$C$64,12*Assumptions!$C$62*L$6,0)</f>
        <v>29072.5909842294</v>
      </c>
      <c r="M14" s="20" t="n">
        <f aca="false">IF(M5&lt;=Assumptions!$C$64,12*Assumptions!$C$62*M$6,0)</f>
        <v>29654.042803914</v>
      </c>
      <c r="N14" s="20" t="n">
        <f aca="false">IF(N5&lt;=Assumptions!$C$64,12*Assumptions!$C$62*N$6,0)</f>
        <v>30247.1236599923</v>
      </c>
      <c r="O14" s="20" t="n">
        <f aca="false">IF(O5&lt;=Assumptions!$C$64,12*Assumptions!$C$62*O$6,0)</f>
        <v>30852.0661331921</v>
      </c>
      <c r="P14" s="20" t="n">
        <f aca="false">IF(P5&lt;=Assumptions!$C$64,12*Assumptions!$C$62*P$6,0)</f>
        <v>31469.107455856</v>
      </c>
      <c r="Q14" s="20" t="n">
        <f aca="false">IF(Q5&lt;=Assumptions!$C$64,12*Assumptions!$C$62*Q$6,0)</f>
        <v>32098.4896049731</v>
      </c>
      <c r="R14" s="20" t="n">
        <f aca="false">IF(R5&lt;=Assumptions!$C$64,12*Assumptions!$C$62*R$6,0)</f>
        <v>32740.4593970725</v>
      </c>
      <c r="S14" s="20" t="n">
        <f aca="false">IF(S5&lt;=Assumptions!$C$64,12*Assumptions!$C$62*S$6,0)</f>
        <v>33395.268585014</v>
      </c>
      <c r="T14" s="20" t="n">
        <f aca="false">IF(T5&lt;=Assumptions!$C$64,12*Assumptions!$C$62*T$6,0)</f>
        <v>34063.1739567143</v>
      </c>
      <c r="U14" s="20" t="n">
        <f aca="false">IF(U5&lt;=Assumptions!$C$64,12*Assumptions!$C$62*U$6,0)</f>
        <v>34744.4374358486</v>
      </c>
      <c r="V14" s="20" t="n">
        <f aca="false">IF(V5&lt;=Assumptions!$C$64,12*Assumptions!$C$62*V$6,0)</f>
        <v>0</v>
      </c>
      <c r="W14" s="20" t="n">
        <f aca="false">IF(W5&lt;=Assumptions!$C$64,12*Assumptions!$C$62*W$6,0)</f>
        <v>0</v>
      </c>
      <c r="X14" s="20" t="n">
        <f aca="false">IF(X5&lt;=Assumptions!$C$64,12*Assumptions!$C$62*X$6,0)</f>
        <v>0</v>
      </c>
      <c r="Y14" s="20" t="n">
        <f aca="false">IF(Y5&lt;=Assumptions!$C$64,12*Assumptions!$C$62*Y$6,0)</f>
        <v>0</v>
      </c>
      <c r="Z14" s="20" t="n">
        <f aca="false">IF(Z5&lt;=Assumptions!$C$64,12*Assumptions!$C$62*Z$6,0)</f>
        <v>0</v>
      </c>
      <c r="AA14" s="20" t="n">
        <f aca="false">IF(AA5&lt;=Assumptions!$C$64,12*Assumptions!$C$62*AA$6,0)</f>
        <v>0</v>
      </c>
      <c r="AB14" s="20" t="n">
        <f aca="false">IF(AB5&lt;=Assumptions!$C$64,12*Assumptions!$C$62*AB$6,0)</f>
        <v>0</v>
      </c>
      <c r="AC14" s="20" t="n">
        <f aca="false">IF(AC5&lt;=Assumptions!$C$64,12*Assumptions!$C$62*AC$6,0)</f>
        <v>0</v>
      </c>
      <c r="AD14" s="20" t="n">
        <f aca="false">IF(AD5&lt;=Assumptions!$C$64,12*Assumptions!$C$62*AD$6,0)</f>
        <v>0</v>
      </c>
      <c r="AE14" s="20" t="n">
        <f aca="false">IF(AE5&lt;=Assumptions!$C$64,12*Assumptions!$C$62*AE$6,0)</f>
        <v>0</v>
      </c>
      <c r="AF14" s="20" t="n">
        <f aca="false">IF(AF5&lt;=Assumptions!$C$64,12*Assumptions!$C$62*AF$6,0)</f>
        <v>0</v>
      </c>
    </row>
    <row r="15" customFormat="false" ht="15" hidden="false" customHeight="true" outlineLevel="0" collapsed="false">
      <c r="B15" s="6" t="s">
        <v>421</v>
      </c>
      <c r="C15" s="20" t="n">
        <f aca="false">12*Assumptions!$C$65*C$6</f>
        <v>24000</v>
      </c>
      <c r="D15" s="20" t="n">
        <f aca="false">12*Assumptions!$C$65*D$6</f>
        <v>24960</v>
      </c>
      <c r="E15" s="20" t="n">
        <f aca="false">12*Assumptions!$C$65*E$6</f>
        <v>25958.4</v>
      </c>
      <c r="F15" s="20" t="n">
        <f aca="false">12*Assumptions!$C$65*F$6</f>
        <v>26477.568</v>
      </c>
      <c r="G15" s="20" t="n">
        <f aca="false">12*Assumptions!$C$65*G$6</f>
        <v>27007.11936</v>
      </c>
      <c r="H15" s="20" t="n">
        <f aca="false">12*Assumptions!$C$65*H$6</f>
        <v>27547.2617472</v>
      </c>
      <c r="I15" s="20" t="n">
        <f aca="false">12*Assumptions!$C$65*I$6</f>
        <v>28098.206982144</v>
      </c>
      <c r="J15" s="20" t="n">
        <f aca="false">12*Assumptions!$C$65*J$6</f>
        <v>28660.1711217869</v>
      </c>
      <c r="K15" s="20" t="n">
        <f aca="false">12*Assumptions!$C$65*K$6</f>
        <v>29233.3745442226</v>
      </c>
      <c r="L15" s="20" t="n">
        <f aca="false">12*Assumptions!$C$65*L$6</f>
        <v>29818.0420351071</v>
      </c>
      <c r="M15" s="20" t="n">
        <f aca="false">12*Assumptions!$C$65*M$6</f>
        <v>30414.4028758092</v>
      </c>
      <c r="N15" s="20" t="n">
        <f aca="false">12*Assumptions!$C$65*N$6</f>
        <v>31022.6909333254</v>
      </c>
      <c r="O15" s="20" t="n">
        <f aca="false">12*Assumptions!$C$65*O$6</f>
        <v>31643.1447519919</v>
      </c>
      <c r="P15" s="20" t="n">
        <f aca="false">12*Assumptions!$C$65*P$6</f>
        <v>32276.0076470317</v>
      </c>
      <c r="Q15" s="20" t="n">
        <f aca="false">12*Assumptions!$C$65*Q$6</f>
        <v>32921.5277999724</v>
      </c>
      <c r="R15" s="20" t="n">
        <f aca="false">12*Assumptions!$C$65*R$6</f>
        <v>33579.9583559718</v>
      </c>
      <c r="S15" s="20" t="n">
        <f aca="false">12*Assumptions!$C$65*S$6</f>
        <v>34251.5575230913</v>
      </c>
      <c r="T15" s="20" t="n">
        <f aca="false">12*Assumptions!$C$65*T$6</f>
        <v>34936.5886735531</v>
      </c>
      <c r="U15" s="20" t="n">
        <f aca="false">12*Assumptions!$C$65*U$6</f>
        <v>35635.3204470242</v>
      </c>
      <c r="V15" s="20" t="n">
        <f aca="false">12*Assumptions!$C$65*V$6</f>
        <v>36348.0268559646</v>
      </c>
      <c r="W15" s="20" t="n">
        <f aca="false">12*Assumptions!$C$65*W$6</f>
        <v>37074.9873930839</v>
      </c>
      <c r="X15" s="20" t="n">
        <f aca="false">12*Assumptions!$C$65*X$6</f>
        <v>37816.4871409456</v>
      </c>
      <c r="Y15" s="20" t="n">
        <f aca="false">12*Assumptions!$C$65*Y$6</f>
        <v>38572.8168837645</v>
      </c>
      <c r="Z15" s="20" t="n">
        <f aca="false">12*Assumptions!$C$65*Z$6</f>
        <v>39344.2732214398</v>
      </c>
      <c r="AA15" s="20" t="n">
        <f aca="false">12*Assumptions!$C$65*AA$6</f>
        <v>40131.1586858686</v>
      </c>
      <c r="AB15" s="20" t="n">
        <f aca="false">12*Assumptions!$C$65*AB$6</f>
        <v>40933.781859586</v>
      </c>
      <c r="AC15" s="20" t="n">
        <f aca="false">12*Assumptions!$C$65*AC$6</f>
        <v>41752.4574967777</v>
      </c>
      <c r="AD15" s="20" t="n">
        <f aca="false">12*Assumptions!$C$65*AD$6</f>
        <v>42587.5066467133</v>
      </c>
      <c r="AE15" s="20" t="n">
        <f aca="false">12*Assumptions!$C$65*AE$6</f>
        <v>43439.2567796475</v>
      </c>
      <c r="AF15" s="20" t="n">
        <f aca="false">12*Assumptions!$C$65*AF$6</f>
        <v>44308.0419152405</v>
      </c>
    </row>
    <row r="16" customFormat="false" ht="15" hidden="false" customHeight="true" outlineLevel="0" collapsed="false">
      <c r="B16" s="6" t="s">
        <v>422</v>
      </c>
      <c r="C16" s="17" t="n">
        <f aca="false">Children!C$12</f>
        <v>18000</v>
      </c>
      <c r="D16" s="17" t="n">
        <f aca="false">Children!D$12</f>
        <v>18720</v>
      </c>
      <c r="E16" s="17" t="n">
        <f aca="false">Children!E$12</f>
        <v>19468.8</v>
      </c>
      <c r="F16" s="17" t="n">
        <f aca="false">Children!F$12</f>
        <v>19858.176</v>
      </c>
      <c r="G16" s="17" t="n">
        <f aca="false">Children!G$12</f>
        <v>20255.33952</v>
      </c>
      <c r="H16" s="17" t="n">
        <f aca="false">Children!H$12</f>
        <v>20660.4463104</v>
      </c>
      <c r="I16" s="17" t="n">
        <f aca="false">Children!I$12</f>
        <v>21073.655236608</v>
      </c>
      <c r="J16" s="17" t="n">
        <f aca="false">Children!J$12</f>
        <v>21495.1283413402</v>
      </c>
      <c r="K16" s="17" t="n">
        <f aca="false">Children!K$12</f>
        <v>0</v>
      </c>
      <c r="L16" s="17" t="n">
        <f aca="false">Children!L$12</f>
        <v>0</v>
      </c>
      <c r="M16" s="17" t="n">
        <f aca="false">Children!M$12</f>
        <v>0</v>
      </c>
      <c r="N16" s="17" t="n">
        <f aca="false">Children!N$12</f>
        <v>0</v>
      </c>
      <c r="O16" s="17" t="n">
        <f aca="false">Children!O$12</f>
        <v>0</v>
      </c>
      <c r="P16" s="17" t="n">
        <f aca="false">Children!P$12</f>
        <v>0</v>
      </c>
      <c r="Q16" s="17" t="n">
        <f aca="false">Children!Q$12</f>
        <v>0</v>
      </c>
      <c r="R16" s="17" t="n">
        <f aca="false">Children!R$12</f>
        <v>0</v>
      </c>
      <c r="S16" s="17" t="n">
        <f aca="false">Children!S$12</f>
        <v>0</v>
      </c>
      <c r="T16" s="17" t="n">
        <f aca="false">Children!T$12</f>
        <v>0</v>
      </c>
      <c r="U16" s="17" t="n">
        <f aca="false">Children!U$12</f>
        <v>0</v>
      </c>
      <c r="V16" s="17" t="n">
        <f aca="false">Children!V$12</f>
        <v>0</v>
      </c>
      <c r="W16" s="17" t="n">
        <f aca="false">Children!W$12</f>
        <v>0</v>
      </c>
      <c r="X16" s="17" t="n">
        <f aca="false">Children!X$12</f>
        <v>0</v>
      </c>
      <c r="Y16" s="17" t="n">
        <f aca="false">Children!Y$12</f>
        <v>0</v>
      </c>
      <c r="Z16" s="17" t="n">
        <f aca="false">Children!Z$12</f>
        <v>0</v>
      </c>
      <c r="AA16" s="17" t="n">
        <f aca="false">Children!AA$12</f>
        <v>0</v>
      </c>
      <c r="AB16" s="17" t="n">
        <f aca="false">Children!AB$12</f>
        <v>0</v>
      </c>
      <c r="AC16" s="17" t="n">
        <f aca="false">Children!AC$12</f>
        <v>0</v>
      </c>
      <c r="AD16" s="17" t="n">
        <f aca="false">Children!AD$12</f>
        <v>0</v>
      </c>
      <c r="AE16" s="17" t="n">
        <f aca="false">Children!AE$12</f>
        <v>0</v>
      </c>
      <c r="AF16" s="17" t="n">
        <f aca="false">Children!AF$12</f>
        <v>0</v>
      </c>
    </row>
    <row r="17" customFormat="false" ht="15" hidden="false" customHeight="true" outlineLevel="0" collapsed="false">
      <c r="B17" s="6" t="s">
        <v>423</v>
      </c>
      <c r="C17" s="17" t="n">
        <f aca="false">Children!C$11</f>
        <v>32400</v>
      </c>
      <c r="D17" s="17" t="n">
        <f aca="false">Children!D$11</f>
        <v>33696</v>
      </c>
      <c r="E17" s="17" t="n">
        <f aca="false">Children!E$11</f>
        <v>23362.56</v>
      </c>
      <c r="F17" s="17" t="n">
        <f aca="false">Children!F$11</f>
        <v>0</v>
      </c>
      <c r="G17" s="17" t="n">
        <f aca="false">Children!G$11</f>
        <v>0</v>
      </c>
      <c r="H17" s="17" t="n">
        <f aca="false">Children!H$11</f>
        <v>0</v>
      </c>
      <c r="I17" s="17" t="n">
        <f aca="false">Children!I$11</f>
        <v>0</v>
      </c>
      <c r="J17" s="17" t="n">
        <f aca="false">Children!J$11</f>
        <v>0</v>
      </c>
      <c r="K17" s="17" t="n">
        <f aca="false">Children!K$11</f>
        <v>0</v>
      </c>
      <c r="L17" s="17" t="n">
        <f aca="false">Children!L$11</f>
        <v>0</v>
      </c>
      <c r="M17" s="17" t="n">
        <f aca="false">Children!M$11</f>
        <v>0</v>
      </c>
      <c r="N17" s="17" t="n">
        <f aca="false">Children!N$11</f>
        <v>0</v>
      </c>
      <c r="O17" s="17" t="n">
        <f aca="false">Children!O$11</f>
        <v>0</v>
      </c>
      <c r="P17" s="17" t="n">
        <f aca="false">Children!P$11</f>
        <v>0</v>
      </c>
      <c r="Q17" s="17" t="n">
        <f aca="false">Children!Q$11</f>
        <v>0</v>
      </c>
      <c r="R17" s="17" t="n">
        <f aca="false">Children!R$11</f>
        <v>0</v>
      </c>
      <c r="S17" s="17" t="n">
        <f aca="false">Children!S$11</f>
        <v>0</v>
      </c>
      <c r="T17" s="17" t="n">
        <f aca="false">Children!T$11</f>
        <v>0</v>
      </c>
      <c r="U17" s="17" t="n">
        <f aca="false">Children!U$11</f>
        <v>0</v>
      </c>
      <c r="V17" s="17" t="n">
        <f aca="false">Children!V$11</f>
        <v>0</v>
      </c>
      <c r="W17" s="17" t="n">
        <f aca="false">Children!W$11</f>
        <v>0</v>
      </c>
      <c r="X17" s="17" t="n">
        <f aca="false">Children!X$11</f>
        <v>0</v>
      </c>
      <c r="Y17" s="17" t="n">
        <f aca="false">Children!Y$11</f>
        <v>0</v>
      </c>
      <c r="Z17" s="17" t="n">
        <f aca="false">Children!Z$11</f>
        <v>0</v>
      </c>
      <c r="AA17" s="17" t="n">
        <f aca="false">Children!AA$11</f>
        <v>0</v>
      </c>
      <c r="AB17" s="17" t="n">
        <f aca="false">Children!AB$11</f>
        <v>0</v>
      </c>
      <c r="AC17" s="17" t="n">
        <f aca="false">Children!AC$11</f>
        <v>0</v>
      </c>
      <c r="AD17" s="17" t="n">
        <f aca="false">Children!AD$11</f>
        <v>0</v>
      </c>
      <c r="AE17" s="17" t="n">
        <f aca="false">Children!AE$11</f>
        <v>0</v>
      </c>
      <c r="AF17" s="17" t="n">
        <f aca="false">Children!AF$11</f>
        <v>0</v>
      </c>
    </row>
    <row r="18" customFormat="false" ht="15" hidden="false" customHeight="true" outlineLevel="0" collapsed="false">
      <c r="B18" s="6" t="s">
        <v>424</v>
      </c>
      <c r="C18" s="20" t="n">
        <f aca="false">Assumptions!$C$69*C$6</f>
        <v>3000</v>
      </c>
      <c r="D18" s="20" t="n">
        <f aca="false">Assumptions!$C$69*D$6</f>
        <v>3120</v>
      </c>
      <c r="E18" s="20" t="n">
        <f aca="false">Assumptions!$C$69*E$6</f>
        <v>3244.8</v>
      </c>
      <c r="F18" s="20" t="n">
        <f aca="false">Assumptions!$C$69*F$6</f>
        <v>3309.696</v>
      </c>
      <c r="G18" s="20" t="n">
        <f aca="false">Assumptions!$C$69*G$6</f>
        <v>3375.88992</v>
      </c>
      <c r="H18" s="20" t="n">
        <f aca="false">Assumptions!$C$69*H$6</f>
        <v>3443.4077184</v>
      </c>
      <c r="I18" s="20" t="n">
        <f aca="false">Assumptions!$C$69*I$6</f>
        <v>3512.275872768</v>
      </c>
      <c r="J18" s="20" t="n">
        <f aca="false">Assumptions!$C$69*J$6</f>
        <v>3582.52139022336</v>
      </c>
      <c r="K18" s="20" t="n">
        <f aca="false">Assumptions!$C$69*K$6</f>
        <v>3654.17181802783</v>
      </c>
      <c r="L18" s="20" t="n">
        <f aca="false">Assumptions!$C$69*L$6</f>
        <v>3727.25525438838</v>
      </c>
      <c r="M18" s="20" t="n">
        <f aca="false">Assumptions!$C$69*M$6</f>
        <v>3801.80035947615</v>
      </c>
      <c r="N18" s="20" t="n">
        <f aca="false">Assumptions!$C$69*N$6</f>
        <v>3877.83636666568</v>
      </c>
      <c r="O18" s="20" t="n">
        <f aca="false">Assumptions!$C$69*O$6</f>
        <v>3955.39309399899</v>
      </c>
      <c r="P18" s="20" t="n">
        <f aca="false">Assumptions!$C$69*P$6</f>
        <v>4034.50095587897</v>
      </c>
      <c r="Q18" s="20" t="n">
        <f aca="false">Assumptions!$C$69*Q$6</f>
        <v>4115.19097499655</v>
      </c>
      <c r="R18" s="20" t="n">
        <f aca="false">Assumptions!$C$69*R$6</f>
        <v>4197.49479449648</v>
      </c>
      <c r="S18" s="20" t="n">
        <f aca="false">Assumptions!$C$69*S$6</f>
        <v>4281.44469038641</v>
      </c>
      <c r="T18" s="20" t="n">
        <f aca="false">Assumptions!$C$69*T$6</f>
        <v>4367.07358419414</v>
      </c>
      <c r="U18" s="20" t="n">
        <f aca="false">Assumptions!$C$69*U$6</f>
        <v>4454.41505587802</v>
      </c>
      <c r="V18" s="20" t="n">
        <f aca="false">Assumptions!$C$69*V$6</f>
        <v>4543.50335699558</v>
      </c>
      <c r="W18" s="20" t="n">
        <f aca="false">Assumptions!$C$69*W$6</f>
        <v>4634.37342413549</v>
      </c>
      <c r="X18" s="20" t="n">
        <f aca="false">Assumptions!$C$69*X$6</f>
        <v>4727.0608926182</v>
      </c>
      <c r="Y18" s="20" t="n">
        <f aca="false">Assumptions!$C$69*Y$6</f>
        <v>4821.60211047057</v>
      </c>
      <c r="Z18" s="20" t="n">
        <f aca="false">Assumptions!$C$69*Z$6</f>
        <v>4918.03415267998</v>
      </c>
      <c r="AA18" s="20" t="n">
        <f aca="false">Assumptions!$C$69*AA$6</f>
        <v>5016.39483573358</v>
      </c>
      <c r="AB18" s="20" t="n">
        <f aca="false">Assumptions!$C$69*AB$6</f>
        <v>5116.72273244825</v>
      </c>
      <c r="AC18" s="20" t="n">
        <f aca="false">Assumptions!$C$69*AC$6</f>
        <v>5219.05718709721</v>
      </c>
      <c r="AD18" s="20" t="n">
        <f aca="false">Assumptions!$C$69*AD$6</f>
        <v>5323.43833083916</v>
      </c>
      <c r="AE18" s="20" t="n">
        <f aca="false">Assumptions!$C$69*AE$6</f>
        <v>5429.90709745594</v>
      </c>
      <c r="AF18" s="20" t="n">
        <f aca="false">Assumptions!$C$69*AF$6</f>
        <v>5538.50523940506</v>
      </c>
    </row>
    <row r="19" customFormat="false" ht="15" hidden="false" customHeight="true" outlineLevel="0" collapsed="false">
      <c r="B19" s="6" t="s">
        <v>425</v>
      </c>
      <c r="C19" s="20" t="n">
        <f aca="false">Assumptions!$C$70*C$6</f>
        <v>1000</v>
      </c>
      <c r="D19" s="20" t="n">
        <f aca="false">Assumptions!$C$70*D$6</f>
        <v>1040</v>
      </c>
      <c r="E19" s="20" t="n">
        <f aca="false">Assumptions!$C$70*E$6</f>
        <v>1081.6</v>
      </c>
      <c r="F19" s="20" t="n">
        <f aca="false">Assumptions!$C$70*F$6</f>
        <v>1103.232</v>
      </c>
      <c r="G19" s="20" t="n">
        <f aca="false">Assumptions!$C$70*G$6</f>
        <v>1125.29664</v>
      </c>
      <c r="H19" s="20" t="n">
        <f aca="false">Assumptions!$C$70*H$6</f>
        <v>1147.8025728</v>
      </c>
      <c r="I19" s="20" t="n">
        <f aca="false">Assumptions!$C$70*I$6</f>
        <v>1170.758624256</v>
      </c>
      <c r="J19" s="20" t="n">
        <f aca="false">Assumptions!$C$70*J$6</f>
        <v>1194.17379674112</v>
      </c>
      <c r="K19" s="20" t="n">
        <f aca="false">Assumptions!$C$70*K$6</f>
        <v>1218.05727267594</v>
      </c>
      <c r="L19" s="20" t="n">
        <f aca="false">Assumptions!$C$70*L$6</f>
        <v>1242.41841812946</v>
      </c>
      <c r="M19" s="20" t="n">
        <f aca="false">Assumptions!$C$70*M$6</f>
        <v>1267.26678649205</v>
      </c>
      <c r="N19" s="20" t="n">
        <f aca="false">Assumptions!$C$70*N$6</f>
        <v>1292.61212222189</v>
      </c>
      <c r="O19" s="20" t="n">
        <f aca="false">Assumptions!$C$70*O$6</f>
        <v>1318.46436466633</v>
      </c>
      <c r="P19" s="20" t="n">
        <f aca="false">Assumptions!$C$70*P$6</f>
        <v>1344.83365195966</v>
      </c>
      <c r="Q19" s="20" t="n">
        <f aca="false">Assumptions!$C$70*Q$6</f>
        <v>1371.73032499885</v>
      </c>
      <c r="R19" s="20" t="n">
        <f aca="false">Assumptions!$C$70*R$6</f>
        <v>1399.16493149883</v>
      </c>
      <c r="S19" s="20" t="n">
        <f aca="false">Assumptions!$C$70*S$6</f>
        <v>1427.1482301288</v>
      </c>
      <c r="T19" s="20" t="n">
        <f aca="false">Assumptions!$C$70*T$6</f>
        <v>1455.69119473138</v>
      </c>
      <c r="U19" s="20" t="n">
        <f aca="false">Assumptions!$C$70*U$6</f>
        <v>1484.80501862601</v>
      </c>
      <c r="V19" s="20" t="n">
        <f aca="false">Assumptions!$C$70*V$6</f>
        <v>1514.50111899853</v>
      </c>
      <c r="W19" s="20" t="n">
        <f aca="false">Assumptions!$C$70*W$6</f>
        <v>1544.7911413785</v>
      </c>
      <c r="X19" s="20" t="n">
        <f aca="false">Assumptions!$C$70*X$6</f>
        <v>1575.68696420607</v>
      </c>
      <c r="Y19" s="20" t="n">
        <f aca="false">Assumptions!$C$70*Y$6</f>
        <v>1607.20070349019</v>
      </c>
      <c r="Z19" s="20" t="n">
        <f aca="false">Assumptions!$C$70*Z$6</f>
        <v>1639.34471755999</v>
      </c>
      <c r="AA19" s="20" t="n">
        <f aca="false">Assumptions!$C$70*AA$6</f>
        <v>1672.13161191119</v>
      </c>
      <c r="AB19" s="20" t="n">
        <f aca="false">Assumptions!$C$70*AB$6</f>
        <v>1705.57424414942</v>
      </c>
      <c r="AC19" s="20" t="n">
        <f aca="false">Assumptions!$C$70*AC$6</f>
        <v>1739.6857290324</v>
      </c>
      <c r="AD19" s="20" t="n">
        <f aca="false">Assumptions!$C$70*AD$6</f>
        <v>1774.47944361305</v>
      </c>
      <c r="AE19" s="20" t="n">
        <f aca="false">Assumptions!$C$70*AE$6</f>
        <v>1809.96903248531</v>
      </c>
      <c r="AF19" s="20" t="n">
        <f aca="false">Assumptions!$C$70*AF$6</f>
        <v>1846.16841313502</v>
      </c>
    </row>
    <row r="20" customFormat="false" ht="15" hidden="false" customHeight="true" outlineLevel="0" collapsed="false">
      <c r="B20" s="6" t="s">
        <v>426</v>
      </c>
      <c r="C20" s="20" t="n">
        <f aca="false">Assumptions!$C$71*C$6</f>
        <v>2000</v>
      </c>
      <c r="D20" s="20" t="n">
        <f aca="false">Assumptions!$C$71*D$6</f>
        <v>2080</v>
      </c>
      <c r="E20" s="20" t="n">
        <f aca="false">Assumptions!$C$71*E$6</f>
        <v>2163.2</v>
      </c>
      <c r="F20" s="20" t="n">
        <f aca="false">Assumptions!$C$71*F$6</f>
        <v>2206.464</v>
      </c>
      <c r="G20" s="20" t="n">
        <f aca="false">Assumptions!$C$71*G$6</f>
        <v>2250.59328</v>
      </c>
      <c r="H20" s="20" t="n">
        <f aca="false">Assumptions!$C$71*H$6</f>
        <v>2295.6051456</v>
      </c>
      <c r="I20" s="20" t="n">
        <f aca="false">Assumptions!$C$71*I$6</f>
        <v>2341.517248512</v>
      </c>
      <c r="J20" s="20" t="n">
        <f aca="false">Assumptions!$C$71*J$6</f>
        <v>2388.34759348224</v>
      </c>
      <c r="K20" s="20" t="n">
        <f aca="false">Assumptions!$C$71*K$6</f>
        <v>2436.11454535189</v>
      </c>
      <c r="L20" s="20" t="n">
        <f aca="false">Assumptions!$C$71*L$6</f>
        <v>2484.83683625892</v>
      </c>
      <c r="M20" s="20" t="n">
        <f aca="false">Assumptions!$C$71*M$6</f>
        <v>2534.5335729841</v>
      </c>
      <c r="N20" s="20" t="n">
        <f aca="false">Assumptions!$C$71*N$6</f>
        <v>2585.22424444378</v>
      </c>
      <c r="O20" s="20" t="n">
        <f aca="false">Assumptions!$C$71*O$6</f>
        <v>2636.92872933266</v>
      </c>
      <c r="P20" s="20" t="n">
        <f aca="false">Assumptions!$C$71*P$6</f>
        <v>2689.66730391931</v>
      </c>
      <c r="Q20" s="20" t="n">
        <f aca="false">Assumptions!$C$71*Q$6</f>
        <v>2743.4606499977</v>
      </c>
      <c r="R20" s="20" t="n">
        <f aca="false">Assumptions!$C$71*R$6</f>
        <v>2798.32986299765</v>
      </c>
      <c r="S20" s="20" t="n">
        <f aca="false">Assumptions!$C$71*S$6</f>
        <v>2854.29646025761</v>
      </c>
      <c r="T20" s="20" t="n">
        <f aca="false">Assumptions!$C$71*T$6</f>
        <v>2911.38238946276</v>
      </c>
      <c r="U20" s="20" t="n">
        <f aca="false">Assumptions!$C$71*U$6</f>
        <v>2969.61003725201</v>
      </c>
      <c r="V20" s="20" t="n">
        <f aca="false">Assumptions!$C$71*V$6</f>
        <v>3029.00223799705</v>
      </c>
      <c r="W20" s="20" t="n">
        <f aca="false">Assumptions!$C$71*W$6</f>
        <v>3089.58228275699</v>
      </c>
      <c r="X20" s="20" t="n">
        <f aca="false">Assumptions!$C$71*X$6</f>
        <v>3151.37392841214</v>
      </c>
      <c r="Y20" s="20" t="n">
        <f aca="false">Assumptions!$C$71*Y$6</f>
        <v>3214.40140698038</v>
      </c>
      <c r="Z20" s="20" t="n">
        <f aca="false">Assumptions!$C$71*Z$6</f>
        <v>3278.68943511999</v>
      </c>
      <c r="AA20" s="20" t="n">
        <f aca="false">Assumptions!$C$71*AA$6</f>
        <v>3344.26322382239</v>
      </c>
      <c r="AB20" s="20" t="n">
        <f aca="false">Assumptions!$C$71*AB$6</f>
        <v>3411.14848829883</v>
      </c>
      <c r="AC20" s="20" t="n">
        <f aca="false">Assumptions!$C$71*AC$6</f>
        <v>3479.37145806481</v>
      </c>
      <c r="AD20" s="20" t="n">
        <f aca="false">Assumptions!$C$71*AD$6</f>
        <v>3548.95888722611</v>
      </c>
      <c r="AE20" s="20" t="n">
        <f aca="false">Assumptions!$C$71*AE$6</f>
        <v>3619.93806497063</v>
      </c>
      <c r="AF20" s="20" t="n">
        <f aca="false">Assumptions!$C$71*AF$6</f>
        <v>3692.33682627004</v>
      </c>
    </row>
    <row r="21" customFormat="false" ht="15" hidden="false" customHeight="true" outlineLevel="0" collapsed="false">
      <c r="B21" s="6" t="s">
        <v>427</v>
      </c>
      <c r="C21" s="17" t="n">
        <f aca="false">Children!C$57</f>
        <v>0</v>
      </c>
      <c r="D21" s="17" t="n">
        <f aca="false">Children!D$57</f>
        <v>0</v>
      </c>
      <c r="E21" s="17" t="n">
        <f aca="false">Children!E$57</f>
        <v>0</v>
      </c>
      <c r="F21" s="17" t="n">
        <f aca="false">Children!F$57</f>
        <v>0</v>
      </c>
      <c r="G21" s="17" t="n">
        <f aca="false">Children!G$57</f>
        <v>0</v>
      </c>
      <c r="H21" s="17" t="n">
        <f aca="false">Children!H$57</f>
        <v>0</v>
      </c>
      <c r="I21" s="17" t="n">
        <f aca="false">Children!I$57</f>
        <v>0</v>
      </c>
      <c r="J21" s="17" t="n">
        <f aca="false">Children!J$57</f>
        <v>0</v>
      </c>
      <c r="K21" s="17" t="n">
        <f aca="false">Children!K$57</f>
        <v>0</v>
      </c>
      <c r="L21" s="17" t="n">
        <f aca="false">Children!L$57</f>
        <v>0</v>
      </c>
      <c r="M21" s="17" t="n">
        <f aca="false">Children!M$57</f>
        <v>0</v>
      </c>
      <c r="N21" s="17" t="n">
        <f aca="false">Children!N$57</f>
        <v>0</v>
      </c>
      <c r="O21" s="17" t="n">
        <f aca="false">Children!O$57</f>
        <v>0</v>
      </c>
      <c r="P21" s="17" t="n">
        <f aca="false">Children!P$57</f>
        <v>0</v>
      </c>
      <c r="Q21" s="17" t="n">
        <f aca="false">Children!Q$57</f>
        <v>0</v>
      </c>
      <c r="R21" s="17" t="n">
        <f aca="false">Children!R$57</f>
        <v>0</v>
      </c>
      <c r="S21" s="17" t="n">
        <f aca="false">Children!S$57</f>
        <v>0</v>
      </c>
      <c r="T21" s="17" t="n">
        <f aca="false">Children!T$57</f>
        <v>0</v>
      </c>
      <c r="U21" s="17" t="n">
        <f aca="false">Children!U$57</f>
        <v>0</v>
      </c>
      <c r="V21" s="17" t="n">
        <f aca="false">Children!V$57</f>
        <v>0</v>
      </c>
      <c r="W21" s="17" t="n">
        <f aca="false">Children!W$57</f>
        <v>0</v>
      </c>
      <c r="X21" s="17" t="n">
        <f aca="false">Children!X$57</f>
        <v>0</v>
      </c>
      <c r="Y21" s="17" t="n">
        <f aca="false">Children!Y$57</f>
        <v>0</v>
      </c>
      <c r="Z21" s="17" t="n">
        <f aca="false">Children!Z$57</f>
        <v>0</v>
      </c>
      <c r="AA21" s="17" t="n">
        <f aca="false">Children!AA$57</f>
        <v>0</v>
      </c>
      <c r="AB21" s="17" t="n">
        <f aca="false">Children!AB$57</f>
        <v>0</v>
      </c>
      <c r="AC21" s="17" t="n">
        <f aca="false">Children!AC$57</f>
        <v>0</v>
      </c>
      <c r="AD21" s="17" t="n">
        <f aca="false">Children!AD$57</f>
        <v>0</v>
      </c>
      <c r="AE21" s="17" t="n">
        <f aca="false">Children!AE$57</f>
        <v>0</v>
      </c>
      <c r="AF21" s="17" t="n">
        <f aca="false">Children!AF$57</f>
        <v>0</v>
      </c>
    </row>
    <row r="22" customFormat="false" ht="15" hidden="false" customHeight="true" outlineLevel="0" collapsed="false">
      <c r="B22" s="16" t="s">
        <v>428</v>
      </c>
      <c r="C22" s="59" t="n">
        <f aca="false">SUM(C12:C21)</f>
        <v>125400</v>
      </c>
      <c r="D22" s="59" t="n">
        <f aca="false">SUM(D12:D21)</f>
        <v>130416</v>
      </c>
      <c r="E22" s="59" t="n">
        <f aca="false">SUM(E12:E21)</f>
        <v>123951.36</v>
      </c>
      <c r="F22" s="59" t="n">
        <f aca="false">SUM(F12:F21)</f>
        <v>102600.576</v>
      </c>
      <c r="G22" s="59" t="n">
        <f aca="false">SUM(G12:G21)</f>
        <v>104652.58752</v>
      </c>
      <c r="H22" s="59" t="n">
        <f aca="false">SUM(H12:H21)</f>
        <v>106745.6392704</v>
      </c>
      <c r="I22" s="59" t="n">
        <f aca="false">SUM(I12:I21)</f>
        <v>108880.552055808</v>
      </c>
      <c r="J22" s="59" t="n">
        <f aca="false">SUM(J12:J21)</f>
        <v>111058.163096924</v>
      </c>
      <c r="K22" s="59" t="n">
        <f aca="false">SUM(K12:K21)</f>
        <v>91354.2954506957</v>
      </c>
      <c r="L22" s="59" t="n">
        <f aca="false">SUM(L12:L21)</f>
        <v>93181.3813597096</v>
      </c>
      <c r="M22" s="59" t="n">
        <f aca="false">SUM(M12:M21)</f>
        <v>95045.0089869038</v>
      </c>
      <c r="N22" s="59" t="n">
        <f aca="false">SUM(N12:N21)</f>
        <v>96945.9091666419</v>
      </c>
      <c r="O22" s="59" t="n">
        <f aca="false">SUM(O12:O21)</f>
        <v>98884.8273499747</v>
      </c>
      <c r="P22" s="59" t="n">
        <f aca="false">SUM(P12:P21)</f>
        <v>100862.523896974</v>
      </c>
      <c r="Q22" s="59" t="n">
        <f aca="false">SUM(Q12:Q21)</f>
        <v>102879.774374914</v>
      </c>
      <c r="R22" s="59" t="n">
        <f aca="false">SUM(R12:R21)</f>
        <v>104937.369862412</v>
      </c>
      <c r="S22" s="59" t="n">
        <f aca="false">SUM(S12:S21)</f>
        <v>107036.11725966</v>
      </c>
      <c r="T22" s="59" t="n">
        <f aca="false">SUM(T12:T21)</f>
        <v>109176.839604853</v>
      </c>
      <c r="U22" s="59" t="n">
        <f aca="false">SUM(U12:U21)</f>
        <v>111360.376396951</v>
      </c>
      <c r="V22" s="59" t="n">
        <f aca="false">SUM(V12:V21)</f>
        <v>78148.257740324</v>
      </c>
      <c r="W22" s="59" t="n">
        <f aca="false">SUM(W12:W21)</f>
        <v>79711.2228951305</v>
      </c>
      <c r="X22" s="59" t="n">
        <f aca="false">SUM(X12:X21)</f>
        <v>81305.4473530331</v>
      </c>
      <c r="Y22" s="59" t="n">
        <f aca="false">SUM(Y12:Y21)</f>
        <v>82931.5563000937</v>
      </c>
      <c r="Z22" s="59" t="n">
        <f aca="false">SUM(Z12:Z21)</f>
        <v>84590.1874260956</v>
      </c>
      <c r="AA22" s="59" t="n">
        <f aca="false">SUM(AA12:AA21)</f>
        <v>86281.9911746175</v>
      </c>
      <c r="AB22" s="59" t="n">
        <f aca="false">SUM(AB12:AB21)</f>
        <v>88007.6309981099</v>
      </c>
      <c r="AC22" s="59" t="n">
        <f aca="false">SUM(AC12:AC21)</f>
        <v>89767.7836180721</v>
      </c>
      <c r="AD22" s="59" t="n">
        <f aca="false">SUM(AD12:AD21)</f>
        <v>91563.1392904335</v>
      </c>
      <c r="AE22" s="59" t="n">
        <f aca="false">SUM(AE12:AE21)</f>
        <v>93394.4020762422</v>
      </c>
      <c r="AF22" s="59" t="n">
        <f aca="false">SUM(AF12:AF21)</f>
        <v>95262.290117767</v>
      </c>
    </row>
    <row r="23" customFormat="false" ht="15" hidden="false" customHeight="true" outlineLevel="0" collapsed="false">
      <c r="B23" s="56" t="s">
        <v>429</v>
      </c>
      <c r="C23" s="20" t="n">
        <f aca="false">C22/C$6</f>
        <v>125400</v>
      </c>
      <c r="D23" s="20" t="n">
        <f aca="false">D22/D$6</f>
        <v>125400</v>
      </c>
      <c r="E23" s="20" t="n">
        <f aca="false">E22/E$6</f>
        <v>114600</v>
      </c>
      <c r="F23" s="20" t="n">
        <f aca="false">F22/F$6</f>
        <v>93000</v>
      </c>
      <c r="G23" s="20" t="n">
        <f aca="false">G22/G$6</f>
        <v>93000</v>
      </c>
      <c r="H23" s="20" t="n">
        <f aca="false">H22/H$6</f>
        <v>93000</v>
      </c>
      <c r="I23" s="20" t="n">
        <f aca="false">I22/I$6</f>
        <v>93000</v>
      </c>
      <c r="J23" s="20" t="n">
        <f aca="false">J22/J$6</f>
        <v>93000</v>
      </c>
      <c r="K23" s="20" t="n">
        <f aca="false">K22/K$6</f>
        <v>75000</v>
      </c>
      <c r="L23" s="20" t="n">
        <f aca="false">L22/L$6</f>
        <v>75000</v>
      </c>
      <c r="M23" s="20" t="n">
        <f aca="false">M22/M$6</f>
        <v>75000</v>
      </c>
      <c r="N23" s="20" t="n">
        <f aca="false">N22/N$6</f>
        <v>75000</v>
      </c>
      <c r="O23" s="20" t="n">
        <f aca="false">O22/O$6</f>
        <v>75000</v>
      </c>
      <c r="P23" s="20" t="n">
        <f aca="false">P22/P$6</f>
        <v>75000</v>
      </c>
      <c r="Q23" s="20" t="n">
        <f aca="false">Q22/Q$6</f>
        <v>75000</v>
      </c>
      <c r="R23" s="20" t="n">
        <f aca="false">R22/R$6</f>
        <v>75000</v>
      </c>
      <c r="S23" s="20" t="n">
        <f aca="false">S22/S$6</f>
        <v>75000</v>
      </c>
      <c r="T23" s="20" t="n">
        <f aca="false">T22/T$6</f>
        <v>75000</v>
      </c>
      <c r="U23" s="20" t="n">
        <f aca="false">U22/U$6</f>
        <v>75000</v>
      </c>
      <c r="V23" s="20" t="n">
        <f aca="false">V22/V$6</f>
        <v>51600</v>
      </c>
      <c r="W23" s="20" t="n">
        <f aca="false">W22/W$6</f>
        <v>51600</v>
      </c>
      <c r="X23" s="20" t="n">
        <f aca="false">X22/X$6</f>
        <v>51600</v>
      </c>
      <c r="Y23" s="20" t="n">
        <f aca="false">Y22/Y$6</f>
        <v>51600</v>
      </c>
      <c r="Z23" s="20" t="n">
        <f aca="false">Z22/Z$6</f>
        <v>51600</v>
      </c>
      <c r="AA23" s="20" t="n">
        <f aca="false">AA22/AA$6</f>
        <v>51600</v>
      </c>
      <c r="AB23" s="20" t="n">
        <f aca="false">AB22/AB$6</f>
        <v>51600</v>
      </c>
      <c r="AC23" s="20" t="n">
        <f aca="false">AC22/AC$6</f>
        <v>51600</v>
      </c>
      <c r="AD23" s="20" t="n">
        <f aca="false">AD22/AD$6</f>
        <v>51600</v>
      </c>
      <c r="AE23" s="20" t="n">
        <f aca="false">AE22/AE$6</f>
        <v>51600</v>
      </c>
      <c r="AF23" s="20" t="n">
        <f aca="false">AF22/AF$6</f>
        <v>51600</v>
      </c>
    </row>
    <row r="24" customFormat="false" ht="15" hidden="false" customHeight="true" outlineLevel="0" collapsed="false">
      <c r="B24" s="56" t="s">
        <v>430</v>
      </c>
      <c r="C24" s="20" t="n">
        <f aca="false">C12+C13+C14+C15+C18+C19+C20</f>
        <v>75000</v>
      </c>
      <c r="D24" s="20" t="n">
        <f aca="false">D12+D13+D14+D15+D18+D19+D20</f>
        <v>78000</v>
      </c>
      <c r="E24" s="20" t="n">
        <f aca="false">E12+E13+E14+E15+E18+E19+E20</f>
        <v>81120</v>
      </c>
      <c r="F24" s="20" t="n">
        <f aca="false">F12+F13+F14+F15+F18+F19+F20</f>
        <v>82742.4</v>
      </c>
      <c r="G24" s="20" t="n">
        <f aca="false">G12+G13+G14+G15+G18+G19+G20</f>
        <v>84397.248</v>
      </c>
      <c r="H24" s="20" t="n">
        <f aca="false">H12+H13+H14+H15+H18+H19+H20</f>
        <v>86085.19296</v>
      </c>
      <c r="I24" s="20" t="n">
        <f aca="false">I12+I13+I14+I15+I18+I19+I20</f>
        <v>87806.8968192</v>
      </c>
      <c r="J24" s="20" t="n">
        <f aca="false">J12+J13+J14+J15+J18+J19+J20</f>
        <v>89563.034755584</v>
      </c>
      <c r="K24" s="20" t="n">
        <f aca="false">K12+K13+K14+K15+K18+K19+K20</f>
        <v>91354.2954506957</v>
      </c>
      <c r="L24" s="20" t="n">
        <f aca="false">L12+L13+L14+L15+L18+L19+L20</f>
        <v>93181.3813597096</v>
      </c>
      <c r="M24" s="20" t="n">
        <f aca="false">M12+M13+M14+M15+M18+M19+M20</f>
        <v>95045.0089869038</v>
      </c>
      <c r="N24" s="20" t="n">
        <f aca="false">N12+N13+N14+N15+N18+N19+N20</f>
        <v>96945.9091666419</v>
      </c>
      <c r="O24" s="20" t="n">
        <f aca="false">O12+O13+O14+O15+O18+O19+O20</f>
        <v>98884.8273499747</v>
      </c>
      <c r="P24" s="20" t="n">
        <f aca="false">P12+P13+P14+P15+P18+P19+P20</f>
        <v>100862.523896974</v>
      </c>
      <c r="Q24" s="20" t="n">
        <f aca="false">Q12+Q13+Q14+Q15+Q18+Q19+Q20</f>
        <v>102879.774374914</v>
      </c>
      <c r="R24" s="20" t="n">
        <f aca="false">R12+R13+R14+R15+R18+R19+R20</f>
        <v>104937.369862412</v>
      </c>
      <c r="S24" s="20" t="n">
        <f aca="false">S12+S13+S14+S15+S18+S19+S20</f>
        <v>107036.11725966</v>
      </c>
      <c r="T24" s="20" t="n">
        <f aca="false">T12+T13+T14+T15+T18+T19+T20</f>
        <v>109176.839604853</v>
      </c>
      <c r="U24" s="20" t="n">
        <f aca="false">U12+U13+U14+U15+U18+U19+U20</f>
        <v>111360.376396951</v>
      </c>
      <c r="V24" s="20" t="n">
        <f aca="false">V12+V13+V14+V15+V18+V19+V20</f>
        <v>78148.257740324</v>
      </c>
      <c r="W24" s="20" t="n">
        <f aca="false">W12+W13+W14+W15+W18+W19+W20</f>
        <v>79711.2228951305</v>
      </c>
      <c r="X24" s="20" t="n">
        <f aca="false">X12+X13+X14+X15+X18+X19+X20</f>
        <v>81305.4473530331</v>
      </c>
      <c r="Y24" s="20" t="n">
        <f aca="false">Y12+Y13+Y14+Y15+Y18+Y19+Y20</f>
        <v>82931.5563000937</v>
      </c>
      <c r="Z24" s="20" t="n">
        <f aca="false">Z12+Z13+Z14+Z15+Z18+Z19+Z20</f>
        <v>84590.1874260956</v>
      </c>
      <c r="AA24" s="20" t="n">
        <f aca="false">AA12+AA13+AA14+AA15+AA18+AA19+AA20</f>
        <v>86281.9911746175</v>
      </c>
      <c r="AB24" s="20" t="n">
        <f aca="false">AB12+AB13+AB14+AB15+AB18+AB19+AB20</f>
        <v>88007.6309981099</v>
      </c>
      <c r="AC24" s="20" t="n">
        <f aca="false">AC12+AC13+AC14+AC15+AC18+AC19+AC20</f>
        <v>89767.7836180721</v>
      </c>
      <c r="AD24" s="20" t="n">
        <f aca="false">AD12+AD13+AD14+AD15+AD18+AD19+AD20</f>
        <v>91563.1392904335</v>
      </c>
      <c r="AE24" s="20" t="n">
        <f aca="false">AE12+AE13+AE14+AE15+AE18+AE19+AE20</f>
        <v>93394.4020762422</v>
      </c>
      <c r="AF24" s="20" t="n">
        <f aca="false">AF12+AF13+AF14+AF15+AF18+AF19+AF20</f>
        <v>95262.290117767</v>
      </c>
    </row>
    <row r="25" customFormat="false" ht="15" hidden="false" customHeight="true" outlineLevel="0" collapsed="false">
      <c r="A25" s="30" t="s">
        <v>431</v>
      </c>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customFormat="false" ht="15" hidden="false" customHeight="true" outlineLevel="0" collapsed="false">
      <c r="B26" s="6" t="s">
        <v>432</v>
      </c>
      <c r="C26" s="17" t="n">
        <f aca="false">Children!C$56</f>
        <v>18000</v>
      </c>
      <c r="D26" s="17" t="n">
        <f aca="false">Children!D$56</f>
        <v>18000</v>
      </c>
      <c r="E26" s="17" t="n">
        <f aca="false">Children!E$56</f>
        <v>18000</v>
      </c>
      <c r="F26" s="17" t="n">
        <f aca="false">Children!F$56</f>
        <v>18000</v>
      </c>
      <c r="G26" s="17" t="n">
        <f aca="false">Children!G$56</f>
        <v>9000</v>
      </c>
      <c r="H26" s="17" t="n">
        <f aca="false">Children!H$56</f>
        <v>9000</v>
      </c>
      <c r="I26" s="17" t="n">
        <f aca="false">Children!I$56</f>
        <v>0</v>
      </c>
      <c r="J26" s="17" t="n">
        <f aca="false">Children!J$56</f>
        <v>0</v>
      </c>
      <c r="K26" s="17" t="n">
        <f aca="false">Children!K$56</f>
        <v>0</v>
      </c>
      <c r="L26" s="17" t="n">
        <f aca="false">Children!L$56</f>
        <v>0</v>
      </c>
      <c r="M26" s="17" t="n">
        <f aca="false">Children!M$56</f>
        <v>0</v>
      </c>
      <c r="N26" s="17" t="n">
        <f aca="false">Children!N$56</f>
        <v>0</v>
      </c>
      <c r="O26" s="17" t="n">
        <f aca="false">Children!O$56</f>
        <v>0</v>
      </c>
      <c r="P26" s="17" t="n">
        <f aca="false">Children!P$56</f>
        <v>0</v>
      </c>
      <c r="Q26" s="17" t="n">
        <f aca="false">Children!Q$56</f>
        <v>0</v>
      </c>
      <c r="R26" s="17" t="n">
        <f aca="false">Children!R$56</f>
        <v>0</v>
      </c>
      <c r="S26" s="17" t="n">
        <f aca="false">Children!S$56</f>
        <v>0</v>
      </c>
      <c r="T26" s="17" t="n">
        <f aca="false">Children!T$56</f>
        <v>0</v>
      </c>
      <c r="U26" s="17" t="n">
        <f aca="false">Children!U$56</f>
        <v>0</v>
      </c>
      <c r="V26" s="17" t="n">
        <f aca="false">Children!V$56</f>
        <v>0</v>
      </c>
      <c r="W26" s="17" t="n">
        <f aca="false">Children!W$56</f>
        <v>0</v>
      </c>
      <c r="X26" s="17" t="n">
        <f aca="false">Children!X$56</f>
        <v>0</v>
      </c>
      <c r="Y26" s="17" t="n">
        <f aca="false">Children!Y$56</f>
        <v>0</v>
      </c>
      <c r="Z26" s="17" t="n">
        <f aca="false">Children!Z$56</f>
        <v>0</v>
      </c>
      <c r="AA26" s="17" t="n">
        <f aca="false">Children!AA$56</f>
        <v>0</v>
      </c>
      <c r="AB26" s="17" t="n">
        <f aca="false">Children!AB$56</f>
        <v>0</v>
      </c>
      <c r="AC26" s="17" t="n">
        <f aca="false">Children!AC$56</f>
        <v>0</v>
      </c>
      <c r="AD26" s="17" t="n">
        <f aca="false">Children!AD$56</f>
        <v>0</v>
      </c>
      <c r="AE26" s="17" t="n">
        <f aca="false">Children!AE$56</f>
        <v>0</v>
      </c>
      <c r="AF26" s="17" t="n">
        <f aca="false">Children!AF$56</f>
        <v>0</v>
      </c>
    </row>
    <row r="27" customFormat="false" ht="15" hidden="false" customHeight="true" outlineLevel="0" collapsed="false">
      <c r="B27" s="16" t="s">
        <v>433</v>
      </c>
      <c r="C27" s="59" t="n">
        <f aca="false">C10-C22-C26</f>
        <v>58542.8</v>
      </c>
      <c r="D27" s="59" t="n">
        <f aca="false">D10-D22-D26</f>
        <v>60430.6</v>
      </c>
      <c r="E27" s="59" t="n">
        <f aca="false">E10-E22-E26</f>
        <v>74306.192</v>
      </c>
      <c r="F27" s="59" t="n">
        <f aca="false">F10-F22-F26</f>
        <v>99510.67104</v>
      </c>
      <c r="G27" s="59" t="n">
        <f aca="false">G10-G22-G26</f>
        <v>110389.4284608</v>
      </c>
      <c r="H27" s="59" t="n">
        <f aca="false">H10-H22-H26</f>
        <v>112777.217030016</v>
      </c>
      <c r="I27" s="59" t="n">
        <f aca="false">I10-I22-I26</f>
        <v>124212.761370616</v>
      </c>
      <c r="J27" s="59" t="n">
        <f aca="false">J10-J22-J26</f>
        <v>126697.016598029</v>
      </c>
      <c r="K27" s="59" t="n">
        <f aca="false">K10-K22-K26</f>
        <v>151155.987838156</v>
      </c>
      <c r="L27" s="59" t="n">
        <f aca="false">L10-L22-L26</f>
        <v>154179.107594919</v>
      </c>
      <c r="M27" s="59" t="n">
        <f aca="false">M10-M22-M26</f>
        <v>157262.689746818</v>
      </c>
      <c r="N27" s="59" t="n">
        <f aca="false">N10-N22-N26</f>
        <v>160407.943541754</v>
      </c>
      <c r="O27" s="59" t="n">
        <f aca="false">O10-O22-O26</f>
        <v>163616.102412589</v>
      </c>
      <c r="P27" s="59" t="n">
        <f aca="false">P10-P22-P26</f>
        <v>166888.424460841</v>
      </c>
      <c r="Q27" s="59" t="n">
        <f aca="false">Q10-Q22-Q26</f>
        <v>170226.192950058</v>
      </c>
      <c r="R27" s="59" t="n">
        <f aca="false">R10-R22-R26</f>
        <v>173630.716809059</v>
      </c>
      <c r="S27" s="59" t="n">
        <f aca="false">S10-S22-S26</f>
        <v>177103.33114524</v>
      </c>
      <c r="T27" s="59" t="n">
        <f aca="false">T10-T22-T26</f>
        <v>180645.397768145</v>
      </c>
      <c r="U27" s="59" t="n">
        <f aca="false">U10-U22-U26</f>
        <v>184258.305723508</v>
      </c>
      <c r="V27" s="59" t="n">
        <f aca="false">V10-V22-V26</f>
        <v>223382.798022544</v>
      </c>
      <c r="W27" s="59" t="n">
        <f aca="false">W10-W22-W26</f>
        <v>227850.453982994</v>
      </c>
      <c r="X27" s="59" t="n">
        <f aca="false">X10-X22-X26</f>
        <v>232407.463062654</v>
      </c>
      <c r="Y27" s="59" t="n">
        <f aca="false">Y10-Y22-Y26</f>
        <v>237055.612323907</v>
      </c>
      <c r="Z27" s="59" t="n">
        <f aca="false">Z10-Z22-Z26</f>
        <v>241796.724570386</v>
      </c>
      <c r="AA27" s="59" t="n">
        <f aca="false">AA10-AA22-AA26</f>
        <v>246632.659061793</v>
      </c>
      <c r="AB27" s="59" t="n">
        <f aca="false">AB10-AB22-AB26</f>
        <v>251565.312243029</v>
      </c>
      <c r="AC27" s="59" t="n">
        <f aca="false">AC10-AC22-AC26</f>
        <v>256596.61848789</v>
      </c>
      <c r="AD27" s="59" t="n">
        <f aca="false">AD10-AD22-AD26</f>
        <v>261728.550857647</v>
      </c>
      <c r="AE27" s="59" t="n">
        <f aca="false">AE10-AE22-AE26</f>
        <v>266963.121874801</v>
      </c>
      <c r="AF27" s="59" t="n">
        <f aca="false">AF10-AF22-AF26</f>
        <v>272302.384312296</v>
      </c>
    </row>
    <row r="28" customFormat="false" ht="15" hidden="false" customHeight="true" outlineLevel="0" collapsed="false">
      <c r="B28" s="16" t="s">
        <v>434</v>
      </c>
      <c r="C28" s="63" t="n">
        <f aca="false">IF(C27&lt;0,1,0)</f>
        <v>0</v>
      </c>
      <c r="D28" s="63" t="n">
        <f aca="false">IF(D27&lt;0,1,0)</f>
        <v>0</v>
      </c>
      <c r="E28" s="63" t="n">
        <f aca="false">IF(E27&lt;0,1,0)</f>
        <v>0</v>
      </c>
      <c r="F28" s="63" t="n">
        <f aca="false">IF(F27&lt;0,1,0)</f>
        <v>0</v>
      </c>
      <c r="G28" s="63" t="n">
        <f aca="false">IF(G27&lt;0,1,0)</f>
        <v>0</v>
      </c>
      <c r="H28" s="63" t="n">
        <f aca="false">IF(H27&lt;0,1,0)</f>
        <v>0</v>
      </c>
      <c r="I28" s="63" t="n">
        <f aca="false">IF(I27&lt;0,1,0)</f>
        <v>0</v>
      </c>
      <c r="J28" s="63" t="n">
        <f aca="false">IF(J27&lt;0,1,0)</f>
        <v>0</v>
      </c>
      <c r="K28" s="63" t="n">
        <f aca="false">IF(K27&lt;0,1,0)</f>
        <v>0</v>
      </c>
      <c r="L28" s="63" t="n">
        <f aca="false">IF(L27&lt;0,1,0)</f>
        <v>0</v>
      </c>
      <c r="M28" s="63" t="n">
        <f aca="false">IF(M27&lt;0,1,0)</f>
        <v>0</v>
      </c>
      <c r="N28" s="63" t="n">
        <f aca="false">IF(N27&lt;0,1,0)</f>
        <v>0</v>
      </c>
      <c r="O28" s="63" t="n">
        <f aca="false">IF(O27&lt;0,1,0)</f>
        <v>0</v>
      </c>
      <c r="P28" s="63" t="n">
        <f aca="false">IF(P27&lt;0,1,0)</f>
        <v>0</v>
      </c>
      <c r="Q28" s="63" t="n">
        <f aca="false">IF(Q27&lt;0,1,0)</f>
        <v>0</v>
      </c>
      <c r="R28" s="63" t="n">
        <f aca="false">IF(R27&lt;0,1,0)</f>
        <v>0</v>
      </c>
      <c r="S28" s="63" t="n">
        <f aca="false">IF(S27&lt;0,1,0)</f>
        <v>0</v>
      </c>
      <c r="T28" s="63" t="n">
        <f aca="false">IF(T27&lt;0,1,0)</f>
        <v>0</v>
      </c>
      <c r="U28" s="63" t="n">
        <f aca="false">IF(U27&lt;0,1,0)</f>
        <v>0</v>
      </c>
      <c r="V28" s="63" t="n">
        <f aca="false">IF(V27&lt;0,1,0)</f>
        <v>0</v>
      </c>
      <c r="W28" s="63" t="n">
        <f aca="false">IF(W27&lt;0,1,0)</f>
        <v>0</v>
      </c>
      <c r="X28" s="63" t="n">
        <f aca="false">IF(X27&lt;0,1,0)</f>
        <v>0</v>
      </c>
      <c r="Y28" s="63" t="n">
        <f aca="false">IF(Y27&lt;0,1,0)</f>
        <v>0</v>
      </c>
      <c r="Z28" s="63" t="n">
        <f aca="false">IF(Z27&lt;0,1,0)</f>
        <v>0</v>
      </c>
      <c r="AA28" s="63" t="n">
        <f aca="false">IF(AA27&lt;0,1,0)</f>
        <v>0</v>
      </c>
      <c r="AB28" s="63" t="n">
        <f aca="false">IF(AB27&lt;0,1,0)</f>
        <v>0</v>
      </c>
      <c r="AC28" s="63" t="n">
        <f aca="false">IF(AC27&lt;0,1,0)</f>
        <v>0</v>
      </c>
      <c r="AD28" s="63" t="n">
        <f aca="false">IF(AD27&lt;0,1,0)</f>
        <v>0</v>
      </c>
      <c r="AE28" s="63" t="n">
        <f aca="false">IF(AE27&lt;0,1,0)</f>
        <v>0</v>
      </c>
      <c r="AF28" s="63" t="n">
        <f aca="false">IF(AF27&lt;0,1,0)</f>
        <v>0</v>
      </c>
    </row>
    <row r="29" customFormat="false" ht="15" hidden="false" customHeight="true" outlineLevel="0" collapsed="false">
      <c r="B29" s="56" t="s">
        <v>435</v>
      </c>
      <c r="C29" s="17" t="n">
        <f aca="false">MM_Income!C$15</f>
        <v>39000</v>
      </c>
      <c r="D29" s="17" t="n">
        <f aca="false">MM_Income!D$15</f>
        <v>36900</v>
      </c>
      <c r="E29" s="17" t="n">
        <f aca="false">MM_Income!E$15</f>
        <v>35976</v>
      </c>
      <c r="F29" s="17" t="n">
        <f aca="false">MM_Income!F$15</f>
        <v>35495.52</v>
      </c>
      <c r="G29" s="17" t="n">
        <f aca="false">MM_Income!G$15</f>
        <v>35005.4304</v>
      </c>
      <c r="H29" s="17" t="n">
        <f aca="false">MM_Income!H$15</f>
        <v>35705.539008</v>
      </c>
      <c r="I29" s="17" t="n">
        <f aca="false">MM_Income!I$15</f>
        <v>36419.64978816</v>
      </c>
      <c r="J29" s="17" t="n">
        <f aca="false">MM_Income!J$15</f>
        <v>37148.0427839232</v>
      </c>
      <c r="K29" s="17" t="n">
        <f aca="false">MM_Income!K$15</f>
        <v>37891.0036396017</v>
      </c>
      <c r="L29" s="17" t="n">
        <f aca="false">MM_Income!L$15</f>
        <v>38648.8237123937</v>
      </c>
      <c r="M29" s="17" t="n">
        <f aca="false">MM_Income!M$15</f>
        <v>39421.8001866416</v>
      </c>
      <c r="N29" s="17" t="n">
        <f aca="false">MM_Income!N$15</f>
        <v>40210.2361903744</v>
      </c>
      <c r="O29" s="17" t="n">
        <f aca="false">MM_Income!O$15</f>
        <v>41014.4409141819</v>
      </c>
      <c r="P29" s="17" t="n">
        <f aca="false">MM_Income!P$15</f>
        <v>41834.7297324655</v>
      </c>
      <c r="Q29" s="17" t="n">
        <f aca="false">MM_Income!Q$15</f>
        <v>42671.4243271148</v>
      </c>
      <c r="R29" s="17" t="n">
        <f aca="false">MM_Income!R$15</f>
        <v>43524.8528136571</v>
      </c>
      <c r="S29" s="17" t="n">
        <f aca="false">MM_Income!S$15</f>
        <v>44395.3498699303</v>
      </c>
      <c r="T29" s="17" t="n">
        <f aca="false">MM_Income!T$15</f>
        <v>45283.2568673289</v>
      </c>
      <c r="U29" s="17" t="n">
        <f aca="false">MM_Income!U$15</f>
        <v>46188.9220046755</v>
      </c>
      <c r="V29" s="17" t="n">
        <f aca="false">MM_Income!V$15</f>
        <v>47112.700444769</v>
      </c>
      <c r="W29" s="17" t="n">
        <f aca="false">MM_Income!W$15</f>
        <v>48054.9544536643</v>
      </c>
      <c r="X29" s="17" t="n">
        <f aca="false">MM_Income!X$15</f>
        <v>49016.0535427377</v>
      </c>
      <c r="Y29" s="17" t="n">
        <f aca="false">MM_Income!Y$15</f>
        <v>49996.3746135924</v>
      </c>
      <c r="Z29" s="17" t="n">
        <f aca="false">MM_Income!Z$15</f>
        <v>50996.3021058643</v>
      </c>
      <c r="AA29" s="17" t="n">
        <f aca="false">MM_Income!AA$15</f>
        <v>52016.2281479815</v>
      </c>
      <c r="AB29" s="17" t="n">
        <f aca="false">MM_Income!AB$15</f>
        <v>53056.5527109412</v>
      </c>
      <c r="AC29" s="17" t="n">
        <f aca="false">MM_Income!AC$15</f>
        <v>54117.68376516</v>
      </c>
      <c r="AD29" s="17" t="n">
        <f aca="false">MM_Income!AD$15</f>
        <v>55200.0374404632</v>
      </c>
      <c r="AE29" s="17" t="n">
        <f aca="false">MM_Income!AE$15</f>
        <v>56304.0381892725</v>
      </c>
      <c r="AF29" s="17" t="n">
        <f aca="false">MM_Income!AF$15</f>
        <v>57430.1189530579</v>
      </c>
    </row>
    <row r="30" customFormat="false" ht="15" hidden="false" customHeight="true" outlineLevel="0" collapsed="false">
      <c r="B30" s="56" t="s">
        <v>436</v>
      </c>
      <c r="C30" s="17" t="n">
        <f aca="false">DM_Income!C$15</f>
        <v>28800</v>
      </c>
      <c r="D30" s="17" t="n">
        <f aca="false">DM_Income!D$15</f>
        <v>27552</v>
      </c>
      <c r="E30" s="17" t="n">
        <f aca="false">DM_Income!E$15</f>
        <v>26254.08</v>
      </c>
      <c r="F30" s="17" t="n">
        <f aca="false">DM_Income!F$15</f>
        <v>25579.1616</v>
      </c>
      <c r="G30" s="17" t="n">
        <f aca="false">DM_Income!G$15</f>
        <v>24890.744832</v>
      </c>
      <c r="H30" s="17" t="n">
        <f aca="false">DM_Income!H$15</f>
        <v>25388.55972864</v>
      </c>
      <c r="I30" s="17" t="n">
        <f aca="false">DM_Income!I$15</f>
        <v>25896.3309232128</v>
      </c>
      <c r="J30" s="17" t="n">
        <f aca="false">DM_Income!J$15</f>
        <v>26414.257541677</v>
      </c>
      <c r="K30" s="17" t="n">
        <f aca="false">DM_Income!K$15</f>
        <v>26942.5426925106</v>
      </c>
      <c r="L30" s="17" t="n">
        <f aca="false">DM_Income!L$15</f>
        <v>27481.3935463608</v>
      </c>
      <c r="M30" s="17" t="n">
        <f aca="false">DM_Income!M$15</f>
        <v>28031.021417288</v>
      </c>
      <c r="N30" s="17" t="n">
        <f aca="false">DM_Income!N$15</f>
        <v>28591.6418456338</v>
      </c>
      <c r="O30" s="17" t="n">
        <f aca="false">DM_Income!O$15</f>
        <v>29163.4746825465</v>
      </c>
      <c r="P30" s="17" t="n">
        <f aca="false">DM_Income!P$15</f>
        <v>29746.7441761974</v>
      </c>
      <c r="Q30" s="17" t="n">
        <f aca="false">DM_Income!Q$15</f>
        <v>30341.6790597213</v>
      </c>
      <c r="R30" s="17" t="n">
        <f aca="false">DM_Income!R$15</f>
        <v>30948.5126409158</v>
      </c>
      <c r="S30" s="17" t="n">
        <f aca="false">DM_Income!S$15</f>
        <v>31567.4828937341</v>
      </c>
      <c r="T30" s="17" t="n">
        <f aca="false">DM_Income!T$15</f>
        <v>32198.8325516088</v>
      </c>
      <c r="U30" s="17" t="n">
        <f aca="false">DM_Income!U$15</f>
        <v>32842.8092026409</v>
      </c>
      <c r="V30" s="17" t="n">
        <f aca="false">DM_Income!V$15</f>
        <v>33499.6653866938</v>
      </c>
      <c r="W30" s="17" t="n">
        <f aca="false">DM_Income!W$15</f>
        <v>34169.6586944276</v>
      </c>
      <c r="X30" s="17" t="n">
        <f aca="false">DM_Income!X$15</f>
        <v>34853.0518683162</v>
      </c>
      <c r="Y30" s="17" t="n">
        <f aca="false">DM_Income!Y$15</f>
        <v>35550.1129056825</v>
      </c>
      <c r="Z30" s="17" t="n">
        <f aca="false">DM_Income!Z$15</f>
        <v>36261.1151637962</v>
      </c>
      <c r="AA30" s="17" t="n">
        <f aca="false">DM_Income!AA$15</f>
        <v>36986.3374670721</v>
      </c>
      <c r="AB30" s="17" t="n">
        <f aca="false">DM_Income!AB$15</f>
        <v>37726.0642164135</v>
      </c>
      <c r="AC30" s="17" t="n">
        <f aca="false">DM_Income!AC$15</f>
        <v>38480.5855007418</v>
      </c>
      <c r="AD30" s="17" t="n">
        <f aca="false">DM_Income!AD$15</f>
        <v>39250.1972107566</v>
      </c>
      <c r="AE30" s="17" t="n">
        <f aca="false">DM_Income!AE$15</f>
        <v>40035.2011549718</v>
      </c>
      <c r="AF30" s="17" t="n">
        <f aca="false">DM_Income!AF$15</f>
        <v>40835.9051780712</v>
      </c>
    </row>
    <row r="31" customFormat="false" ht="15" hidden="false" customHeight="true" outlineLevel="0" collapsed="false">
      <c r="B31" s="56" t="s">
        <v>437</v>
      </c>
      <c r="C31" s="20" t="n">
        <f aca="false">C29+C30</f>
        <v>67800</v>
      </c>
      <c r="D31" s="20" t="n">
        <f aca="false">D29+D30</f>
        <v>64452</v>
      </c>
      <c r="E31" s="20" t="n">
        <f aca="false">E29+E30</f>
        <v>62230.08</v>
      </c>
      <c r="F31" s="20" t="n">
        <f aca="false">F29+F30</f>
        <v>61074.6816</v>
      </c>
      <c r="G31" s="20" t="n">
        <f aca="false">G29+G30</f>
        <v>59896.175232</v>
      </c>
      <c r="H31" s="20" t="n">
        <f aca="false">H29+H30</f>
        <v>61094.09873664</v>
      </c>
      <c r="I31" s="20" t="n">
        <f aca="false">I29+I30</f>
        <v>62315.9807113728</v>
      </c>
      <c r="J31" s="20" t="n">
        <f aca="false">J29+J30</f>
        <v>63562.3003256002</v>
      </c>
      <c r="K31" s="20" t="n">
        <f aca="false">K29+K30</f>
        <v>64833.5463321122</v>
      </c>
      <c r="L31" s="20" t="n">
        <f aca="false">L29+L30</f>
        <v>66130.2172587545</v>
      </c>
      <c r="M31" s="20" t="n">
        <f aca="false">M29+M30</f>
        <v>67452.8216039296</v>
      </c>
      <c r="N31" s="20" t="n">
        <f aca="false">N29+N30</f>
        <v>68801.8780360082</v>
      </c>
      <c r="O31" s="20" t="n">
        <f aca="false">O29+O30</f>
        <v>70177.9155967284</v>
      </c>
      <c r="P31" s="20" t="n">
        <f aca="false">P29+P30</f>
        <v>71581.4739086629</v>
      </c>
      <c r="Q31" s="20" t="n">
        <f aca="false">Q29+Q30</f>
        <v>73013.1033868362</v>
      </c>
      <c r="R31" s="20" t="n">
        <f aca="false">R29+R30</f>
        <v>74473.3654545729</v>
      </c>
      <c r="S31" s="20" t="n">
        <f aca="false">S29+S30</f>
        <v>75962.8327636644</v>
      </c>
      <c r="T31" s="20" t="n">
        <f aca="false">T29+T30</f>
        <v>77482.0894189376</v>
      </c>
      <c r="U31" s="20" t="n">
        <f aca="false">U29+U30</f>
        <v>79031.7312073164</v>
      </c>
      <c r="V31" s="20" t="n">
        <f aca="false">V29+V30</f>
        <v>80612.3658314627</v>
      </c>
      <c r="W31" s="20" t="n">
        <f aca="false">W29+W30</f>
        <v>82224.613148092</v>
      </c>
      <c r="X31" s="20" t="n">
        <f aca="false">X29+X30</f>
        <v>83869.1054110538</v>
      </c>
      <c r="Y31" s="20" t="n">
        <f aca="false">Y29+Y30</f>
        <v>85546.4875192749</v>
      </c>
      <c r="Z31" s="20" t="n">
        <f aca="false">Z29+Z30</f>
        <v>87257.4172696604</v>
      </c>
      <c r="AA31" s="20" t="n">
        <f aca="false">AA29+AA30</f>
        <v>89002.5656150536</v>
      </c>
      <c r="AB31" s="20" t="n">
        <f aca="false">AB29+AB30</f>
        <v>90782.6169273547</v>
      </c>
      <c r="AC31" s="20" t="n">
        <f aca="false">AC29+AC30</f>
        <v>92598.2692659018</v>
      </c>
      <c r="AD31" s="20" t="n">
        <f aca="false">AD29+AD30</f>
        <v>94450.2346512198</v>
      </c>
      <c r="AE31" s="20" t="n">
        <f aca="false">AE29+AE30</f>
        <v>96339.2393442442</v>
      </c>
      <c r="AF31" s="20" t="n">
        <f aca="false">AF29+AF30</f>
        <v>98266.0241311291</v>
      </c>
    </row>
    <row r="32" customFormat="false" ht="15" hidden="false" customHeight="true" outlineLevel="0" collapsed="false">
      <c r="B32" s="56" t="s">
        <v>438</v>
      </c>
      <c r="C32" s="20" t="n">
        <f aca="false">(1-Tax_Bands!C$18)*C31</f>
        <v>54240</v>
      </c>
      <c r="D32" s="20" t="n">
        <f aca="false">(1-Tax_Bands!D$18)*D31</f>
        <v>51561.6</v>
      </c>
      <c r="E32" s="20" t="n">
        <f aca="false">(1-Tax_Bands!E$18)*E31</f>
        <v>49784.064</v>
      </c>
      <c r="F32" s="20" t="n">
        <f aca="false">(1-Tax_Bands!F$18)*F31</f>
        <v>48859.74528</v>
      </c>
      <c r="G32" s="20" t="n">
        <f aca="false">(1-Tax_Bands!G$18)*G31</f>
        <v>47916.9401856</v>
      </c>
      <c r="H32" s="20" t="n">
        <f aca="false">(1-Tax_Bands!H$18)*H31</f>
        <v>48875.278989312</v>
      </c>
      <c r="I32" s="20" t="n">
        <f aca="false">(1-Tax_Bands!I$18)*I31</f>
        <v>49852.7845690982</v>
      </c>
      <c r="J32" s="20" t="n">
        <f aca="false">(1-Tax_Bands!J$18)*J31</f>
        <v>50849.8402604802</v>
      </c>
      <c r="K32" s="20" t="n">
        <f aca="false">(1-Tax_Bands!K$18)*K31</f>
        <v>51866.8370656898</v>
      </c>
      <c r="L32" s="20" t="n">
        <f aca="false">(1-Tax_Bands!L$18)*L31</f>
        <v>52904.1738070036</v>
      </c>
      <c r="M32" s="20" t="n">
        <f aca="false">(1-Tax_Bands!M$18)*M31</f>
        <v>53962.2572831437</v>
      </c>
      <c r="N32" s="20" t="n">
        <f aca="false">(1-Tax_Bands!N$18)*N31</f>
        <v>55041.5024288066</v>
      </c>
      <c r="O32" s="20" t="n">
        <f aca="false">(1-Tax_Bands!O$18)*O31</f>
        <v>56142.3324773827</v>
      </c>
      <c r="P32" s="20" t="n">
        <f aca="false">(1-Tax_Bands!P$18)*P31</f>
        <v>57265.1791269303</v>
      </c>
      <c r="Q32" s="20" t="n">
        <f aca="false">(1-Tax_Bands!Q$18)*Q31</f>
        <v>58410.482709469</v>
      </c>
      <c r="R32" s="20" t="n">
        <f aca="false">(1-Tax_Bands!R$18)*R31</f>
        <v>59578.6923636583</v>
      </c>
      <c r="S32" s="20" t="n">
        <f aca="false">(1-Tax_Bands!S$18)*S31</f>
        <v>60770.2662109315</v>
      </c>
      <c r="T32" s="20" t="n">
        <f aca="false">(1-Tax_Bands!T$18)*T31</f>
        <v>61985.6715351501</v>
      </c>
      <c r="U32" s="20" t="n">
        <f aca="false">(1-Tax_Bands!U$18)*U31</f>
        <v>63225.3849658531</v>
      </c>
      <c r="V32" s="20" t="n">
        <f aca="false">(1-Tax_Bands!V$18)*V31</f>
        <v>64489.8926651702</v>
      </c>
      <c r="W32" s="20" t="n">
        <f aca="false">(1-Tax_Bands!W$18)*W31</f>
        <v>65779.6905184736</v>
      </c>
      <c r="X32" s="20" t="n">
        <f aca="false">(1-Tax_Bands!X$18)*X31</f>
        <v>67095.2843288431</v>
      </c>
      <c r="Y32" s="20" t="n">
        <f aca="false">(1-Tax_Bands!Y$18)*Y31</f>
        <v>68437.1900154199</v>
      </c>
      <c r="Z32" s="20" t="n">
        <f aca="false">(1-Tax_Bands!Z$18)*Z31</f>
        <v>69805.9338157283</v>
      </c>
      <c r="AA32" s="20" t="n">
        <f aca="false">(1-Tax_Bands!AA$18)*AA31</f>
        <v>71202.0524920429</v>
      </c>
      <c r="AB32" s="20" t="n">
        <f aca="false">(1-Tax_Bands!AB$18)*AB31</f>
        <v>72626.0935418838</v>
      </c>
      <c r="AC32" s="20" t="n">
        <f aca="false">(1-Tax_Bands!AC$18)*AC31</f>
        <v>74078.6154127214</v>
      </c>
      <c r="AD32" s="20" t="n">
        <f aca="false">(1-Tax_Bands!AD$18)*AD31</f>
        <v>75560.1877209759</v>
      </c>
      <c r="AE32" s="20" t="n">
        <f aca="false">(1-Tax_Bands!AE$18)*AE31</f>
        <v>77071.3914753954</v>
      </c>
      <c r="AF32" s="20" t="n">
        <f aca="false">(1-Tax_Bands!AF$18)*AF31</f>
        <v>78612.8193049033</v>
      </c>
    </row>
    <row r="33" customFormat="false" ht="15" hidden="false" customHeight="true" outlineLevel="0" collapsed="false">
      <c r="B33" s="16" t="s">
        <v>439</v>
      </c>
      <c r="C33" s="64" t="n">
        <f aca="false">IF(OR(C31&lt;=0,C27&lt;=0),0,MIN(1,C27/C32))</f>
        <v>1</v>
      </c>
      <c r="D33" s="64" t="n">
        <f aca="false">IF(OR(D31&lt;=0,D27&lt;=0),0,MIN(1,D27/D32))</f>
        <v>1</v>
      </c>
      <c r="E33" s="64" t="n">
        <f aca="false">IF(OR(E31&lt;=0,E27&lt;=0),0,MIN(1,E27/E32))</f>
        <v>1</v>
      </c>
      <c r="F33" s="64" t="n">
        <f aca="false">IF(OR(F31&lt;=0,F27&lt;=0),0,MIN(1,F27/F32))</f>
        <v>1</v>
      </c>
      <c r="G33" s="64" t="n">
        <f aca="false">IF(OR(G31&lt;=0,G27&lt;=0),0,MIN(1,G27/G32))</f>
        <v>1</v>
      </c>
      <c r="H33" s="64" t="n">
        <f aca="false">IF(OR(H31&lt;=0,H27&lt;=0),0,MIN(1,H27/H32))</f>
        <v>1</v>
      </c>
      <c r="I33" s="64" t="n">
        <f aca="false">IF(OR(I31&lt;=0,I27&lt;=0),0,MIN(1,I27/I32))</f>
        <v>1</v>
      </c>
      <c r="J33" s="64" t="n">
        <f aca="false">IF(OR(J31&lt;=0,J27&lt;=0),0,MIN(1,J27/J32))</f>
        <v>1</v>
      </c>
      <c r="K33" s="64" t="n">
        <f aca="false">IF(OR(K31&lt;=0,K27&lt;=0),0,MIN(1,K27/K32))</f>
        <v>1</v>
      </c>
      <c r="L33" s="64" t="n">
        <f aca="false">IF(OR(L31&lt;=0,L27&lt;=0),0,MIN(1,L27/L32))</f>
        <v>1</v>
      </c>
      <c r="M33" s="64" t="n">
        <f aca="false">IF(OR(M31&lt;=0,M27&lt;=0),0,MIN(1,M27/M32))</f>
        <v>1</v>
      </c>
      <c r="N33" s="64" t="n">
        <f aca="false">IF(OR(N31&lt;=0,N27&lt;=0),0,MIN(1,N27/N32))</f>
        <v>1</v>
      </c>
      <c r="O33" s="64" t="n">
        <f aca="false">IF(OR(O31&lt;=0,O27&lt;=0),0,MIN(1,O27/O32))</f>
        <v>1</v>
      </c>
      <c r="P33" s="64" t="n">
        <f aca="false">IF(OR(P31&lt;=0,P27&lt;=0),0,MIN(1,P27/P32))</f>
        <v>1</v>
      </c>
      <c r="Q33" s="64" t="n">
        <f aca="false">IF(OR(Q31&lt;=0,Q27&lt;=0),0,MIN(1,Q27/Q32))</f>
        <v>1</v>
      </c>
      <c r="R33" s="64" t="n">
        <f aca="false">IF(OR(R31&lt;=0,R27&lt;=0),0,MIN(1,R27/R32))</f>
        <v>1</v>
      </c>
      <c r="S33" s="64" t="n">
        <f aca="false">IF(OR(S31&lt;=0,S27&lt;=0),0,MIN(1,S27/S32))</f>
        <v>1</v>
      </c>
      <c r="T33" s="64" t="n">
        <f aca="false">IF(OR(T31&lt;=0,T27&lt;=0),0,MIN(1,T27/T32))</f>
        <v>1</v>
      </c>
      <c r="U33" s="64" t="n">
        <f aca="false">IF(OR(U31&lt;=0,U27&lt;=0),0,MIN(1,U27/U32))</f>
        <v>1</v>
      </c>
      <c r="V33" s="64" t="n">
        <f aca="false">IF(OR(V31&lt;=0,V27&lt;=0),0,MIN(1,V27/V32))</f>
        <v>1</v>
      </c>
      <c r="W33" s="64" t="n">
        <f aca="false">IF(OR(W31&lt;=0,W27&lt;=0),0,MIN(1,W27/W32))</f>
        <v>1</v>
      </c>
      <c r="X33" s="64" t="n">
        <f aca="false">IF(OR(X31&lt;=0,X27&lt;=0),0,MIN(1,X27/X32))</f>
        <v>1</v>
      </c>
      <c r="Y33" s="64" t="n">
        <f aca="false">IF(OR(Y31&lt;=0,Y27&lt;=0),0,MIN(1,Y27/Y32))</f>
        <v>1</v>
      </c>
      <c r="Z33" s="64" t="n">
        <f aca="false">IF(OR(Z31&lt;=0,Z27&lt;=0),0,MIN(1,Z27/Z32))</f>
        <v>1</v>
      </c>
      <c r="AA33" s="64" t="n">
        <f aca="false">IF(OR(AA31&lt;=0,AA27&lt;=0),0,MIN(1,AA27/AA32))</f>
        <v>1</v>
      </c>
      <c r="AB33" s="64" t="n">
        <f aca="false">IF(OR(AB31&lt;=0,AB27&lt;=0),0,MIN(1,AB27/AB32))</f>
        <v>1</v>
      </c>
      <c r="AC33" s="64" t="n">
        <f aca="false">IF(OR(AC31&lt;=0,AC27&lt;=0),0,MIN(1,AC27/AC32))</f>
        <v>1</v>
      </c>
      <c r="AD33" s="64" t="n">
        <f aca="false">IF(OR(AD31&lt;=0,AD27&lt;=0),0,MIN(1,AD27/AD32))</f>
        <v>1</v>
      </c>
      <c r="AE33" s="64" t="n">
        <f aca="false">IF(OR(AE31&lt;=0,AE27&lt;=0),0,MIN(1,AE27/AE32))</f>
        <v>1</v>
      </c>
      <c r="AF33" s="64" t="n">
        <f aca="false">IF(OR(AF31&lt;=0,AF27&lt;=0),0,MIN(1,AF27/AF32))</f>
        <v>1</v>
      </c>
    </row>
    <row r="34" customFormat="false" ht="15" hidden="false" customHeight="true" outlineLevel="0" collapsed="false">
      <c r="B34" s="16" t="s">
        <v>440</v>
      </c>
      <c r="C34" s="58" t="n">
        <f aca="false">C33*C29</f>
        <v>39000</v>
      </c>
      <c r="D34" s="58" t="n">
        <f aca="false">D33*D29</f>
        <v>36900</v>
      </c>
      <c r="E34" s="58" t="n">
        <f aca="false">E33*E29</f>
        <v>35976</v>
      </c>
      <c r="F34" s="58" t="n">
        <f aca="false">F33*F29</f>
        <v>35495.52</v>
      </c>
      <c r="G34" s="58" t="n">
        <f aca="false">G33*G29</f>
        <v>35005.4304</v>
      </c>
      <c r="H34" s="58" t="n">
        <f aca="false">H33*H29</f>
        <v>35705.539008</v>
      </c>
      <c r="I34" s="58" t="n">
        <f aca="false">I33*I29</f>
        <v>36419.64978816</v>
      </c>
      <c r="J34" s="58" t="n">
        <f aca="false">J33*J29</f>
        <v>37148.0427839232</v>
      </c>
      <c r="K34" s="58" t="n">
        <f aca="false">K33*K29</f>
        <v>37891.0036396017</v>
      </c>
      <c r="L34" s="58" t="n">
        <f aca="false">L33*L29</f>
        <v>38648.8237123937</v>
      </c>
      <c r="M34" s="58" t="n">
        <f aca="false">M33*M29</f>
        <v>39421.8001866416</v>
      </c>
      <c r="N34" s="58" t="n">
        <f aca="false">N33*N29</f>
        <v>40210.2361903744</v>
      </c>
      <c r="O34" s="58" t="n">
        <f aca="false">O33*O29</f>
        <v>41014.4409141819</v>
      </c>
      <c r="P34" s="58" t="n">
        <f aca="false">P33*P29</f>
        <v>41834.7297324655</v>
      </c>
      <c r="Q34" s="58" t="n">
        <f aca="false">Q33*Q29</f>
        <v>42671.4243271148</v>
      </c>
      <c r="R34" s="58" t="n">
        <f aca="false">R33*R29</f>
        <v>43524.8528136571</v>
      </c>
      <c r="S34" s="58" t="n">
        <f aca="false">S33*S29</f>
        <v>44395.3498699303</v>
      </c>
      <c r="T34" s="58" t="n">
        <f aca="false">T33*T29</f>
        <v>45283.2568673289</v>
      </c>
      <c r="U34" s="58" t="n">
        <f aca="false">U33*U29</f>
        <v>46188.9220046755</v>
      </c>
      <c r="V34" s="58" t="n">
        <f aca="false">V33*V29</f>
        <v>47112.700444769</v>
      </c>
      <c r="W34" s="58" t="n">
        <f aca="false">W33*W29</f>
        <v>48054.9544536643</v>
      </c>
      <c r="X34" s="58" t="n">
        <f aca="false">X33*X29</f>
        <v>49016.0535427377</v>
      </c>
      <c r="Y34" s="58" t="n">
        <f aca="false">Y33*Y29</f>
        <v>49996.3746135924</v>
      </c>
      <c r="Z34" s="58" t="n">
        <f aca="false">Z33*Z29</f>
        <v>50996.3021058643</v>
      </c>
      <c r="AA34" s="58" t="n">
        <f aca="false">AA33*AA29</f>
        <v>52016.2281479815</v>
      </c>
      <c r="AB34" s="58" t="n">
        <f aca="false">AB33*AB29</f>
        <v>53056.5527109412</v>
      </c>
      <c r="AC34" s="58" t="n">
        <f aca="false">AC33*AC29</f>
        <v>54117.68376516</v>
      </c>
      <c r="AD34" s="58" t="n">
        <f aca="false">AD33*AD29</f>
        <v>55200.0374404632</v>
      </c>
      <c r="AE34" s="58" t="n">
        <f aca="false">AE33*AE29</f>
        <v>56304.0381892725</v>
      </c>
      <c r="AF34" s="58" t="n">
        <f aca="false">AF33*AF29</f>
        <v>57430.1189530579</v>
      </c>
    </row>
    <row r="35" customFormat="false" ht="15" hidden="false" customHeight="true" outlineLevel="0" collapsed="false">
      <c r="B35" s="16" t="s">
        <v>441</v>
      </c>
      <c r="C35" s="58" t="n">
        <f aca="false">C33*C30</f>
        <v>28800</v>
      </c>
      <c r="D35" s="58" t="n">
        <f aca="false">D33*D30</f>
        <v>27552</v>
      </c>
      <c r="E35" s="58" t="n">
        <f aca="false">E33*E30</f>
        <v>26254.08</v>
      </c>
      <c r="F35" s="58" t="n">
        <f aca="false">F33*F30</f>
        <v>25579.1616</v>
      </c>
      <c r="G35" s="58" t="n">
        <f aca="false">G33*G30</f>
        <v>24890.744832</v>
      </c>
      <c r="H35" s="58" t="n">
        <f aca="false">H33*H30</f>
        <v>25388.55972864</v>
      </c>
      <c r="I35" s="58" t="n">
        <f aca="false">I33*I30</f>
        <v>25896.3309232128</v>
      </c>
      <c r="J35" s="58" t="n">
        <f aca="false">J33*J30</f>
        <v>26414.257541677</v>
      </c>
      <c r="K35" s="58" t="n">
        <f aca="false">K33*K30</f>
        <v>26942.5426925106</v>
      </c>
      <c r="L35" s="58" t="n">
        <f aca="false">L33*L30</f>
        <v>27481.3935463608</v>
      </c>
      <c r="M35" s="58" t="n">
        <f aca="false">M33*M30</f>
        <v>28031.021417288</v>
      </c>
      <c r="N35" s="58" t="n">
        <f aca="false">N33*N30</f>
        <v>28591.6418456338</v>
      </c>
      <c r="O35" s="58" t="n">
        <f aca="false">O33*O30</f>
        <v>29163.4746825465</v>
      </c>
      <c r="P35" s="58" t="n">
        <f aca="false">P33*P30</f>
        <v>29746.7441761974</v>
      </c>
      <c r="Q35" s="58" t="n">
        <f aca="false">Q33*Q30</f>
        <v>30341.6790597213</v>
      </c>
      <c r="R35" s="58" t="n">
        <f aca="false">R33*R30</f>
        <v>30948.5126409158</v>
      </c>
      <c r="S35" s="58" t="n">
        <f aca="false">S33*S30</f>
        <v>31567.4828937341</v>
      </c>
      <c r="T35" s="58" t="n">
        <f aca="false">T33*T30</f>
        <v>32198.8325516088</v>
      </c>
      <c r="U35" s="58" t="n">
        <f aca="false">U33*U30</f>
        <v>32842.8092026409</v>
      </c>
      <c r="V35" s="58" t="n">
        <f aca="false">V33*V30</f>
        <v>33499.6653866938</v>
      </c>
      <c r="W35" s="58" t="n">
        <f aca="false">W33*W30</f>
        <v>34169.6586944276</v>
      </c>
      <c r="X35" s="58" t="n">
        <f aca="false">X33*X30</f>
        <v>34853.0518683162</v>
      </c>
      <c r="Y35" s="58" t="n">
        <f aca="false">Y33*Y30</f>
        <v>35550.1129056825</v>
      </c>
      <c r="Z35" s="58" t="n">
        <f aca="false">Z33*Z30</f>
        <v>36261.1151637962</v>
      </c>
      <c r="AA35" s="58" t="n">
        <f aca="false">AA33*AA30</f>
        <v>36986.3374670721</v>
      </c>
      <c r="AB35" s="58" t="n">
        <f aca="false">AB33*AB30</f>
        <v>37726.0642164135</v>
      </c>
      <c r="AC35" s="58" t="n">
        <f aca="false">AC33*AC30</f>
        <v>38480.5855007418</v>
      </c>
      <c r="AD35" s="58" t="n">
        <f aca="false">AD33*AD30</f>
        <v>39250.1972107566</v>
      </c>
      <c r="AE35" s="58" t="n">
        <f aca="false">AE33*AE30</f>
        <v>40035.2011549718</v>
      </c>
      <c r="AF35" s="58" t="n">
        <f aca="false">AF33*AF30</f>
        <v>40835.9051780712</v>
      </c>
    </row>
    <row r="36" customFormat="false" ht="15" hidden="false" customHeight="true" outlineLevel="0" collapsed="false">
      <c r="B36" s="56" t="s">
        <v>442</v>
      </c>
      <c r="C36" s="20" t="n">
        <f aca="false">(1-Tax_Bands!C$18)*(C34+C35)</f>
        <v>54240</v>
      </c>
      <c r="D36" s="20" t="n">
        <f aca="false">(1-Tax_Bands!D$18)*(D34+D35)</f>
        <v>51561.6</v>
      </c>
      <c r="E36" s="20" t="n">
        <f aca="false">(1-Tax_Bands!E$18)*(E34+E35)</f>
        <v>49784.064</v>
      </c>
      <c r="F36" s="20" t="n">
        <f aca="false">(1-Tax_Bands!F$18)*(F34+F35)</f>
        <v>48859.74528</v>
      </c>
      <c r="G36" s="20" t="n">
        <f aca="false">(1-Tax_Bands!G$18)*(G34+G35)</f>
        <v>47916.9401856</v>
      </c>
      <c r="H36" s="20" t="n">
        <f aca="false">(1-Tax_Bands!H$18)*(H34+H35)</f>
        <v>48875.278989312</v>
      </c>
      <c r="I36" s="20" t="n">
        <f aca="false">(1-Tax_Bands!I$18)*(I34+I35)</f>
        <v>49852.7845690982</v>
      </c>
      <c r="J36" s="20" t="n">
        <f aca="false">(1-Tax_Bands!J$18)*(J34+J35)</f>
        <v>50849.8402604802</v>
      </c>
      <c r="K36" s="20" t="n">
        <f aca="false">(1-Tax_Bands!K$18)*(K34+K35)</f>
        <v>51866.8370656898</v>
      </c>
      <c r="L36" s="20" t="n">
        <f aca="false">(1-Tax_Bands!L$18)*(L34+L35)</f>
        <v>52904.1738070036</v>
      </c>
      <c r="M36" s="20" t="n">
        <f aca="false">(1-Tax_Bands!M$18)*(M34+M35)</f>
        <v>53962.2572831437</v>
      </c>
      <c r="N36" s="20" t="n">
        <f aca="false">(1-Tax_Bands!N$18)*(N34+N35)</f>
        <v>55041.5024288066</v>
      </c>
      <c r="O36" s="20" t="n">
        <f aca="false">(1-Tax_Bands!O$18)*(O34+O35)</f>
        <v>56142.3324773827</v>
      </c>
      <c r="P36" s="20" t="n">
        <f aca="false">(1-Tax_Bands!P$18)*(P34+P35)</f>
        <v>57265.1791269303</v>
      </c>
      <c r="Q36" s="20" t="n">
        <f aca="false">(1-Tax_Bands!Q$18)*(Q34+Q35)</f>
        <v>58410.482709469</v>
      </c>
      <c r="R36" s="20" t="n">
        <f aca="false">(1-Tax_Bands!R$18)*(R34+R35)</f>
        <v>59578.6923636583</v>
      </c>
      <c r="S36" s="20" t="n">
        <f aca="false">(1-Tax_Bands!S$18)*(S34+S35)</f>
        <v>60770.2662109315</v>
      </c>
      <c r="T36" s="20" t="n">
        <f aca="false">(1-Tax_Bands!T$18)*(T34+T35)</f>
        <v>61985.6715351501</v>
      </c>
      <c r="U36" s="20" t="n">
        <f aca="false">(1-Tax_Bands!U$18)*(U34+U35)</f>
        <v>63225.3849658531</v>
      </c>
      <c r="V36" s="20" t="n">
        <f aca="false">(1-Tax_Bands!V$18)*(V34+V35)</f>
        <v>64489.8926651702</v>
      </c>
      <c r="W36" s="20" t="n">
        <f aca="false">(1-Tax_Bands!W$18)*(W34+W35)</f>
        <v>65779.6905184736</v>
      </c>
      <c r="X36" s="20" t="n">
        <f aca="false">(1-Tax_Bands!X$18)*(X34+X35)</f>
        <v>67095.2843288431</v>
      </c>
      <c r="Y36" s="20" t="n">
        <f aca="false">(1-Tax_Bands!Y$18)*(Y34+Y35)</f>
        <v>68437.1900154199</v>
      </c>
      <c r="Z36" s="20" t="n">
        <f aca="false">(1-Tax_Bands!Z$18)*(Z34+Z35)</f>
        <v>69805.9338157283</v>
      </c>
      <c r="AA36" s="20" t="n">
        <f aca="false">(1-Tax_Bands!AA$18)*(AA34+AA35)</f>
        <v>71202.0524920429</v>
      </c>
      <c r="AB36" s="20" t="n">
        <f aca="false">(1-Tax_Bands!AB$18)*(AB34+AB35)</f>
        <v>72626.0935418838</v>
      </c>
      <c r="AC36" s="20" t="n">
        <f aca="false">(1-Tax_Bands!AC$18)*(AC34+AC35)</f>
        <v>74078.6154127214</v>
      </c>
      <c r="AD36" s="20" t="n">
        <f aca="false">(1-Tax_Bands!AD$18)*(AD34+AD35)</f>
        <v>75560.1877209759</v>
      </c>
      <c r="AE36" s="20" t="n">
        <f aca="false">(1-Tax_Bands!AE$18)*(AE34+AE35)</f>
        <v>77071.3914753954</v>
      </c>
      <c r="AF36" s="20" t="n">
        <f aca="false">(1-Tax_Bands!AF$18)*(AF34+AF35)</f>
        <v>78612.8193049033</v>
      </c>
    </row>
    <row r="37" customFormat="false" ht="15" hidden="false" customHeight="true" outlineLevel="0" collapsed="false">
      <c r="B37" s="56" t="s">
        <v>443</v>
      </c>
      <c r="C37" s="20" t="n">
        <f aca="false">C34</f>
        <v>39000</v>
      </c>
      <c r="D37" s="20" t="n">
        <f aca="false">D34</f>
        <v>36900</v>
      </c>
      <c r="E37" s="20" t="n">
        <f aca="false">E34</f>
        <v>35976</v>
      </c>
      <c r="F37" s="20" t="n">
        <f aca="false">F34</f>
        <v>35495.52</v>
      </c>
      <c r="G37" s="20" t="n">
        <f aca="false">G34</f>
        <v>35005.4304</v>
      </c>
      <c r="H37" s="20" t="n">
        <f aca="false">H34</f>
        <v>35705.539008</v>
      </c>
      <c r="I37" s="20" t="n">
        <f aca="false">I34</f>
        <v>36419.64978816</v>
      </c>
      <c r="J37" s="20" t="n">
        <f aca="false">J34</f>
        <v>37148.0427839232</v>
      </c>
      <c r="K37" s="20" t="n">
        <f aca="false">K34</f>
        <v>37891.0036396017</v>
      </c>
      <c r="L37" s="20" t="n">
        <f aca="false">L34</f>
        <v>38648.8237123937</v>
      </c>
      <c r="M37" s="20" t="n">
        <f aca="false">M34</f>
        <v>39421.8001866416</v>
      </c>
      <c r="N37" s="20" t="n">
        <f aca="false">N34</f>
        <v>40210.2361903744</v>
      </c>
      <c r="O37" s="20" t="n">
        <f aca="false">O34</f>
        <v>41014.4409141819</v>
      </c>
      <c r="P37" s="20" t="n">
        <f aca="false">P34</f>
        <v>41834.7297324655</v>
      </c>
      <c r="Q37" s="20" t="n">
        <f aca="false">Q34</f>
        <v>42671.4243271148</v>
      </c>
      <c r="R37" s="20" t="n">
        <f aca="false">R34</f>
        <v>43524.8528136571</v>
      </c>
      <c r="S37" s="20" t="n">
        <f aca="false">S34</f>
        <v>44395.3498699303</v>
      </c>
      <c r="T37" s="20" t="n">
        <f aca="false">T34</f>
        <v>45283.2568673289</v>
      </c>
      <c r="U37" s="20" t="n">
        <f aca="false">U34</f>
        <v>46188.9220046755</v>
      </c>
      <c r="V37" s="20" t="n">
        <f aca="false">V34</f>
        <v>47112.700444769</v>
      </c>
      <c r="W37" s="20" t="n">
        <f aca="false">W34</f>
        <v>48054.9544536643</v>
      </c>
      <c r="X37" s="20" t="n">
        <f aca="false">X34</f>
        <v>49016.0535427377</v>
      </c>
      <c r="Y37" s="20" t="n">
        <f aca="false">Y34</f>
        <v>49996.3746135924</v>
      </c>
      <c r="Z37" s="20" t="n">
        <f aca="false">Z34</f>
        <v>50996.3021058643</v>
      </c>
      <c r="AA37" s="20" t="n">
        <f aca="false">AA34</f>
        <v>52016.2281479815</v>
      </c>
      <c r="AB37" s="20" t="n">
        <f aca="false">AB34</f>
        <v>53056.5527109412</v>
      </c>
      <c r="AC37" s="20" t="n">
        <f aca="false">AC34</f>
        <v>54117.68376516</v>
      </c>
      <c r="AD37" s="20" t="n">
        <f aca="false">AD34</f>
        <v>55200.0374404632</v>
      </c>
      <c r="AE37" s="20" t="n">
        <f aca="false">AE34</f>
        <v>56304.0381892725</v>
      </c>
      <c r="AF37" s="20" t="n">
        <f aca="false">AF34</f>
        <v>57430.1189530579</v>
      </c>
    </row>
    <row r="38" customFormat="false" ht="15" hidden="false" customHeight="true" outlineLevel="0" collapsed="false">
      <c r="B38" s="56" t="s">
        <v>444</v>
      </c>
      <c r="C38" s="20" t="n">
        <f aca="false">C35</f>
        <v>28800</v>
      </c>
      <c r="D38" s="20" t="n">
        <f aca="false">D35</f>
        <v>27552</v>
      </c>
      <c r="E38" s="20" t="n">
        <f aca="false">E35</f>
        <v>26254.08</v>
      </c>
      <c r="F38" s="20" t="n">
        <f aca="false">F35</f>
        <v>25579.1616</v>
      </c>
      <c r="G38" s="20" t="n">
        <f aca="false">G35</f>
        <v>24890.744832</v>
      </c>
      <c r="H38" s="20" t="n">
        <f aca="false">H35</f>
        <v>25388.55972864</v>
      </c>
      <c r="I38" s="20" t="n">
        <f aca="false">I35</f>
        <v>25896.3309232128</v>
      </c>
      <c r="J38" s="20" t="n">
        <f aca="false">J35</f>
        <v>26414.257541677</v>
      </c>
      <c r="K38" s="20" t="n">
        <f aca="false">K35</f>
        <v>26942.5426925106</v>
      </c>
      <c r="L38" s="20" t="n">
        <f aca="false">L35</f>
        <v>27481.3935463608</v>
      </c>
      <c r="M38" s="20" t="n">
        <f aca="false">M35</f>
        <v>28031.021417288</v>
      </c>
      <c r="N38" s="20" t="n">
        <f aca="false">N35</f>
        <v>28591.6418456338</v>
      </c>
      <c r="O38" s="20" t="n">
        <f aca="false">O35</f>
        <v>29163.4746825465</v>
      </c>
      <c r="P38" s="20" t="n">
        <f aca="false">P35</f>
        <v>29746.7441761974</v>
      </c>
      <c r="Q38" s="20" t="n">
        <f aca="false">Q35</f>
        <v>30341.6790597213</v>
      </c>
      <c r="R38" s="20" t="n">
        <f aca="false">R35</f>
        <v>30948.5126409158</v>
      </c>
      <c r="S38" s="20" t="n">
        <f aca="false">S35</f>
        <v>31567.4828937341</v>
      </c>
      <c r="T38" s="20" t="n">
        <f aca="false">T35</f>
        <v>32198.8325516088</v>
      </c>
      <c r="U38" s="20" t="n">
        <f aca="false">U35</f>
        <v>32842.8092026409</v>
      </c>
      <c r="V38" s="20" t="n">
        <f aca="false">V35</f>
        <v>33499.6653866938</v>
      </c>
      <c r="W38" s="20" t="n">
        <f aca="false">W35</f>
        <v>34169.6586944276</v>
      </c>
      <c r="X38" s="20" t="n">
        <f aca="false">X35</f>
        <v>34853.0518683162</v>
      </c>
      <c r="Y38" s="20" t="n">
        <f aca="false">Y35</f>
        <v>35550.1129056825</v>
      </c>
      <c r="Z38" s="20" t="n">
        <f aca="false">Z35</f>
        <v>36261.1151637962</v>
      </c>
      <c r="AA38" s="20" t="n">
        <f aca="false">AA35</f>
        <v>36986.3374670721</v>
      </c>
      <c r="AB38" s="20" t="n">
        <f aca="false">AB35</f>
        <v>37726.0642164135</v>
      </c>
      <c r="AC38" s="20" t="n">
        <f aca="false">AC35</f>
        <v>38480.5855007418</v>
      </c>
      <c r="AD38" s="20" t="n">
        <f aca="false">AD35</f>
        <v>39250.1972107566</v>
      </c>
      <c r="AE38" s="20" t="n">
        <f aca="false">AE35</f>
        <v>40035.2011549718</v>
      </c>
      <c r="AF38" s="20" t="n">
        <f aca="false">AF35</f>
        <v>40835.9051780712</v>
      </c>
    </row>
    <row r="39" customFormat="false" ht="15" hidden="false" customHeight="true" outlineLevel="0" collapsed="false">
      <c r="B39" s="56" t="s">
        <v>354</v>
      </c>
      <c r="C39" s="17" t="n">
        <f aca="false">MM_Income!C$29+DM_Income!C$29</f>
        <v>17121</v>
      </c>
      <c r="D39" s="17" t="n">
        <f aca="false">MM_Income!D$29+DM_Income!D$29</f>
        <v>16113</v>
      </c>
      <c r="E39" s="17" t="n">
        <f aca="false">MM_Income!E$29+DM_Income!E$29</f>
        <v>15557.52</v>
      </c>
      <c r="F39" s="17" t="n">
        <f aca="false">MM_Income!F$29+DM_Income!F$29</f>
        <v>15268.6704</v>
      </c>
      <c r="G39" s="17" t="n">
        <f aca="false">MM_Income!G$29+DM_Income!G$29</f>
        <v>14974.043808</v>
      </c>
      <c r="H39" s="17" t="n">
        <f aca="false">MM_Income!H$29+DM_Income!H$29</f>
        <v>15273.52468416</v>
      </c>
      <c r="I39" s="17" t="n">
        <f aca="false">MM_Income!I$29+DM_Income!I$29</f>
        <v>15578.9951778432</v>
      </c>
      <c r="J39" s="17" t="n">
        <f aca="false">MM_Income!J$29+DM_Income!J$29</f>
        <v>15890.5750814001</v>
      </c>
      <c r="K39" s="17" t="n">
        <f aca="false">MM_Income!K$29+DM_Income!K$29</f>
        <v>16208.3865830281</v>
      </c>
      <c r="L39" s="17" t="n">
        <f aca="false">MM_Income!L$29+DM_Income!L$29</f>
        <v>16532.5543146886</v>
      </c>
      <c r="M39" s="17" t="n">
        <f aca="false">MM_Income!M$29+DM_Income!M$29</f>
        <v>16863.2054009824</v>
      </c>
      <c r="N39" s="17" t="n">
        <f aca="false">MM_Income!N$29+DM_Income!N$29</f>
        <v>17200.4695090021</v>
      </c>
      <c r="O39" s="17" t="n">
        <f aca="false">MM_Income!O$29+DM_Income!O$29</f>
        <v>17544.4788991821</v>
      </c>
      <c r="P39" s="17" t="n">
        <f aca="false">MM_Income!P$29+DM_Income!P$29</f>
        <v>17895.3684771657</v>
      </c>
      <c r="Q39" s="17" t="n">
        <f aca="false">MM_Income!Q$29+DM_Income!Q$29</f>
        <v>18253.275846709</v>
      </c>
      <c r="R39" s="17" t="n">
        <f aca="false">MM_Income!R$29+DM_Income!R$29</f>
        <v>18618.3413636432</v>
      </c>
      <c r="S39" s="17" t="n">
        <f aca="false">MM_Income!S$29+DM_Income!S$29</f>
        <v>18990.7081909161</v>
      </c>
      <c r="T39" s="17" t="n">
        <f aca="false">MM_Income!T$29+DM_Income!T$29</f>
        <v>19370.5223547344</v>
      </c>
      <c r="U39" s="17" t="n">
        <f aca="false">MM_Income!U$29+DM_Income!U$29</f>
        <v>19757.9328018291</v>
      </c>
      <c r="V39" s="17" t="n">
        <f aca="false">MM_Income!V$29+DM_Income!V$29</f>
        <v>20153.0914578657</v>
      </c>
      <c r="W39" s="17" t="n">
        <f aca="false">MM_Income!W$29+DM_Income!W$29</f>
        <v>20556.153287023</v>
      </c>
      <c r="X39" s="17" t="n">
        <f aca="false">MM_Income!X$29+DM_Income!X$29</f>
        <v>20967.2763527635</v>
      </c>
      <c r="Y39" s="17" t="n">
        <f aca="false">MM_Income!Y$29+DM_Income!Y$29</f>
        <v>21386.6218798187</v>
      </c>
      <c r="Z39" s="17" t="n">
        <f aca="false">MM_Income!Z$29+DM_Income!Z$29</f>
        <v>21814.3543174151</v>
      </c>
      <c r="AA39" s="17" t="n">
        <f aca="false">MM_Income!AA$29+DM_Income!AA$29</f>
        <v>22250.6414037634</v>
      </c>
      <c r="AB39" s="17" t="n">
        <f aca="false">MM_Income!AB$29+DM_Income!AB$29</f>
        <v>22695.6542318387</v>
      </c>
      <c r="AC39" s="17" t="n">
        <f aca="false">MM_Income!AC$29+DM_Income!AC$29</f>
        <v>23149.5673164755</v>
      </c>
      <c r="AD39" s="17" t="n">
        <f aca="false">MM_Income!AD$29+DM_Income!AD$29</f>
        <v>23612.558662805</v>
      </c>
      <c r="AE39" s="17" t="n">
        <f aca="false">MM_Income!AE$29+DM_Income!AE$29</f>
        <v>24084.809836061</v>
      </c>
      <c r="AF39" s="17" t="n">
        <f aca="false">MM_Income!AF$29+DM_Income!AF$29</f>
        <v>24566.5060327823</v>
      </c>
    </row>
    <row r="40" customFormat="false" ht="15" hidden="false" customHeight="true" outlineLevel="0" collapsed="false">
      <c r="B40" s="16" t="s">
        <v>445</v>
      </c>
      <c r="C40" s="59" t="n">
        <f aca="false">C27-C36+C39</f>
        <v>21423.8</v>
      </c>
      <c r="D40" s="59" t="n">
        <f aca="false">D27-D36+D39</f>
        <v>24982</v>
      </c>
      <c r="E40" s="59" t="n">
        <f aca="false">E27-E36+E39</f>
        <v>40079.648</v>
      </c>
      <c r="F40" s="59" t="n">
        <f aca="false">F27-F36+F39</f>
        <v>65919.59616</v>
      </c>
      <c r="G40" s="59" t="n">
        <f aca="false">G27-G36+G39</f>
        <v>77446.5320832</v>
      </c>
      <c r="H40" s="59" t="n">
        <f aca="false">H27-H36+H39</f>
        <v>79175.462724864</v>
      </c>
      <c r="I40" s="59" t="n">
        <f aca="false">I27-I36+I39</f>
        <v>89938.9719793614</v>
      </c>
      <c r="J40" s="59" t="n">
        <f aca="false">J27-J36+J39</f>
        <v>91737.7514189486</v>
      </c>
      <c r="K40" s="59" t="n">
        <f aca="false">K27-K36+K39</f>
        <v>115497.537355495</v>
      </c>
      <c r="L40" s="59" t="n">
        <f aca="false">L27-L36+L39</f>
        <v>117807.488102604</v>
      </c>
      <c r="M40" s="59" t="n">
        <f aca="false">M27-M36+M39</f>
        <v>120163.637864656</v>
      </c>
      <c r="N40" s="59" t="n">
        <f aca="false">N27-N36+N39</f>
        <v>122566.91062195</v>
      </c>
      <c r="O40" s="59" t="n">
        <f aca="false">O27-O36+O39</f>
        <v>125018.248834389</v>
      </c>
      <c r="P40" s="59" t="n">
        <f aca="false">P27-P36+P39</f>
        <v>127518.613811076</v>
      </c>
      <c r="Q40" s="59" t="n">
        <f aca="false">Q27-Q36+Q39</f>
        <v>130068.986087298</v>
      </c>
      <c r="R40" s="59" t="n">
        <f aca="false">R27-R36+R39</f>
        <v>132670.365809044</v>
      </c>
      <c r="S40" s="59" t="n">
        <f aca="false">S27-S36+S39</f>
        <v>135323.773125225</v>
      </c>
      <c r="T40" s="59" t="n">
        <f aca="false">T27-T36+T39</f>
        <v>138030.248587729</v>
      </c>
      <c r="U40" s="59" t="n">
        <f aca="false">U27-U36+U39</f>
        <v>140790.853559484</v>
      </c>
      <c r="V40" s="59" t="n">
        <f aca="false">V27-V36+V39</f>
        <v>179045.996815239</v>
      </c>
      <c r="W40" s="59" t="n">
        <f aca="false">W27-W36+W39</f>
        <v>182626.916751544</v>
      </c>
      <c r="X40" s="59" t="n">
        <f aca="false">X27-X36+X39</f>
        <v>186279.455086575</v>
      </c>
      <c r="Y40" s="59" t="n">
        <f aca="false">Y27-Y36+Y39</f>
        <v>190005.044188306</v>
      </c>
      <c r="Z40" s="59" t="n">
        <f aca="false">Z27-Z36+Z39</f>
        <v>193805.145072072</v>
      </c>
      <c r="AA40" s="59" t="n">
        <f aca="false">AA27-AA36+AA39</f>
        <v>197681.247973514</v>
      </c>
      <c r="AB40" s="59" t="n">
        <f aca="false">AB27-AB36+AB39</f>
        <v>201634.872932984</v>
      </c>
      <c r="AC40" s="59" t="n">
        <f aca="false">AC27-AC36+AC39</f>
        <v>205667.570391644</v>
      </c>
      <c r="AD40" s="59" t="n">
        <f aca="false">AD27-AD36+AD39</f>
        <v>209780.921799477</v>
      </c>
      <c r="AE40" s="59" t="n">
        <f aca="false">AE27-AE36+AE39</f>
        <v>213976.540235466</v>
      </c>
      <c r="AF40" s="59" t="n">
        <f aca="false">AF27-AF36+AF39</f>
        <v>218256.071040175</v>
      </c>
    </row>
    <row r="41" customFormat="false" ht="15" hidden="false" customHeight="true" outlineLevel="0" collapsed="false">
      <c r="B41" s="16" t="s">
        <v>446</v>
      </c>
      <c r="C41" s="58" t="n">
        <f aca="false">MIN(Tax_Bands!C$16,MAX(0,C40)/2)</f>
        <v>10711.9</v>
      </c>
      <c r="D41" s="58" t="n">
        <f aca="false">MIN(Tax_Bands!D$16,MAX(0,D40)/2)</f>
        <v>12491</v>
      </c>
      <c r="E41" s="58" t="n">
        <f aca="false">MIN(Tax_Bands!E$16,MAX(0,E40)/2)</f>
        <v>20000</v>
      </c>
      <c r="F41" s="58" t="n">
        <f aca="false">MIN(Tax_Bands!F$16,MAX(0,F40)/2)</f>
        <v>20000</v>
      </c>
      <c r="G41" s="58" t="n">
        <f aca="false">MIN(Tax_Bands!G$16,MAX(0,G40)/2)</f>
        <v>20000</v>
      </c>
      <c r="H41" s="58" t="n">
        <f aca="false">MIN(Tax_Bands!H$16,MAX(0,H40)/2)</f>
        <v>20400</v>
      </c>
      <c r="I41" s="58" t="n">
        <f aca="false">MIN(Tax_Bands!I$16,MAX(0,I40)/2)</f>
        <v>20808</v>
      </c>
      <c r="J41" s="58" t="n">
        <f aca="false">MIN(Tax_Bands!J$16,MAX(0,J40)/2)</f>
        <v>21224.16</v>
      </c>
      <c r="K41" s="58" t="n">
        <f aca="false">MIN(Tax_Bands!K$16,MAX(0,K40)/2)</f>
        <v>21648.6432</v>
      </c>
      <c r="L41" s="58" t="n">
        <f aca="false">MIN(Tax_Bands!L$16,MAX(0,L40)/2)</f>
        <v>22081.616064</v>
      </c>
      <c r="M41" s="58" t="n">
        <f aca="false">MIN(Tax_Bands!M$16,MAX(0,M40)/2)</f>
        <v>22523.24838528</v>
      </c>
      <c r="N41" s="58" t="n">
        <f aca="false">MIN(Tax_Bands!N$16,MAX(0,N40)/2)</f>
        <v>22973.7133529856</v>
      </c>
      <c r="O41" s="58" t="n">
        <f aca="false">MIN(Tax_Bands!O$16,MAX(0,O40)/2)</f>
        <v>23433.1876200453</v>
      </c>
      <c r="P41" s="58" t="n">
        <f aca="false">MIN(Tax_Bands!P$16,MAX(0,P40)/2)</f>
        <v>23901.8513724462</v>
      </c>
      <c r="Q41" s="58" t="n">
        <f aca="false">MIN(Tax_Bands!Q$16,MAX(0,Q40)/2)</f>
        <v>24379.8883998951</v>
      </c>
      <c r="R41" s="58" t="n">
        <f aca="false">MIN(Tax_Bands!R$16,MAX(0,R40)/2)</f>
        <v>24867.4861678931</v>
      </c>
      <c r="S41" s="58" t="n">
        <f aca="false">MIN(Tax_Bands!S$16,MAX(0,S40)/2)</f>
        <v>25364.8358912509</v>
      </c>
      <c r="T41" s="58" t="n">
        <f aca="false">MIN(Tax_Bands!T$16,MAX(0,T40)/2)</f>
        <v>25872.1326090759</v>
      </c>
      <c r="U41" s="58" t="n">
        <f aca="false">MIN(Tax_Bands!U$16,MAX(0,U40)/2)</f>
        <v>26389.5752612574</v>
      </c>
      <c r="V41" s="58" t="n">
        <f aca="false">MIN(Tax_Bands!V$16,MAX(0,V40)/2)</f>
        <v>26917.3667664826</v>
      </c>
      <c r="W41" s="58" t="n">
        <f aca="false">MIN(Tax_Bands!W$16,MAX(0,W40)/2)</f>
        <v>27455.7141018123</v>
      </c>
      <c r="X41" s="58" t="n">
        <f aca="false">MIN(Tax_Bands!X$16,MAX(0,X40)/2)</f>
        <v>28004.8283838485</v>
      </c>
      <c r="Y41" s="58" t="n">
        <f aca="false">MIN(Tax_Bands!Y$16,MAX(0,Y40)/2)</f>
        <v>28564.9249515255</v>
      </c>
      <c r="Z41" s="58" t="n">
        <f aca="false">MIN(Tax_Bands!Z$16,MAX(0,Z40)/2)</f>
        <v>29136.223450556</v>
      </c>
      <c r="AA41" s="58" t="n">
        <f aca="false">MIN(Tax_Bands!AA$16,MAX(0,AA40)/2)</f>
        <v>29718.9479195671</v>
      </c>
      <c r="AB41" s="58" t="n">
        <f aca="false">MIN(Tax_Bands!AB$16,MAX(0,AB40)/2)</f>
        <v>30313.3268779584</v>
      </c>
      <c r="AC41" s="58" t="n">
        <f aca="false">MIN(Tax_Bands!AC$16,MAX(0,AC40)/2)</f>
        <v>30919.5934155176</v>
      </c>
      <c r="AD41" s="58" t="n">
        <f aca="false">MIN(Tax_Bands!AD$16,MAX(0,AD40)/2)</f>
        <v>31537.985283828</v>
      </c>
      <c r="AE41" s="58" t="n">
        <f aca="false">MIN(Tax_Bands!AE$16,MAX(0,AE40)/2)</f>
        <v>32168.7449895045</v>
      </c>
      <c r="AF41" s="58" t="n">
        <f aca="false">MIN(Tax_Bands!AF$16,MAX(0,AF40)/2)</f>
        <v>32812.1198892946</v>
      </c>
    </row>
    <row r="42" customFormat="false" ht="15" hidden="false" customHeight="true" outlineLevel="0" collapsed="false">
      <c r="B42" s="16" t="s">
        <v>447</v>
      </c>
      <c r="C42" s="58" t="n">
        <f aca="false">MIN(Tax_Bands!C$16,MAX(0,C40)-C41)</f>
        <v>10711.9</v>
      </c>
      <c r="D42" s="58" t="n">
        <f aca="false">MIN(Tax_Bands!D$16,MAX(0,D40)-D41)</f>
        <v>12491</v>
      </c>
      <c r="E42" s="58" t="n">
        <f aca="false">MIN(Tax_Bands!E$16,MAX(0,E40)-E41)</f>
        <v>20000</v>
      </c>
      <c r="F42" s="58" t="n">
        <f aca="false">MIN(Tax_Bands!F$16,MAX(0,F40)-F41)</f>
        <v>20000</v>
      </c>
      <c r="G42" s="58" t="n">
        <f aca="false">MIN(Tax_Bands!G$16,MAX(0,G40)-G41)</f>
        <v>20000</v>
      </c>
      <c r="H42" s="58" t="n">
        <f aca="false">MIN(Tax_Bands!H$16,MAX(0,H40)-H41)</f>
        <v>20400</v>
      </c>
      <c r="I42" s="58" t="n">
        <f aca="false">MIN(Tax_Bands!I$16,MAX(0,I40)-I41)</f>
        <v>20808</v>
      </c>
      <c r="J42" s="58" t="n">
        <f aca="false">MIN(Tax_Bands!J$16,MAX(0,J40)-J41)</f>
        <v>21224.16</v>
      </c>
      <c r="K42" s="58" t="n">
        <f aca="false">MIN(Tax_Bands!K$16,MAX(0,K40)-K41)</f>
        <v>21648.6432</v>
      </c>
      <c r="L42" s="58" t="n">
        <f aca="false">MIN(Tax_Bands!L$16,MAX(0,L40)-L41)</f>
        <v>22081.616064</v>
      </c>
      <c r="M42" s="58" t="n">
        <f aca="false">MIN(Tax_Bands!M$16,MAX(0,M40)-M41)</f>
        <v>22523.24838528</v>
      </c>
      <c r="N42" s="58" t="n">
        <f aca="false">MIN(Tax_Bands!N$16,MAX(0,N40)-N41)</f>
        <v>22973.7133529856</v>
      </c>
      <c r="O42" s="58" t="n">
        <f aca="false">MIN(Tax_Bands!O$16,MAX(0,O40)-O41)</f>
        <v>23433.1876200453</v>
      </c>
      <c r="P42" s="58" t="n">
        <f aca="false">MIN(Tax_Bands!P$16,MAX(0,P40)-P41)</f>
        <v>23901.8513724462</v>
      </c>
      <c r="Q42" s="58" t="n">
        <f aca="false">MIN(Tax_Bands!Q$16,MAX(0,Q40)-Q41)</f>
        <v>24379.8883998951</v>
      </c>
      <c r="R42" s="58" t="n">
        <f aca="false">MIN(Tax_Bands!R$16,MAX(0,R40)-R41)</f>
        <v>24867.4861678931</v>
      </c>
      <c r="S42" s="58" t="n">
        <f aca="false">MIN(Tax_Bands!S$16,MAX(0,S40)-S41)</f>
        <v>25364.8358912509</v>
      </c>
      <c r="T42" s="58" t="n">
        <f aca="false">MIN(Tax_Bands!T$16,MAX(0,T40)-T41)</f>
        <v>25872.1326090759</v>
      </c>
      <c r="U42" s="58" t="n">
        <f aca="false">MIN(Tax_Bands!U$16,MAX(0,U40)-U41)</f>
        <v>26389.5752612574</v>
      </c>
      <c r="V42" s="58" t="n">
        <f aca="false">MIN(Tax_Bands!V$16,MAX(0,V40)-V41)</f>
        <v>26917.3667664826</v>
      </c>
      <c r="W42" s="58" t="n">
        <f aca="false">MIN(Tax_Bands!W$16,MAX(0,W40)-W41)</f>
        <v>27455.7141018123</v>
      </c>
      <c r="X42" s="58" t="n">
        <f aca="false">MIN(Tax_Bands!X$16,MAX(0,X40)-X41)</f>
        <v>28004.8283838485</v>
      </c>
      <c r="Y42" s="58" t="n">
        <f aca="false">MIN(Tax_Bands!Y$16,MAX(0,Y40)-Y41)</f>
        <v>28564.9249515255</v>
      </c>
      <c r="Z42" s="58" t="n">
        <f aca="false">MIN(Tax_Bands!Z$16,MAX(0,Z40)-Z41)</f>
        <v>29136.223450556</v>
      </c>
      <c r="AA42" s="58" t="n">
        <f aca="false">MIN(Tax_Bands!AA$16,MAX(0,AA40)-AA41)</f>
        <v>29718.9479195671</v>
      </c>
      <c r="AB42" s="58" t="n">
        <f aca="false">MIN(Tax_Bands!AB$16,MAX(0,AB40)-AB41)</f>
        <v>30313.3268779584</v>
      </c>
      <c r="AC42" s="58" t="n">
        <f aca="false">MIN(Tax_Bands!AC$16,MAX(0,AC40)-AC41)</f>
        <v>30919.5934155176</v>
      </c>
      <c r="AD42" s="58" t="n">
        <f aca="false">MIN(Tax_Bands!AD$16,MAX(0,AD40)-AD41)</f>
        <v>31537.985283828</v>
      </c>
      <c r="AE42" s="58" t="n">
        <f aca="false">MIN(Tax_Bands!AE$16,MAX(0,AE40)-AE41)</f>
        <v>32168.7449895045</v>
      </c>
      <c r="AF42" s="58" t="n">
        <f aca="false">MIN(Tax_Bands!AF$16,MAX(0,AF40)-AF41)</f>
        <v>32812.1198892946</v>
      </c>
    </row>
    <row r="43" customFormat="false" ht="15" hidden="false" customHeight="true" outlineLevel="0" collapsed="false">
      <c r="B43" s="56" t="s">
        <v>448</v>
      </c>
      <c r="C43" s="20" t="n">
        <f aca="false">C41+C42</f>
        <v>21423.8</v>
      </c>
      <c r="D43" s="20" t="n">
        <f aca="false">D41+D42</f>
        <v>24982</v>
      </c>
      <c r="E43" s="20" t="n">
        <f aca="false">E41+E42</f>
        <v>40000</v>
      </c>
      <c r="F43" s="20" t="n">
        <f aca="false">F41+F42</f>
        <v>40000</v>
      </c>
      <c r="G43" s="20" t="n">
        <f aca="false">G41+G42</f>
        <v>40000</v>
      </c>
      <c r="H43" s="20" t="n">
        <f aca="false">H41+H42</f>
        <v>40800</v>
      </c>
      <c r="I43" s="20" t="n">
        <f aca="false">I41+I42</f>
        <v>41616</v>
      </c>
      <c r="J43" s="20" t="n">
        <f aca="false">J41+J42</f>
        <v>42448.32</v>
      </c>
      <c r="K43" s="20" t="n">
        <f aca="false">K41+K42</f>
        <v>43297.2864</v>
      </c>
      <c r="L43" s="20" t="n">
        <f aca="false">L41+L42</f>
        <v>44163.232128</v>
      </c>
      <c r="M43" s="20" t="n">
        <f aca="false">M41+M42</f>
        <v>45046.49677056</v>
      </c>
      <c r="N43" s="20" t="n">
        <f aca="false">N41+N42</f>
        <v>45947.4267059712</v>
      </c>
      <c r="O43" s="20" t="n">
        <f aca="false">O41+O42</f>
        <v>46866.3752400906</v>
      </c>
      <c r="P43" s="20" t="n">
        <f aca="false">P41+P42</f>
        <v>47803.7027448924</v>
      </c>
      <c r="Q43" s="20" t="n">
        <f aca="false">Q41+Q42</f>
        <v>48759.7767997903</v>
      </c>
      <c r="R43" s="20" t="n">
        <f aca="false">R41+R42</f>
        <v>49734.9723357861</v>
      </c>
      <c r="S43" s="20" t="n">
        <f aca="false">S41+S42</f>
        <v>50729.6717825018</v>
      </c>
      <c r="T43" s="20" t="n">
        <f aca="false">T41+T42</f>
        <v>51744.2652181519</v>
      </c>
      <c r="U43" s="20" t="n">
        <f aca="false">U41+U42</f>
        <v>52779.1505225149</v>
      </c>
      <c r="V43" s="20" t="n">
        <f aca="false">V41+V42</f>
        <v>53834.7335329652</v>
      </c>
      <c r="W43" s="20" t="n">
        <f aca="false">W41+W42</f>
        <v>54911.4282036245</v>
      </c>
      <c r="X43" s="20" t="n">
        <f aca="false">X41+X42</f>
        <v>56009.656767697</v>
      </c>
      <c r="Y43" s="20" t="n">
        <f aca="false">Y41+Y42</f>
        <v>57129.8499030509</v>
      </c>
      <c r="Z43" s="20" t="n">
        <f aca="false">Z41+Z42</f>
        <v>58272.446901112</v>
      </c>
      <c r="AA43" s="20" t="n">
        <f aca="false">AA41+AA42</f>
        <v>59437.8958391342</v>
      </c>
      <c r="AB43" s="20" t="n">
        <f aca="false">AB41+AB42</f>
        <v>60626.6537559169</v>
      </c>
      <c r="AC43" s="20" t="n">
        <f aca="false">AC41+AC42</f>
        <v>61839.1868310352</v>
      </c>
      <c r="AD43" s="20" t="n">
        <f aca="false">AD41+AD42</f>
        <v>63075.9705676559</v>
      </c>
      <c r="AE43" s="20" t="n">
        <f aca="false">AE41+AE42</f>
        <v>64337.4899790091</v>
      </c>
      <c r="AF43" s="20" t="n">
        <f aca="false">AF41+AF42</f>
        <v>65624.2397785892</v>
      </c>
    </row>
    <row r="44" customFormat="false" ht="15" hidden="false" customHeight="true" outlineLevel="0" collapsed="false">
      <c r="B44" s="16" t="s">
        <v>449</v>
      </c>
      <c r="C44" s="59" t="n">
        <f aca="false">C40-C43</f>
        <v>0</v>
      </c>
      <c r="D44" s="59" t="n">
        <f aca="false">D40-D43</f>
        <v>0</v>
      </c>
      <c r="E44" s="59" t="n">
        <f aca="false">E40-E43</f>
        <v>79.6480000000447</v>
      </c>
      <c r="F44" s="59" t="n">
        <f aca="false">F40-F43</f>
        <v>25919.59616</v>
      </c>
      <c r="G44" s="59" t="n">
        <f aca="false">G40-G43</f>
        <v>37446.5320832</v>
      </c>
      <c r="H44" s="59" t="n">
        <f aca="false">H40-H43</f>
        <v>38375.462724864</v>
      </c>
      <c r="I44" s="59" t="n">
        <f aca="false">I40-I43</f>
        <v>48322.9719793614</v>
      </c>
      <c r="J44" s="59" t="n">
        <f aca="false">J40-J43</f>
        <v>49289.4314189486</v>
      </c>
      <c r="K44" s="59" t="n">
        <f aca="false">K40-K43</f>
        <v>72200.2509554945</v>
      </c>
      <c r="L44" s="59" t="n">
        <f aca="false">L40-L43</f>
        <v>73644.2559746043</v>
      </c>
      <c r="M44" s="59" t="n">
        <f aca="false">M40-M43</f>
        <v>75117.1410940964</v>
      </c>
      <c r="N44" s="59" t="n">
        <f aca="false">N40-N43</f>
        <v>76619.4839159784</v>
      </c>
      <c r="O44" s="59" t="n">
        <f aca="false">O40-O43</f>
        <v>78151.8735942979</v>
      </c>
      <c r="P44" s="59" t="n">
        <f aca="false">P40-P43</f>
        <v>79714.9110661839</v>
      </c>
      <c r="Q44" s="59" t="n">
        <f aca="false">Q40-Q43</f>
        <v>81309.2092875076</v>
      </c>
      <c r="R44" s="59" t="n">
        <f aca="false">R40-R43</f>
        <v>82935.3934732577</v>
      </c>
      <c r="S44" s="59" t="n">
        <f aca="false">S40-S43</f>
        <v>84594.1013427229</v>
      </c>
      <c r="T44" s="59" t="n">
        <f aca="false">T40-T43</f>
        <v>86285.9833695774</v>
      </c>
      <c r="U44" s="59" t="n">
        <f aca="false">U40-U43</f>
        <v>88011.703036969</v>
      </c>
      <c r="V44" s="59" t="n">
        <f aca="false">V40-V43</f>
        <v>125211.263282274</v>
      </c>
      <c r="W44" s="59" t="n">
        <f aca="false">W40-W43</f>
        <v>127715.488547919</v>
      </c>
      <c r="X44" s="59" t="n">
        <f aca="false">X40-X43</f>
        <v>130269.798318878</v>
      </c>
      <c r="Y44" s="59" t="n">
        <f aca="false">Y40-Y43</f>
        <v>132875.194285255</v>
      </c>
      <c r="Z44" s="59" t="n">
        <f aca="false">Z40-Z43</f>
        <v>135532.69817096</v>
      </c>
      <c r="AA44" s="59" t="n">
        <f aca="false">AA40-AA43</f>
        <v>138243.352134379</v>
      </c>
      <c r="AB44" s="59" t="n">
        <f aca="false">AB40-AB43</f>
        <v>141008.219177067</v>
      </c>
      <c r="AC44" s="59" t="n">
        <f aca="false">AC40-AC43</f>
        <v>143828.383560608</v>
      </c>
      <c r="AD44" s="59" t="n">
        <f aca="false">AD40-AD43</f>
        <v>146704.951231821</v>
      </c>
      <c r="AE44" s="59" t="n">
        <f aca="false">AE40-AE43</f>
        <v>149639.050256457</v>
      </c>
      <c r="AF44" s="59" t="n">
        <f aca="false">AF40-AF43</f>
        <v>152631.831261586</v>
      </c>
    </row>
    <row r="45" customFormat="false" ht="15" hidden="false" customHeight="true" outlineLevel="0" collapsed="false">
      <c r="A45" s="30" t="s">
        <v>450</v>
      </c>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customFormat="false" ht="15" hidden="false" customHeight="true" outlineLevel="0" collapsed="false">
      <c r="B46" s="16" t="s">
        <v>451</v>
      </c>
      <c r="C46" s="58" t="n">
        <f aca="false">MM_Income!C$12+DM_Income!C$12+C34+C35</f>
        <v>120000</v>
      </c>
      <c r="D46" s="58" t="n">
        <f aca="false">MM_Income!D$12+DM_Income!D$12+D34+D35</f>
        <v>120000</v>
      </c>
      <c r="E46" s="58" t="n">
        <f aca="false">MM_Income!E$12+DM_Income!E$12+E34+E35</f>
        <v>120000</v>
      </c>
      <c r="F46" s="58" t="n">
        <f aca="false">MM_Income!F$12+DM_Income!F$12+F34+F35</f>
        <v>120000</v>
      </c>
      <c r="G46" s="58" t="n">
        <f aca="false">MM_Income!G$12+DM_Income!G$12+G34+G35</f>
        <v>120000</v>
      </c>
      <c r="H46" s="58" t="n">
        <f aca="false">MM_Income!H$12+DM_Income!H$12+H34+H35</f>
        <v>122400</v>
      </c>
      <c r="I46" s="58" t="n">
        <f aca="false">MM_Income!I$12+DM_Income!I$12+I34+I35</f>
        <v>124848</v>
      </c>
      <c r="J46" s="58" t="n">
        <f aca="false">MM_Income!J$12+DM_Income!J$12+J34+J35</f>
        <v>127344.96</v>
      </c>
      <c r="K46" s="58" t="n">
        <f aca="false">MM_Income!K$12+DM_Income!K$12+K34+K35</f>
        <v>129891.8592</v>
      </c>
      <c r="L46" s="58" t="n">
        <f aca="false">MM_Income!L$12+DM_Income!L$12+L34+L35</f>
        <v>132489.696384</v>
      </c>
      <c r="M46" s="58" t="n">
        <f aca="false">MM_Income!M$12+DM_Income!M$12+M34+M35</f>
        <v>135139.49031168</v>
      </c>
      <c r="N46" s="58" t="n">
        <f aca="false">MM_Income!N$12+DM_Income!N$12+N34+N35</f>
        <v>137842.280117914</v>
      </c>
      <c r="O46" s="58" t="n">
        <f aca="false">MM_Income!O$12+DM_Income!O$12+O34+O35</f>
        <v>140599.125720272</v>
      </c>
      <c r="P46" s="58" t="n">
        <f aca="false">MM_Income!P$12+DM_Income!P$12+P34+P35</f>
        <v>143411.108234677</v>
      </c>
      <c r="Q46" s="58" t="n">
        <f aca="false">MM_Income!Q$12+DM_Income!Q$12+Q34+Q35</f>
        <v>146279.330399371</v>
      </c>
      <c r="R46" s="58" t="n">
        <f aca="false">MM_Income!R$12+DM_Income!R$12+R34+R35</f>
        <v>149204.917007358</v>
      </c>
      <c r="S46" s="58" t="n">
        <f aca="false">MM_Income!S$12+DM_Income!S$12+S34+S35</f>
        <v>152189.015347505</v>
      </c>
      <c r="T46" s="58" t="n">
        <f aca="false">MM_Income!T$12+DM_Income!T$12+T34+T35</f>
        <v>155232.795654456</v>
      </c>
      <c r="U46" s="58" t="n">
        <f aca="false">MM_Income!U$12+DM_Income!U$12+U34+U35</f>
        <v>158337.451567545</v>
      </c>
      <c r="V46" s="58" t="n">
        <f aca="false">MM_Income!V$12+DM_Income!V$12+V34+V35</f>
        <v>161504.200598896</v>
      </c>
      <c r="W46" s="58" t="n">
        <f aca="false">MM_Income!W$12+DM_Income!W$12+W34+W35</f>
        <v>164734.284610874</v>
      </c>
      <c r="X46" s="58" t="n">
        <f aca="false">MM_Income!X$12+DM_Income!X$12+X34+X35</f>
        <v>168028.970303091</v>
      </c>
      <c r="Y46" s="58" t="n">
        <f aca="false">MM_Income!Y$12+DM_Income!Y$12+Y34+Y35</f>
        <v>171389.549709153</v>
      </c>
      <c r="Z46" s="58" t="n">
        <f aca="false">MM_Income!Z$12+DM_Income!Z$12+Z34+Z35</f>
        <v>174817.340703336</v>
      </c>
      <c r="AA46" s="58" t="n">
        <f aca="false">MM_Income!AA$12+DM_Income!AA$12+AA34+AA35</f>
        <v>178313.687517403</v>
      </c>
      <c r="AB46" s="58" t="n">
        <f aca="false">MM_Income!AB$12+DM_Income!AB$12+AB34+AB35</f>
        <v>181879.961267751</v>
      </c>
      <c r="AC46" s="58" t="n">
        <f aca="false">MM_Income!AC$12+DM_Income!AC$12+AC34+AC35</f>
        <v>185517.560493106</v>
      </c>
      <c r="AD46" s="58" t="n">
        <f aca="false">MM_Income!AD$12+DM_Income!AD$12+AD34+AD35</f>
        <v>189227.911702968</v>
      </c>
      <c r="AE46" s="58" t="n">
        <f aca="false">MM_Income!AE$12+DM_Income!AE$12+AE34+AE35</f>
        <v>193012.469937027</v>
      </c>
      <c r="AF46" s="58" t="n">
        <f aca="false">MM_Income!AF$12+DM_Income!AF$12+AF34+AF35</f>
        <v>196872.719335768</v>
      </c>
    </row>
    <row r="47" customFormat="false" ht="15" hidden="false" customHeight="true" outlineLevel="0" collapsed="false">
      <c r="B47" s="16" t="s">
        <v>452</v>
      </c>
      <c r="C47" s="58" t="n">
        <f aca="false">C43</f>
        <v>21423.8</v>
      </c>
      <c r="D47" s="58" t="n">
        <f aca="false">D43</f>
        <v>24982</v>
      </c>
      <c r="E47" s="58" t="n">
        <f aca="false">E43</f>
        <v>40000</v>
      </c>
      <c r="F47" s="58" t="n">
        <f aca="false">F43</f>
        <v>40000</v>
      </c>
      <c r="G47" s="58" t="n">
        <f aca="false">G43</f>
        <v>40000</v>
      </c>
      <c r="H47" s="58" t="n">
        <f aca="false">H43</f>
        <v>40800</v>
      </c>
      <c r="I47" s="58" t="n">
        <f aca="false">I43</f>
        <v>41616</v>
      </c>
      <c r="J47" s="58" t="n">
        <f aca="false">J43</f>
        <v>42448.32</v>
      </c>
      <c r="K47" s="58" t="n">
        <f aca="false">K43</f>
        <v>43297.2864</v>
      </c>
      <c r="L47" s="58" t="n">
        <f aca="false">L43</f>
        <v>44163.232128</v>
      </c>
      <c r="M47" s="58" t="n">
        <f aca="false">M43</f>
        <v>45046.49677056</v>
      </c>
      <c r="N47" s="58" t="n">
        <f aca="false">N43</f>
        <v>45947.4267059712</v>
      </c>
      <c r="O47" s="58" t="n">
        <f aca="false">O43</f>
        <v>46866.3752400906</v>
      </c>
      <c r="P47" s="58" t="n">
        <f aca="false">P43</f>
        <v>47803.7027448924</v>
      </c>
      <c r="Q47" s="58" t="n">
        <f aca="false">Q43</f>
        <v>48759.7767997903</v>
      </c>
      <c r="R47" s="58" t="n">
        <f aca="false">R43</f>
        <v>49734.9723357861</v>
      </c>
      <c r="S47" s="58" t="n">
        <f aca="false">S43</f>
        <v>50729.6717825018</v>
      </c>
      <c r="T47" s="58" t="n">
        <f aca="false">T43</f>
        <v>51744.2652181519</v>
      </c>
      <c r="U47" s="58" t="n">
        <f aca="false">U43</f>
        <v>52779.1505225149</v>
      </c>
      <c r="V47" s="58" t="n">
        <f aca="false">V43</f>
        <v>53834.7335329652</v>
      </c>
      <c r="W47" s="58" t="n">
        <f aca="false">W43</f>
        <v>54911.4282036245</v>
      </c>
      <c r="X47" s="58" t="n">
        <f aca="false">X43</f>
        <v>56009.656767697</v>
      </c>
      <c r="Y47" s="58" t="n">
        <f aca="false">Y43</f>
        <v>57129.8499030509</v>
      </c>
      <c r="Z47" s="58" t="n">
        <f aca="false">Z43</f>
        <v>58272.446901112</v>
      </c>
      <c r="AA47" s="58" t="n">
        <f aca="false">AA43</f>
        <v>59437.8958391342</v>
      </c>
      <c r="AB47" s="58" t="n">
        <f aca="false">AB43</f>
        <v>60626.6537559169</v>
      </c>
      <c r="AC47" s="58" t="n">
        <f aca="false">AC43</f>
        <v>61839.1868310352</v>
      </c>
      <c r="AD47" s="58" t="n">
        <f aca="false">AD43</f>
        <v>63075.9705676559</v>
      </c>
      <c r="AE47" s="58" t="n">
        <f aca="false">AE43</f>
        <v>64337.4899790091</v>
      </c>
      <c r="AF47" s="58" t="n">
        <f aca="false">AF43</f>
        <v>65624.2397785892</v>
      </c>
    </row>
    <row r="48" customFormat="false" ht="15" hidden="false" customHeight="true" outlineLevel="0" collapsed="false">
      <c r="B48" s="16" t="s">
        <v>453</v>
      </c>
      <c r="C48" s="58" t="n">
        <f aca="false">C26</f>
        <v>18000</v>
      </c>
      <c r="D48" s="58" t="n">
        <f aca="false">D26</f>
        <v>18000</v>
      </c>
      <c r="E48" s="58" t="n">
        <f aca="false">E26</f>
        <v>18000</v>
      </c>
      <c r="F48" s="58" t="n">
        <f aca="false">F26</f>
        <v>18000</v>
      </c>
      <c r="G48" s="58" t="n">
        <f aca="false">G26</f>
        <v>9000</v>
      </c>
      <c r="H48" s="58" t="n">
        <f aca="false">H26</f>
        <v>9000</v>
      </c>
      <c r="I48" s="58" t="n">
        <f aca="false">I26</f>
        <v>0</v>
      </c>
      <c r="J48" s="58" t="n">
        <f aca="false">J26</f>
        <v>0</v>
      </c>
      <c r="K48" s="58" t="n">
        <f aca="false">K26</f>
        <v>0</v>
      </c>
      <c r="L48" s="58" t="n">
        <f aca="false">L26</f>
        <v>0</v>
      </c>
      <c r="M48" s="58" t="n">
        <f aca="false">M26</f>
        <v>0</v>
      </c>
      <c r="N48" s="58" t="n">
        <f aca="false">N26</f>
        <v>0</v>
      </c>
      <c r="O48" s="58" t="n">
        <f aca="false">O26</f>
        <v>0</v>
      </c>
      <c r="P48" s="58" t="n">
        <f aca="false">P26</f>
        <v>0</v>
      </c>
      <c r="Q48" s="58" t="n">
        <f aca="false">Q26</f>
        <v>0</v>
      </c>
      <c r="R48" s="58" t="n">
        <f aca="false">R26</f>
        <v>0</v>
      </c>
      <c r="S48" s="58" t="n">
        <f aca="false">S26</f>
        <v>0</v>
      </c>
      <c r="T48" s="58" t="n">
        <f aca="false">T26</f>
        <v>0</v>
      </c>
      <c r="U48" s="58" t="n">
        <f aca="false">U26</f>
        <v>0</v>
      </c>
      <c r="V48" s="58" t="n">
        <f aca="false">V26</f>
        <v>0</v>
      </c>
      <c r="W48" s="58" t="n">
        <f aca="false">W26</f>
        <v>0</v>
      </c>
      <c r="X48" s="58" t="n">
        <f aca="false">X26</f>
        <v>0</v>
      </c>
      <c r="Y48" s="58" t="n">
        <f aca="false">Y26</f>
        <v>0</v>
      </c>
      <c r="Z48" s="58" t="n">
        <f aca="false">Z26</f>
        <v>0</v>
      </c>
      <c r="AA48" s="58" t="n">
        <f aca="false">AA26</f>
        <v>0</v>
      </c>
      <c r="AB48" s="58" t="n">
        <f aca="false">AB26</f>
        <v>0</v>
      </c>
      <c r="AC48" s="58" t="n">
        <f aca="false">AC26</f>
        <v>0</v>
      </c>
      <c r="AD48" s="58" t="n">
        <f aca="false">AD26</f>
        <v>0</v>
      </c>
      <c r="AE48" s="58" t="n">
        <f aca="false">AE26</f>
        <v>0</v>
      </c>
      <c r="AF48" s="58" t="n">
        <f aca="false">AF26</f>
        <v>0</v>
      </c>
    </row>
    <row r="49" customFormat="false" ht="15" hidden="false" customHeight="true" outlineLevel="0" collapsed="false">
      <c r="B49" s="16" t="s">
        <v>454</v>
      </c>
      <c r="C49" s="58" t="n">
        <f aca="false">C44</f>
        <v>0</v>
      </c>
      <c r="D49" s="58" t="n">
        <f aca="false">D44</f>
        <v>0</v>
      </c>
      <c r="E49" s="58" t="n">
        <f aca="false">E44</f>
        <v>79.6480000000447</v>
      </c>
      <c r="F49" s="58" t="n">
        <f aca="false">F44</f>
        <v>25919.59616</v>
      </c>
      <c r="G49" s="58" t="n">
        <f aca="false">G44</f>
        <v>37446.5320832</v>
      </c>
      <c r="H49" s="58" t="n">
        <f aca="false">H44</f>
        <v>38375.462724864</v>
      </c>
      <c r="I49" s="58" t="n">
        <f aca="false">I44</f>
        <v>48322.9719793614</v>
      </c>
      <c r="J49" s="58" t="n">
        <f aca="false">J44</f>
        <v>49289.4314189486</v>
      </c>
      <c r="K49" s="58" t="n">
        <f aca="false">K44</f>
        <v>72200.2509554945</v>
      </c>
      <c r="L49" s="58" t="n">
        <f aca="false">L44</f>
        <v>73644.2559746043</v>
      </c>
      <c r="M49" s="58" t="n">
        <f aca="false">M44</f>
        <v>75117.1410940964</v>
      </c>
      <c r="N49" s="58" t="n">
        <f aca="false">N44</f>
        <v>76619.4839159784</v>
      </c>
      <c r="O49" s="58" t="n">
        <f aca="false">O44</f>
        <v>78151.8735942979</v>
      </c>
      <c r="P49" s="58" t="n">
        <f aca="false">P44</f>
        <v>79714.9110661839</v>
      </c>
      <c r="Q49" s="58" t="n">
        <f aca="false">Q44</f>
        <v>81309.2092875076</v>
      </c>
      <c r="R49" s="58" t="n">
        <f aca="false">R44</f>
        <v>82935.3934732577</v>
      </c>
      <c r="S49" s="58" t="n">
        <f aca="false">S44</f>
        <v>84594.1013427229</v>
      </c>
      <c r="T49" s="58" t="n">
        <f aca="false">T44</f>
        <v>86285.9833695774</v>
      </c>
      <c r="U49" s="58" t="n">
        <f aca="false">U44</f>
        <v>88011.703036969</v>
      </c>
      <c r="V49" s="58" t="n">
        <f aca="false">V44</f>
        <v>125211.263282274</v>
      </c>
      <c r="W49" s="58" t="n">
        <f aca="false">W44</f>
        <v>127715.488547919</v>
      </c>
      <c r="X49" s="58" t="n">
        <f aca="false">X44</f>
        <v>130269.798318878</v>
      </c>
      <c r="Y49" s="58" t="n">
        <f aca="false">Y44</f>
        <v>132875.194285255</v>
      </c>
      <c r="Z49" s="58" t="n">
        <f aca="false">Z44</f>
        <v>135532.69817096</v>
      </c>
      <c r="AA49" s="58" t="n">
        <f aca="false">AA44</f>
        <v>138243.352134379</v>
      </c>
      <c r="AB49" s="58" t="n">
        <f aca="false">AB44</f>
        <v>141008.219177067</v>
      </c>
      <c r="AC49" s="58" t="n">
        <f aca="false">AC44</f>
        <v>143828.383560608</v>
      </c>
      <c r="AD49" s="58" t="n">
        <f aca="false">AD44</f>
        <v>146704.951231821</v>
      </c>
      <c r="AE49" s="58" t="n">
        <f aca="false">AE44</f>
        <v>149639.050256457</v>
      </c>
      <c r="AF49" s="58" t="n">
        <f aca="false">AF44</f>
        <v>152631.831261586</v>
      </c>
    </row>
    <row r="50" customFormat="false" ht="15" hidden="false" customHeight="true" outlineLevel="0" collapsed="false">
      <c r="B50" s="16" t="s">
        <v>455</v>
      </c>
      <c r="C50" s="59" t="n">
        <f aca="false">SUM(C46:C49)</f>
        <v>159423.8</v>
      </c>
      <c r="D50" s="59" t="n">
        <f aca="false">SUM(D46:D49)</f>
        <v>162982</v>
      </c>
      <c r="E50" s="59" t="n">
        <f aca="false">SUM(E46:E49)</f>
        <v>178079.648</v>
      </c>
      <c r="F50" s="59" t="n">
        <f aca="false">SUM(F46:F49)</f>
        <v>203919.59616</v>
      </c>
      <c r="G50" s="59" t="n">
        <f aca="false">SUM(G46:G49)</f>
        <v>206446.5320832</v>
      </c>
      <c r="H50" s="59" t="n">
        <f aca="false">SUM(H46:H49)</f>
        <v>210575.462724864</v>
      </c>
      <c r="I50" s="59" t="n">
        <f aca="false">SUM(I46:I49)</f>
        <v>214786.971979361</v>
      </c>
      <c r="J50" s="59" t="n">
        <f aca="false">SUM(J46:J49)</f>
        <v>219082.711418949</v>
      </c>
      <c r="K50" s="59" t="n">
        <f aca="false">SUM(K46:K49)</f>
        <v>245389.396555495</v>
      </c>
      <c r="L50" s="59" t="n">
        <f aca="false">SUM(L46:L49)</f>
        <v>250297.184486604</v>
      </c>
      <c r="M50" s="59" t="n">
        <f aca="false">SUM(M46:M49)</f>
        <v>255303.128176336</v>
      </c>
      <c r="N50" s="59" t="n">
        <f aca="false">SUM(N46:N49)</f>
        <v>260409.190739863</v>
      </c>
      <c r="O50" s="59" t="n">
        <f aca="false">SUM(O46:O49)</f>
        <v>265617.37455466</v>
      </c>
      <c r="P50" s="59" t="n">
        <f aca="false">SUM(P46:P49)</f>
        <v>270929.722045754</v>
      </c>
      <c r="Q50" s="59" t="n">
        <f aca="false">SUM(Q46:Q49)</f>
        <v>276348.316486669</v>
      </c>
      <c r="R50" s="59" t="n">
        <f aca="false">SUM(R46:R49)</f>
        <v>281875.282816402</v>
      </c>
      <c r="S50" s="59" t="n">
        <f aca="false">SUM(S46:S49)</f>
        <v>287512.78847273</v>
      </c>
      <c r="T50" s="59" t="n">
        <f aca="false">SUM(T46:T49)</f>
        <v>293263.044242185</v>
      </c>
      <c r="U50" s="59" t="n">
        <f aca="false">SUM(U46:U49)</f>
        <v>299128.305127029</v>
      </c>
      <c r="V50" s="59" t="n">
        <f aca="false">SUM(V46:V49)</f>
        <v>340550.197414135</v>
      </c>
      <c r="W50" s="59" t="n">
        <f aca="false">SUM(W46:W49)</f>
        <v>347361.201362417</v>
      </c>
      <c r="X50" s="59" t="n">
        <f aca="false">SUM(X46:X49)</f>
        <v>354308.425389666</v>
      </c>
      <c r="Y50" s="59" t="n">
        <f aca="false">SUM(Y46:Y49)</f>
        <v>361394.593897459</v>
      </c>
      <c r="Z50" s="59" t="n">
        <f aca="false">SUM(Z46:Z49)</f>
        <v>368622.485775408</v>
      </c>
      <c r="AA50" s="59" t="n">
        <f aca="false">SUM(AA46:AA49)</f>
        <v>375994.935490916</v>
      </c>
      <c r="AB50" s="59" t="n">
        <f aca="false">SUM(AB46:AB49)</f>
        <v>383514.834200735</v>
      </c>
      <c r="AC50" s="59" t="n">
        <f aca="false">SUM(AC46:AC49)</f>
        <v>391185.130884749</v>
      </c>
      <c r="AD50" s="59" t="n">
        <f aca="false">SUM(AD46:AD49)</f>
        <v>399008.833502444</v>
      </c>
      <c r="AE50" s="59" t="n">
        <f aca="false">SUM(AE46:AE49)</f>
        <v>406989.010172493</v>
      </c>
      <c r="AF50" s="59" t="n">
        <f aca="false">SUM(AF46:AF49)</f>
        <v>415128.790375943</v>
      </c>
    </row>
    <row r="51" customFormat="false" ht="15" hidden="false" customHeight="true" outlineLevel="0" collapsed="false">
      <c r="A51" s="30" t="s">
        <v>456</v>
      </c>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customFormat="false" ht="15" hidden="false" customHeight="true" outlineLevel="0" collapsed="false">
      <c r="B52" s="6" t="s">
        <v>457</v>
      </c>
      <c r="C52" s="20" t="n">
        <v>0</v>
      </c>
      <c r="D52" s="20" t="n">
        <f aca="false">C55</f>
        <v>0</v>
      </c>
      <c r="E52" s="20" t="n">
        <f aca="false">D55</f>
        <v>0</v>
      </c>
      <c r="F52" s="20" t="n">
        <f aca="false">E55</f>
        <v>79.6480000000447</v>
      </c>
      <c r="G52" s="20" t="n">
        <f aca="false">F55</f>
        <v>26004.4212800001</v>
      </c>
      <c r="H52" s="20" t="n">
        <f aca="false">G55</f>
        <v>65141.2407464001</v>
      </c>
      <c r="I52" s="20" t="n">
        <f aca="false">H55</f>
        <v>107750.88411978</v>
      </c>
      <c r="J52" s="20" t="n">
        <f aca="false">I55</f>
        <v>163077.663566927</v>
      </c>
      <c r="K52" s="20" t="n">
        <f aca="false">J55</f>
        <v>222967.143117726</v>
      </c>
      <c r="L52" s="20" t="n">
        <f aca="false">K55</f>
        <v>309660.258375873</v>
      </c>
      <c r="M52" s="20" t="n">
        <f aca="false">L55</f>
        <v>403432.431144909</v>
      </c>
      <c r="N52" s="20" t="n">
        <f aca="false">M55</f>
        <v>504772.680263424</v>
      </c>
      <c r="O52" s="20" t="n">
        <f aca="false">N55</f>
        <v>613445.22937613</v>
      </c>
      <c r="P52" s="20" t="n">
        <f aca="false">O55</f>
        <v>728710.539347684</v>
      </c>
      <c r="Q52" s="20" t="n">
        <f aca="false">P55</f>
        <v>850326.30642636</v>
      </c>
      <c r="R52" s="20" t="n">
        <f aca="false">Q55</f>
        <v>977978.299414104</v>
      </c>
      <c r="S52" s="20" t="n">
        <f aca="false">R55</f>
        <v>1111279.57530719</v>
      </c>
      <c r="T52" s="20" t="n">
        <f aca="false">S55</f>
        <v>1249770.73605231</v>
      </c>
      <c r="U52" s="20" t="n">
        <f aca="false">T55</f>
        <v>1392921.28791227</v>
      </c>
      <c r="V52" s="20" t="n">
        <f aca="false">U55</f>
        <v>1540132.14568551</v>
      </c>
      <c r="W52" s="20" t="n">
        <f aca="false">V55</f>
        <v>1726178.62872236</v>
      </c>
      <c r="X52" s="20" t="n">
        <f aca="false">W55</f>
        <v>1916899.63721864</v>
      </c>
      <c r="Y52" s="20" t="n">
        <f aca="false">X55</f>
        <v>2111385.57338435</v>
      </c>
      <c r="Z52" s="20" t="n">
        <f aca="false">Y55</f>
        <v>2308658.02765782</v>
      </c>
      <c r="AA52" s="20" t="n">
        <f aca="false">Z55</f>
        <v>2507678.82158938</v>
      </c>
      <c r="AB52" s="20" t="n">
        <f aca="false">AA55</f>
        <v>2707360.30485269</v>
      </c>
      <c r="AC52" s="20" t="n">
        <f aca="false">AB55</f>
        <v>2906576.77058409</v>
      </c>
      <c r="AD52" s="20" t="n">
        <f aca="false">AC55</f>
        <v>3104176.82440051</v>
      </c>
      <c r="AE52" s="20" t="n">
        <f aca="false">AD55</f>
        <v>3298996.51641054</v>
      </c>
      <c r="AF52" s="20" t="n">
        <f aca="false">AE55</f>
        <v>3489873.02312213</v>
      </c>
    </row>
    <row r="53" customFormat="false" ht="15" hidden="false" customHeight="true" outlineLevel="0" collapsed="false">
      <c r="B53" s="56" t="s">
        <v>458</v>
      </c>
      <c r="C53" s="20" t="n">
        <f aca="false">C52*Returns!C$12</f>
        <v>0</v>
      </c>
      <c r="D53" s="20" t="n">
        <f aca="false">D52*Returns!D$12</f>
        <v>0</v>
      </c>
      <c r="E53" s="20" t="n">
        <f aca="false">E52*Returns!E$12</f>
        <v>0</v>
      </c>
      <c r="F53" s="20" t="n">
        <f aca="false">F52*Returns!F$12</f>
        <v>5.17712000000291</v>
      </c>
      <c r="G53" s="20" t="n">
        <f aca="false">G52*Returns!G$12</f>
        <v>1690.2873832</v>
      </c>
      <c r="H53" s="20" t="n">
        <f aca="false">H52*Returns!H$12</f>
        <v>4234.18064851601</v>
      </c>
      <c r="I53" s="20" t="n">
        <f aca="false">I52*Returns!I$12</f>
        <v>7003.80746778571</v>
      </c>
      <c r="J53" s="20" t="n">
        <f aca="false">J52*Returns!J$12</f>
        <v>10600.0481318503</v>
      </c>
      <c r="K53" s="20" t="n">
        <f aca="false">K52*Returns!K$12</f>
        <v>14492.8643026522</v>
      </c>
      <c r="L53" s="20" t="n">
        <f aca="false">L52*Returns!L$12</f>
        <v>20127.9167944317</v>
      </c>
      <c r="M53" s="20" t="n">
        <f aca="false">M52*Returns!M$12</f>
        <v>26223.1080244191</v>
      </c>
      <c r="N53" s="20" t="n">
        <f aca="false">N52*Returns!N$12</f>
        <v>32053.0651967274</v>
      </c>
      <c r="O53" s="20" t="n">
        <f aca="false">O52*Returns!O$12</f>
        <v>37113.4363772559</v>
      </c>
      <c r="P53" s="20" t="n">
        <f aca="false">P52*Returns!P$12</f>
        <v>41900.8560124918</v>
      </c>
      <c r="Q53" s="20" t="n">
        <f aca="false">Q52*Returns!Q$12</f>
        <v>46342.7837002366</v>
      </c>
      <c r="R53" s="20" t="n">
        <f aca="false">R52*Returns!R$12</f>
        <v>50365.8824198264</v>
      </c>
      <c r="S53" s="20" t="n">
        <f aca="false">S52*Returns!S$12</f>
        <v>53897.0594023986</v>
      </c>
      <c r="T53" s="20" t="n">
        <f aca="false">T52*Returns!T$12</f>
        <v>56864.5684903801</v>
      </c>
      <c r="U53" s="20" t="n">
        <f aca="false">U52*Returns!U$12</f>
        <v>59199.1547362713</v>
      </c>
      <c r="V53" s="20" t="n">
        <f aca="false">V52*Returns!V$12</f>
        <v>60835.2197545775</v>
      </c>
      <c r="W53" s="20" t="n">
        <f aca="false">W52*Returns!W$12</f>
        <v>63005.5199483661</v>
      </c>
      <c r="X53" s="20" t="n">
        <f aca="false">X52*Returns!X$12</f>
        <v>64216.1378468246</v>
      </c>
      <c r="Y53" s="20" t="n">
        <f aca="false">Y52*Returns!Y$12</f>
        <v>64397.2599882226</v>
      </c>
      <c r="Z53" s="20" t="n">
        <f aca="false">Z52*Returns!Z$12</f>
        <v>63488.0957605902</v>
      </c>
      <c r="AA53" s="20" t="n">
        <f aca="false">AA52*Returns!AA$12</f>
        <v>61438.1311289397</v>
      </c>
      <c r="AB53" s="20" t="n">
        <f aca="false">AB52*Returns!AB$12</f>
        <v>58208.2465543329</v>
      </c>
      <c r="AC53" s="20" t="n">
        <f aca="false">AC52*Returns!AC$12</f>
        <v>53771.6702558058</v>
      </c>
      <c r="AD53" s="20" t="n">
        <f aca="false">AD52*Returns!AD$12</f>
        <v>48114.7407782079</v>
      </c>
      <c r="AE53" s="20" t="n">
        <f aca="false">AE52*Returns!AE$12</f>
        <v>41237.4564551317</v>
      </c>
      <c r="AF53" s="20" t="n">
        <f aca="false">AF52*Returns!AF$12</f>
        <v>33153.7937196602</v>
      </c>
    </row>
    <row r="54" customFormat="false" ht="15" hidden="false" customHeight="true" outlineLevel="0" collapsed="false">
      <c r="B54" s="56" t="s">
        <v>459</v>
      </c>
      <c r="C54" s="20" t="n">
        <f aca="false">C44</f>
        <v>0</v>
      </c>
      <c r="D54" s="20" t="n">
        <f aca="false">D44</f>
        <v>0</v>
      </c>
      <c r="E54" s="20" t="n">
        <f aca="false">E44</f>
        <v>79.6480000000447</v>
      </c>
      <c r="F54" s="20" t="n">
        <f aca="false">F44</f>
        <v>25919.59616</v>
      </c>
      <c r="G54" s="20" t="n">
        <f aca="false">G44</f>
        <v>37446.5320832</v>
      </c>
      <c r="H54" s="20" t="n">
        <f aca="false">H44</f>
        <v>38375.462724864</v>
      </c>
      <c r="I54" s="20" t="n">
        <f aca="false">I44</f>
        <v>48322.9719793614</v>
      </c>
      <c r="J54" s="20" t="n">
        <f aca="false">J44</f>
        <v>49289.4314189486</v>
      </c>
      <c r="K54" s="20" t="n">
        <f aca="false">K44</f>
        <v>72200.2509554945</v>
      </c>
      <c r="L54" s="20" t="n">
        <f aca="false">L44</f>
        <v>73644.2559746043</v>
      </c>
      <c r="M54" s="20" t="n">
        <f aca="false">M44</f>
        <v>75117.1410940964</v>
      </c>
      <c r="N54" s="20" t="n">
        <f aca="false">N44</f>
        <v>76619.4839159784</v>
      </c>
      <c r="O54" s="20" t="n">
        <f aca="false">O44</f>
        <v>78151.8735942979</v>
      </c>
      <c r="P54" s="20" t="n">
        <f aca="false">P44</f>
        <v>79714.9110661839</v>
      </c>
      <c r="Q54" s="20" t="n">
        <f aca="false">Q44</f>
        <v>81309.2092875076</v>
      </c>
      <c r="R54" s="20" t="n">
        <f aca="false">R44</f>
        <v>82935.3934732577</v>
      </c>
      <c r="S54" s="20" t="n">
        <f aca="false">S44</f>
        <v>84594.1013427229</v>
      </c>
      <c r="T54" s="20" t="n">
        <f aca="false">T44</f>
        <v>86285.9833695774</v>
      </c>
      <c r="U54" s="20" t="n">
        <f aca="false">U44</f>
        <v>88011.703036969</v>
      </c>
      <c r="V54" s="20" t="n">
        <f aca="false">V44</f>
        <v>125211.263282274</v>
      </c>
      <c r="W54" s="20" t="n">
        <f aca="false">W44</f>
        <v>127715.488547919</v>
      </c>
      <c r="X54" s="20" t="n">
        <f aca="false">X44</f>
        <v>130269.798318878</v>
      </c>
      <c r="Y54" s="20" t="n">
        <f aca="false">Y44</f>
        <v>132875.194285255</v>
      </c>
      <c r="Z54" s="20" t="n">
        <f aca="false">Z44</f>
        <v>135532.69817096</v>
      </c>
      <c r="AA54" s="20" t="n">
        <f aca="false">AA44</f>
        <v>138243.352134379</v>
      </c>
      <c r="AB54" s="20" t="n">
        <f aca="false">AB44</f>
        <v>141008.219177067</v>
      </c>
      <c r="AC54" s="20" t="n">
        <f aca="false">AC44</f>
        <v>143828.383560608</v>
      </c>
      <c r="AD54" s="20" t="n">
        <f aca="false">AD44</f>
        <v>146704.951231821</v>
      </c>
      <c r="AE54" s="20" t="n">
        <f aca="false">AE44</f>
        <v>149639.050256457</v>
      </c>
      <c r="AF54" s="20" t="n">
        <f aca="false">AF44</f>
        <v>152631.831261586</v>
      </c>
    </row>
    <row r="55" customFormat="false" ht="15" hidden="false" customHeight="true" outlineLevel="0" collapsed="false">
      <c r="B55" s="16" t="s">
        <v>460</v>
      </c>
      <c r="C55" s="58" t="n">
        <f aca="false">MAX(0,C52+C53+C54)</f>
        <v>0</v>
      </c>
      <c r="D55" s="58" t="n">
        <f aca="false">MAX(0,D52+D53+D54)</f>
        <v>0</v>
      </c>
      <c r="E55" s="58" t="n">
        <f aca="false">MAX(0,E52+E53+E54)</f>
        <v>79.6480000000447</v>
      </c>
      <c r="F55" s="58" t="n">
        <f aca="false">MAX(0,F52+F53+F54)</f>
        <v>26004.4212800001</v>
      </c>
      <c r="G55" s="58" t="n">
        <f aca="false">MAX(0,G52+G53+G54)</f>
        <v>65141.2407464001</v>
      </c>
      <c r="H55" s="58" t="n">
        <f aca="false">MAX(0,H52+H53+H54)</f>
        <v>107750.88411978</v>
      </c>
      <c r="I55" s="58" t="n">
        <f aca="false">MAX(0,I52+I53+I54)</f>
        <v>163077.663566927</v>
      </c>
      <c r="J55" s="58" t="n">
        <f aca="false">MAX(0,J52+J53+J54)</f>
        <v>222967.143117726</v>
      </c>
      <c r="K55" s="58" t="n">
        <f aca="false">MAX(0,K52+K53+K54)</f>
        <v>309660.258375873</v>
      </c>
      <c r="L55" s="58" t="n">
        <f aca="false">MAX(0,L52+L53+L54)</f>
        <v>403432.431144909</v>
      </c>
      <c r="M55" s="58" t="n">
        <f aca="false">MAX(0,M52+M53+M54)</f>
        <v>504772.680263424</v>
      </c>
      <c r="N55" s="58" t="n">
        <f aca="false">MAX(0,N52+N53+N54)</f>
        <v>613445.22937613</v>
      </c>
      <c r="O55" s="58" t="n">
        <f aca="false">MAX(0,O52+O53+O54)</f>
        <v>728710.539347684</v>
      </c>
      <c r="P55" s="58" t="n">
        <f aca="false">MAX(0,P52+P53+P54)</f>
        <v>850326.30642636</v>
      </c>
      <c r="Q55" s="58" t="n">
        <f aca="false">MAX(0,Q52+Q53+Q54)</f>
        <v>977978.299414104</v>
      </c>
      <c r="R55" s="58" t="n">
        <f aca="false">MAX(0,R52+R53+R54)</f>
        <v>1111279.57530719</v>
      </c>
      <c r="S55" s="58" t="n">
        <f aca="false">MAX(0,S52+S53+S54)</f>
        <v>1249770.73605231</v>
      </c>
      <c r="T55" s="58" t="n">
        <f aca="false">MAX(0,T52+T53+T54)</f>
        <v>1392921.28791227</v>
      </c>
      <c r="U55" s="58" t="n">
        <f aca="false">MAX(0,U52+U53+U54)</f>
        <v>1540132.14568551</v>
      </c>
      <c r="V55" s="58" t="n">
        <f aca="false">MAX(0,V52+V53+V54)</f>
        <v>1726178.62872236</v>
      </c>
      <c r="W55" s="58" t="n">
        <f aca="false">MAX(0,W52+W53+W54)</f>
        <v>1916899.63721864</v>
      </c>
      <c r="X55" s="58" t="n">
        <f aca="false">MAX(0,X52+X53+X54)</f>
        <v>2111385.57338435</v>
      </c>
      <c r="Y55" s="58" t="n">
        <f aca="false">MAX(0,Y52+Y53+Y54)</f>
        <v>2308658.02765782</v>
      </c>
      <c r="Z55" s="58" t="n">
        <f aca="false">MAX(0,Z52+Z53+Z54)</f>
        <v>2507678.82158938</v>
      </c>
      <c r="AA55" s="58" t="n">
        <f aca="false">MAX(0,AA52+AA53+AA54)</f>
        <v>2707360.30485269</v>
      </c>
      <c r="AB55" s="58" t="n">
        <f aca="false">MAX(0,AB52+AB53+AB54)</f>
        <v>2906576.77058409</v>
      </c>
      <c r="AC55" s="58" t="n">
        <f aca="false">MAX(0,AC52+AC53+AC54)</f>
        <v>3104176.82440051</v>
      </c>
      <c r="AD55" s="58" t="n">
        <f aca="false">MAX(0,AD52+AD53+AD54)</f>
        <v>3298996.51641054</v>
      </c>
      <c r="AE55" s="58" t="n">
        <f aca="false">MAX(0,AE52+AE53+AE54)</f>
        <v>3489873.02312213</v>
      </c>
      <c r="AF55" s="58" t="n">
        <f aca="false">MAX(0,AF52+AF53+AF54)</f>
        <v>3675658.64810337</v>
      </c>
    </row>
    <row r="56" customFormat="false" ht="15" hidden="false" customHeight="true" outlineLevel="0" collapsed="false">
      <c r="B56" s="6" t="s">
        <v>461</v>
      </c>
      <c r="C56" s="20" t="n">
        <f aca="false">MAX(0,-(C52+C53+C54))</f>
        <v>-0</v>
      </c>
      <c r="D56" s="20" t="n">
        <f aca="false">MAX(0,-(D52+D53+D54))</f>
        <v>-0</v>
      </c>
      <c r="E56" s="20" t="n">
        <f aca="false">MAX(0,-(E52+E53+E54))</f>
        <v>0</v>
      </c>
      <c r="F56" s="20" t="n">
        <f aca="false">MAX(0,-(F52+F53+F54))</f>
        <v>0</v>
      </c>
      <c r="G56" s="20" t="n">
        <f aca="false">MAX(0,-(G52+G53+G54))</f>
        <v>0</v>
      </c>
      <c r="H56" s="20" t="n">
        <f aca="false">MAX(0,-(H52+H53+H54))</f>
        <v>0</v>
      </c>
      <c r="I56" s="20" t="n">
        <f aca="false">MAX(0,-(I52+I53+I54))</f>
        <v>0</v>
      </c>
      <c r="J56" s="20" t="n">
        <f aca="false">MAX(0,-(J52+J53+J54))</f>
        <v>0</v>
      </c>
      <c r="K56" s="20" t="n">
        <f aca="false">MAX(0,-(K52+K53+K54))</f>
        <v>0</v>
      </c>
      <c r="L56" s="20" t="n">
        <f aca="false">MAX(0,-(L52+L53+L54))</f>
        <v>0</v>
      </c>
      <c r="M56" s="20" t="n">
        <f aca="false">MAX(0,-(M52+M53+M54))</f>
        <v>0</v>
      </c>
      <c r="N56" s="20" t="n">
        <f aca="false">MAX(0,-(N52+N53+N54))</f>
        <v>0</v>
      </c>
      <c r="O56" s="20" t="n">
        <f aca="false">MAX(0,-(O52+O53+O54))</f>
        <v>0</v>
      </c>
      <c r="P56" s="20" t="n">
        <f aca="false">MAX(0,-(P52+P53+P54))</f>
        <v>0</v>
      </c>
      <c r="Q56" s="20" t="n">
        <f aca="false">MAX(0,-(Q52+Q53+Q54))</f>
        <v>0</v>
      </c>
      <c r="R56" s="20" t="n">
        <f aca="false">MAX(0,-(R52+R53+R54))</f>
        <v>0</v>
      </c>
      <c r="S56" s="20" t="n">
        <f aca="false">MAX(0,-(S52+S53+S54))</f>
        <v>0</v>
      </c>
      <c r="T56" s="20" t="n">
        <f aca="false">MAX(0,-(T52+T53+T54))</f>
        <v>0</v>
      </c>
      <c r="U56" s="20" t="n">
        <f aca="false">MAX(0,-(U52+U53+U54))</f>
        <v>0</v>
      </c>
      <c r="V56" s="20" t="n">
        <f aca="false">MAX(0,-(V52+V53+V54))</f>
        <v>0</v>
      </c>
      <c r="W56" s="20" t="n">
        <f aca="false">MAX(0,-(W52+W53+W54))</f>
        <v>0</v>
      </c>
      <c r="X56" s="20" t="n">
        <f aca="false">MAX(0,-(X52+X53+X54))</f>
        <v>0</v>
      </c>
      <c r="Y56" s="20" t="n">
        <f aca="false">MAX(0,-(Y52+Y53+Y54))</f>
        <v>0</v>
      </c>
      <c r="Z56" s="20" t="n">
        <f aca="false">MAX(0,-(Z52+Z53+Z54))</f>
        <v>0</v>
      </c>
      <c r="AA56" s="20" t="n">
        <f aca="false">MAX(0,-(AA52+AA53+AA54))</f>
        <v>0</v>
      </c>
      <c r="AB56" s="20" t="n">
        <f aca="false">MAX(0,-(AB52+AB53+AB54))</f>
        <v>0</v>
      </c>
      <c r="AC56" s="20" t="n">
        <f aca="false">MAX(0,-(AC52+AC53+AC54))</f>
        <v>0</v>
      </c>
      <c r="AD56" s="20" t="n">
        <f aca="false">MAX(0,-(AD52+AD53+AD54))</f>
        <v>0</v>
      </c>
      <c r="AE56" s="20" t="n">
        <f aca="false">MAX(0,-(AE52+AE53+AE54))</f>
        <v>0</v>
      </c>
      <c r="AF56" s="20" t="n">
        <f aca="false">MAX(0,-(AF52+AF53+AF54))</f>
        <v>0</v>
      </c>
    </row>
    <row r="57" customFormat="false" ht="15" hidden="false" customHeight="true" outlineLevel="0" collapsed="false">
      <c r="B57" s="6" t="s">
        <v>462</v>
      </c>
      <c r="C57" s="20" t="n">
        <f aca="false">Assumptions!$C$25+Assumptions!$D$25</f>
        <v>260000</v>
      </c>
      <c r="D57" s="20" t="n">
        <f aca="false">C61</f>
        <v>302223.8</v>
      </c>
      <c r="E57" s="20" t="n">
        <f aca="false">D61</f>
        <v>351383.704</v>
      </c>
      <c r="F57" s="20" t="n">
        <f aca="false">E61</f>
        <v>419494.40032</v>
      </c>
      <c r="G57" s="20" t="n">
        <f aca="false">F61</f>
        <v>493053.9523456</v>
      </c>
      <c r="H57" s="20" t="n">
        <f aca="false">G61</f>
        <v>572498.268533248</v>
      </c>
      <c r="I57" s="20" t="n">
        <f aca="false">H61</f>
        <v>659098.130015908</v>
      </c>
      <c r="J57" s="20" t="n">
        <f aca="false">I61</f>
        <v>753441.98041718</v>
      </c>
      <c r="K57" s="20" t="n">
        <f aca="false">J61</f>
        <v>856165.658850555</v>
      </c>
      <c r="L57" s="20" t="n">
        <f aca="false">K61</f>
        <v>967956.197958599</v>
      </c>
      <c r="M57" s="20" t="n">
        <f aca="false">L61</f>
        <v>1089555.92592329</v>
      </c>
      <c r="N57" s="20" t="n">
        <f aca="false">M61</f>
        <v>1221766.89676771</v>
      </c>
      <c r="O57" s="20" t="n">
        <f aca="false">N61</f>
        <v>1363623.02486995</v>
      </c>
      <c r="P57" s="20" t="n">
        <f aca="false">O61</f>
        <v>1513442.93848772</v>
      </c>
      <c r="Q57" s="20" t="n">
        <f aca="false">P61</f>
        <v>1670971.25427297</v>
      </c>
      <c r="R57" s="20" t="n">
        <f aca="false">Q61</f>
        <v>1835863.53324473</v>
      </c>
      <c r="S57" s="20" t="n">
        <f aca="false">R61</f>
        <v>2007683.43054129</v>
      </c>
      <c r="T57" s="20" t="n">
        <f aca="false">S61</f>
        <v>2185901.00016317</v>
      </c>
      <c r="U57" s="20" t="n">
        <f aca="false">T61</f>
        <v>2369892.27589119</v>
      </c>
      <c r="V57" s="20" t="n">
        <f aca="false">U61</f>
        <v>2558940.23227745</v>
      </c>
      <c r="W57" s="20" t="n">
        <f aca="false">V61</f>
        <v>2752237.20846953</v>
      </c>
      <c r="X57" s="20" t="n">
        <f aca="false">W61</f>
        <v>2948888.85290934</v>
      </c>
      <c r="Y57" s="20" t="n">
        <f aca="false">X61</f>
        <v>3147919.61904314</v>
      </c>
      <c r="Z57" s="20" t="n">
        <f aca="false">Y61</f>
        <v>3348279.81161265</v>
      </c>
      <c r="AA57" s="20" t="n">
        <f aca="false">Z61</f>
        <v>3548854.1505073</v>
      </c>
      <c r="AB57" s="20" t="n">
        <f aca="false">AA61</f>
        <v>3748471.78529148</v>
      </c>
      <c r="AC57" s="20" t="n">
        <f aca="false">AB61</f>
        <v>3945917.65921053</v>
      </c>
      <c r="AD57" s="20" t="n">
        <f aca="false">AC61</f>
        <v>4139945.08762512</v>
      </c>
      <c r="AE57" s="20" t="n">
        <f aca="false">AD61</f>
        <v>4329289.38336534</v>
      </c>
      <c r="AF57" s="20" t="n">
        <f aca="false">AE61</f>
        <v>4512682.3313869</v>
      </c>
    </row>
    <row r="58" customFormat="false" ht="15" hidden="false" customHeight="true" outlineLevel="0" collapsed="false">
      <c r="B58" s="56" t="s">
        <v>463</v>
      </c>
      <c r="C58" s="20" t="n">
        <f aca="false">C43</f>
        <v>21423.8</v>
      </c>
      <c r="D58" s="20" t="n">
        <f aca="false">D43</f>
        <v>24982</v>
      </c>
      <c r="E58" s="20" t="n">
        <f aca="false">E43</f>
        <v>40000</v>
      </c>
      <c r="F58" s="20" t="n">
        <f aca="false">F43</f>
        <v>40000</v>
      </c>
      <c r="G58" s="20" t="n">
        <f aca="false">G43</f>
        <v>40000</v>
      </c>
      <c r="H58" s="20" t="n">
        <f aca="false">H43</f>
        <v>40800</v>
      </c>
      <c r="I58" s="20" t="n">
        <f aca="false">I43</f>
        <v>41616</v>
      </c>
      <c r="J58" s="20" t="n">
        <f aca="false">J43</f>
        <v>42448.32</v>
      </c>
      <c r="K58" s="20" t="n">
        <f aca="false">K43</f>
        <v>43297.2864</v>
      </c>
      <c r="L58" s="20" t="n">
        <f aca="false">L43</f>
        <v>44163.232128</v>
      </c>
      <c r="M58" s="20" t="n">
        <f aca="false">M43</f>
        <v>45046.49677056</v>
      </c>
      <c r="N58" s="20" t="n">
        <f aca="false">N43</f>
        <v>45947.4267059712</v>
      </c>
      <c r="O58" s="20" t="n">
        <f aca="false">O43</f>
        <v>46866.3752400906</v>
      </c>
      <c r="P58" s="20" t="n">
        <f aca="false">P43</f>
        <v>47803.7027448924</v>
      </c>
      <c r="Q58" s="20" t="n">
        <f aca="false">Q43</f>
        <v>48759.7767997903</v>
      </c>
      <c r="R58" s="20" t="n">
        <f aca="false">R43</f>
        <v>49734.9723357861</v>
      </c>
      <c r="S58" s="20" t="n">
        <f aca="false">S43</f>
        <v>50729.6717825018</v>
      </c>
      <c r="T58" s="20" t="n">
        <f aca="false">T43</f>
        <v>51744.2652181519</v>
      </c>
      <c r="U58" s="20" t="n">
        <f aca="false">U43</f>
        <v>52779.1505225149</v>
      </c>
      <c r="V58" s="20" t="n">
        <f aca="false">V43</f>
        <v>53834.7335329652</v>
      </c>
      <c r="W58" s="20" t="n">
        <f aca="false">W43</f>
        <v>54911.4282036245</v>
      </c>
      <c r="X58" s="20" t="n">
        <f aca="false">X43</f>
        <v>56009.656767697</v>
      </c>
      <c r="Y58" s="20" t="n">
        <f aca="false">Y43</f>
        <v>57129.8499030509</v>
      </c>
      <c r="Z58" s="20" t="n">
        <f aca="false">Z43</f>
        <v>58272.446901112</v>
      </c>
      <c r="AA58" s="20" t="n">
        <f aca="false">AA43</f>
        <v>59437.8958391342</v>
      </c>
      <c r="AB58" s="20" t="n">
        <f aca="false">AB43</f>
        <v>60626.6537559169</v>
      </c>
      <c r="AC58" s="20" t="n">
        <f aca="false">AC43</f>
        <v>61839.1868310352</v>
      </c>
      <c r="AD58" s="20" t="n">
        <f aca="false">AD43</f>
        <v>63075.9705676559</v>
      </c>
      <c r="AE58" s="20" t="n">
        <f aca="false">AE43</f>
        <v>64337.4899790091</v>
      </c>
      <c r="AF58" s="20" t="n">
        <f aca="false">AF43</f>
        <v>65624.2397785892</v>
      </c>
    </row>
    <row r="59" customFormat="false" ht="15" hidden="false" customHeight="true" outlineLevel="0" collapsed="false">
      <c r="B59" s="56" t="s">
        <v>458</v>
      </c>
      <c r="C59" s="20" t="n">
        <f aca="false">C57*Returns!C$11</f>
        <v>20800</v>
      </c>
      <c r="D59" s="20" t="n">
        <f aca="false">D57*Returns!D$11</f>
        <v>24177.904</v>
      </c>
      <c r="E59" s="20" t="n">
        <f aca="false">E57*Returns!E$11</f>
        <v>28110.69632</v>
      </c>
      <c r="F59" s="20" t="n">
        <f aca="false">F57*Returns!F$11</f>
        <v>33559.5520256</v>
      </c>
      <c r="G59" s="20" t="n">
        <f aca="false">G57*Returns!G$11</f>
        <v>39444.316187648</v>
      </c>
      <c r="H59" s="20" t="n">
        <f aca="false">H57*Returns!H$11</f>
        <v>45799.8614826598</v>
      </c>
      <c r="I59" s="20" t="n">
        <f aca="false">I57*Returns!I$11</f>
        <v>52727.8504012726</v>
      </c>
      <c r="J59" s="20" t="n">
        <f aca="false">J57*Returns!J$11</f>
        <v>60275.3584333744</v>
      </c>
      <c r="K59" s="20" t="n">
        <f aca="false">K57*Returns!K$11</f>
        <v>68493.2527080444</v>
      </c>
      <c r="L59" s="20" t="n">
        <f aca="false">L57*Returns!L$11</f>
        <v>77436.4958366879</v>
      </c>
      <c r="M59" s="20" t="n">
        <f aca="false">M57*Returns!M$11</f>
        <v>87164.474073863</v>
      </c>
      <c r="N59" s="20" t="n">
        <f aca="false">N57*Returns!N$11</f>
        <v>95908.7013962652</v>
      </c>
      <c r="O59" s="20" t="n">
        <f aca="false">O57*Returns!O$11</f>
        <v>102953.538377681</v>
      </c>
      <c r="P59" s="20" t="n">
        <f aca="false">P57*Returns!P$11</f>
        <v>109724.61304036</v>
      </c>
      <c r="Q59" s="20" t="n">
        <f aca="false">Q57*Returns!Q$11</f>
        <v>116132.502171971</v>
      </c>
      <c r="R59" s="20" t="n">
        <f aca="false">R57*Returns!R$11</f>
        <v>122084.924960775</v>
      </c>
      <c r="S59" s="20" t="n">
        <f aca="false">S57*Returns!S$11</f>
        <v>127487.897839372</v>
      </c>
      <c r="T59" s="20" t="n">
        <f aca="false">T57*Returns!T$11</f>
        <v>132247.010509872</v>
      </c>
      <c r="U59" s="20" t="n">
        <f aca="false">U57*Returns!U$11</f>
        <v>136268.805863743</v>
      </c>
      <c r="V59" s="20" t="n">
        <f aca="false">V57*Returns!V$11</f>
        <v>139462.242659121</v>
      </c>
      <c r="W59" s="20" t="n">
        <f aca="false">W57*Returns!W$11</f>
        <v>141740.216236181</v>
      </c>
      <c r="X59" s="20" t="n">
        <f aca="false">X57*Returns!X$11</f>
        <v>143021.109366103</v>
      </c>
      <c r="Y59" s="20" t="n">
        <f aca="false">Y57*Returns!Y$11</f>
        <v>143230.342666463</v>
      </c>
      <c r="Z59" s="20" t="n">
        <f aca="false">Z57*Returns!Z$11</f>
        <v>142301.891993538</v>
      </c>
      <c r="AA59" s="20" t="n">
        <f aca="false">AA57*Returns!AA$11</f>
        <v>140179.738945038</v>
      </c>
      <c r="AB59" s="20" t="n">
        <f aca="false">AB57*Returns!AB$11</f>
        <v>136819.220163139</v>
      </c>
      <c r="AC59" s="20" t="n">
        <f aca="false">AC57*Returns!AC$11</f>
        <v>132188.241583553</v>
      </c>
      <c r="AD59" s="20" t="n">
        <f aca="false">AD57*Returns!AD$11</f>
        <v>126268.325172566</v>
      </c>
      <c r="AE59" s="20" t="n">
        <f aca="false">AE57*Returns!AE$11</f>
        <v>119055.458042547</v>
      </c>
      <c r="AF59" s="20" t="n">
        <f aca="false">AF57*Returns!AF$11</f>
        <v>110560.717118979</v>
      </c>
    </row>
    <row r="60" customFormat="false" ht="15" hidden="false" customHeight="true" outlineLevel="0" collapsed="false">
      <c r="B60" s="56" t="s">
        <v>464</v>
      </c>
      <c r="C60" s="20" t="n">
        <f aca="false">-C56</f>
        <v>0</v>
      </c>
      <c r="D60" s="20" t="n">
        <f aca="false">-D56</f>
        <v>0</v>
      </c>
      <c r="E60" s="20" t="n">
        <f aca="false">-E56</f>
        <v>-0</v>
      </c>
      <c r="F60" s="20" t="n">
        <f aca="false">-F56</f>
        <v>-0</v>
      </c>
      <c r="G60" s="20" t="n">
        <f aca="false">-G56</f>
        <v>-0</v>
      </c>
      <c r="H60" s="20" t="n">
        <f aca="false">-H56</f>
        <v>-0</v>
      </c>
      <c r="I60" s="20" t="n">
        <f aca="false">-I56</f>
        <v>-0</v>
      </c>
      <c r="J60" s="20" t="n">
        <f aca="false">-J56</f>
        <v>-0</v>
      </c>
      <c r="K60" s="20" t="n">
        <f aca="false">-K56</f>
        <v>-0</v>
      </c>
      <c r="L60" s="20" t="n">
        <f aca="false">-L56</f>
        <v>-0</v>
      </c>
      <c r="M60" s="20" t="n">
        <f aca="false">-M56</f>
        <v>-0</v>
      </c>
      <c r="N60" s="20" t="n">
        <f aca="false">-N56</f>
        <v>-0</v>
      </c>
      <c r="O60" s="20" t="n">
        <f aca="false">-O56</f>
        <v>-0</v>
      </c>
      <c r="P60" s="20" t="n">
        <f aca="false">-P56</f>
        <v>-0</v>
      </c>
      <c r="Q60" s="20" t="n">
        <f aca="false">-Q56</f>
        <v>-0</v>
      </c>
      <c r="R60" s="20" t="n">
        <f aca="false">-R56</f>
        <v>-0</v>
      </c>
      <c r="S60" s="20" t="n">
        <f aca="false">-S56</f>
        <v>-0</v>
      </c>
      <c r="T60" s="20" t="n">
        <f aca="false">-T56</f>
        <v>-0</v>
      </c>
      <c r="U60" s="20" t="n">
        <f aca="false">-U56</f>
        <v>-0</v>
      </c>
      <c r="V60" s="20" t="n">
        <f aca="false">-V56</f>
        <v>-0</v>
      </c>
      <c r="W60" s="20" t="n">
        <f aca="false">-W56</f>
        <v>-0</v>
      </c>
      <c r="X60" s="20" t="n">
        <f aca="false">-X56</f>
        <v>-0</v>
      </c>
      <c r="Y60" s="20" t="n">
        <f aca="false">-Y56</f>
        <v>-0</v>
      </c>
      <c r="Z60" s="20" t="n">
        <f aca="false">-Z56</f>
        <v>-0</v>
      </c>
      <c r="AA60" s="20" t="n">
        <f aca="false">-AA56</f>
        <v>-0</v>
      </c>
      <c r="AB60" s="20" t="n">
        <f aca="false">-AB56</f>
        <v>-0</v>
      </c>
      <c r="AC60" s="20" t="n">
        <f aca="false">-AC56</f>
        <v>-0</v>
      </c>
      <c r="AD60" s="20" t="n">
        <f aca="false">-AD56</f>
        <v>-0</v>
      </c>
      <c r="AE60" s="20" t="n">
        <f aca="false">-AE56</f>
        <v>-0</v>
      </c>
      <c r="AF60" s="20" t="n">
        <f aca="false">-AF56</f>
        <v>-0</v>
      </c>
    </row>
    <row r="61" customFormat="false" ht="15" hidden="false" customHeight="true" outlineLevel="0" collapsed="false">
      <c r="B61" s="16" t="s">
        <v>465</v>
      </c>
      <c r="C61" s="58" t="n">
        <f aca="false">MAX(0,C57+C58+C59+C60)</f>
        <v>302223.8</v>
      </c>
      <c r="D61" s="58" t="n">
        <f aca="false">MAX(0,D57+D58+D59+D60)</f>
        <v>351383.704</v>
      </c>
      <c r="E61" s="58" t="n">
        <f aca="false">MAX(0,E57+E58+E59+E60)</f>
        <v>419494.40032</v>
      </c>
      <c r="F61" s="58" t="n">
        <f aca="false">MAX(0,F57+F58+F59+F60)</f>
        <v>493053.9523456</v>
      </c>
      <c r="G61" s="58" t="n">
        <f aca="false">MAX(0,G57+G58+G59+G60)</f>
        <v>572498.268533248</v>
      </c>
      <c r="H61" s="58" t="n">
        <f aca="false">MAX(0,H57+H58+H59+H60)</f>
        <v>659098.130015908</v>
      </c>
      <c r="I61" s="58" t="n">
        <f aca="false">MAX(0,I57+I58+I59+I60)</f>
        <v>753441.98041718</v>
      </c>
      <c r="J61" s="58" t="n">
        <f aca="false">MAX(0,J57+J58+J59+J60)</f>
        <v>856165.658850555</v>
      </c>
      <c r="K61" s="58" t="n">
        <f aca="false">MAX(0,K57+K58+K59+K60)</f>
        <v>967956.197958599</v>
      </c>
      <c r="L61" s="58" t="n">
        <f aca="false">MAX(0,L57+L58+L59+L60)</f>
        <v>1089555.92592329</v>
      </c>
      <c r="M61" s="58" t="n">
        <f aca="false">MAX(0,M57+M58+M59+M60)</f>
        <v>1221766.89676771</v>
      </c>
      <c r="N61" s="58" t="n">
        <f aca="false">MAX(0,N57+N58+N59+N60)</f>
        <v>1363623.02486995</v>
      </c>
      <c r="O61" s="58" t="n">
        <f aca="false">MAX(0,O57+O58+O59+O60)</f>
        <v>1513442.93848772</v>
      </c>
      <c r="P61" s="58" t="n">
        <f aca="false">MAX(0,P57+P58+P59+P60)</f>
        <v>1670971.25427297</v>
      </c>
      <c r="Q61" s="58" t="n">
        <f aca="false">MAX(0,Q57+Q58+Q59+Q60)</f>
        <v>1835863.53324473</v>
      </c>
      <c r="R61" s="58" t="n">
        <f aca="false">MAX(0,R57+R58+R59+R60)</f>
        <v>2007683.43054129</v>
      </c>
      <c r="S61" s="58" t="n">
        <f aca="false">MAX(0,S57+S58+S59+S60)</f>
        <v>2185901.00016317</v>
      </c>
      <c r="T61" s="58" t="n">
        <f aca="false">MAX(0,T57+T58+T59+T60)</f>
        <v>2369892.27589119</v>
      </c>
      <c r="U61" s="58" t="n">
        <f aca="false">MAX(0,U57+U58+U59+U60)</f>
        <v>2558940.23227745</v>
      </c>
      <c r="V61" s="58" t="n">
        <f aca="false">MAX(0,V57+V58+V59+V60)</f>
        <v>2752237.20846953</v>
      </c>
      <c r="W61" s="58" t="n">
        <f aca="false">MAX(0,W57+W58+W59+W60)</f>
        <v>2948888.85290934</v>
      </c>
      <c r="X61" s="58" t="n">
        <f aca="false">MAX(0,X57+X58+X59+X60)</f>
        <v>3147919.61904314</v>
      </c>
      <c r="Y61" s="58" t="n">
        <f aca="false">MAX(0,Y57+Y58+Y59+Y60)</f>
        <v>3348279.81161265</v>
      </c>
      <c r="Z61" s="58" t="n">
        <f aca="false">MAX(0,Z57+Z58+Z59+Z60)</f>
        <v>3548854.1505073</v>
      </c>
      <c r="AA61" s="58" t="n">
        <f aca="false">MAX(0,AA57+AA58+AA59+AA60)</f>
        <v>3748471.78529148</v>
      </c>
      <c r="AB61" s="58" t="n">
        <f aca="false">MAX(0,AB57+AB58+AB59+AB60)</f>
        <v>3945917.65921053</v>
      </c>
      <c r="AC61" s="58" t="n">
        <f aca="false">MAX(0,AC57+AC58+AC59+AC60)</f>
        <v>4139945.08762512</v>
      </c>
      <c r="AD61" s="58" t="n">
        <f aca="false">MAX(0,AD57+AD58+AD59+AD60)</f>
        <v>4329289.38336534</v>
      </c>
      <c r="AE61" s="58" t="n">
        <f aca="false">MAX(0,AE57+AE58+AE59+AE60)</f>
        <v>4512682.3313869</v>
      </c>
      <c r="AF61" s="58" t="n">
        <f aca="false">MAX(0,AF57+AF58+AF59+AF60)</f>
        <v>4688867.28828447</v>
      </c>
    </row>
    <row r="62" customFormat="false" ht="15" hidden="false" customHeight="true" outlineLevel="0" collapsed="false">
      <c r="B62" s="6" t="s">
        <v>466</v>
      </c>
      <c r="C62" s="17" t="n">
        <f aca="false">MM_Income!C$37</f>
        <v>578400</v>
      </c>
      <c r="D62" s="17" t="n">
        <f aca="false">MM_Income!D$37</f>
        <v>684672</v>
      </c>
      <c r="E62" s="17" t="n">
        <f aca="false">MM_Income!E$37</f>
        <v>799445.76</v>
      </c>
      <c r="F62" s="17" t="n">
        <f aca="false">MM_Income!F$37</f>
        <v>923401.4208</v>
      </c>
      <c r="G62" s="17" t="n">
        <f aca="false">MM_Income!G$37</f>
        <v>1057273.534464</v>
      </c>
      <c r="H62" s="17" t="n">
        <f aca="false">MM_Income!H$37</f>
        <v>1203055.41722112</v>
      </c>
      <c r="I62" s="17" t="n">
        <f aca="false">MM_Income!I$37</f>
        <v>1361723.85059881</v>
      </c>
      <c r="J62" s="17" t="n">
        <f aca="false">MM_Income!J$37</f>
        <v>1534334.23864671</v>
      </c>
      <c r="K62" s="17" t="n">
        <f aca="false">MM_Income!K$37</f>
        <v>1722026.90733845</v>
      </c>
      <c r="L62" s="17" t="n">
        <f aca="false">MM_Income!L$37</f>
        <v>1926033.90811753</v>
      </c>
      <c r="M62" s="17" t="n">
        <f aca="false">MM_Income!M$37</f>
        <v>2147686.36592277</v>
      </c>
      <c r="N62" s="17" t="n">
        <f aca="false">MM_Income!N$37</f>
        <v>2388422.41525555</v>
      </c>
      <c r="O62" s="17" t="n">
        <f aca="false">MM_Income!O$37</f>
        <v>2649795.77133613</v>
      </c>
      <c r="P62" s="17" t="n">
        <f aca="false">MM_Income!P$37</f>
        <v>2933484.98716036</v>
      </c>
      <c r="Q62" s="17" t="n">
        <f aca="false">MM_Income!Q$37</f>
        <v>3241303.45133287</v>
      </c>
      <c r="R62" s="17" t="n">
        <f aca="false">MM_Income!R$37</f>
        <v>3575210.18594318</v>
      </c>
      <c r="S62" s="17" t="n">
        <f aca="false">MM_Income!S$37</f>
        <v>3926595.87793456</v>
      </c>
      <c r="T62" s="17" t="n">
        <f aca="false">MM_Income!T$37</f>
        <v>4294780.37072894</v>
      </c>
      <c r="U62" s="17" t="n">
        <f aca="false">MM_Income!U$37</f>
        <v>4678878.50283447</v>
      </c>
      <c r="V62" s="17" t="n">
        <f aca="false">MM_Income!V$37</f>
        <v>5077794.34132666</v>
      </c>
      <c r="W62" s="17" t="n">
        <f aca="false">MM_Income!W$37</f>
        <v>5490218.11581833</v>
      </c>
      <c r="X62" s="17" t="n">
        <f aca="false">MM_Income!X$37</f>
        <v>5914626.12415061</v>
      </c>
      <c r="Y62" s="17" t="n">
        <f aca="false">MM_Income!Y$37</f>
        <v>6349283.84033008</v>
      </c>
      <c r="Z62" s="17" t="n">
        <f aca="false">MM_Income!Z$37</f>
        <v>6792252.40574023</v>
      </c>
      <c r="AA62" s="17" t="n">
        <f aca="false">MM_Income!AA$37</f>
        <v>7241398.62700316</v>
      </c>
      <c r="AB62" s="17" t="n">
        <f aca="false">MM_Income!AB$37</f>
        <v>7694408.5389872</v>
      </c>
      <c r="AC62" s="17" t="n">
        <f aca="false">MM_Income!AC$37</f>
        <v>8148804.52056615</v>
      </c>
      <c r="AD62" s="17" t="n">
        <f aca="false">MM_Income!AD$37</f>
        <v>8601965.87532254</v>
      </c>
      <c r="AE62" s="17" t="n">
        <f aca="false">MM_Income!AE$37</f>
        <v>9051152.71117928</v>
      </c>
      <c r="AF62" s="17" t="n">
        <f aca="false">MM_Income!AF$37</f>
        <v>9493532.87387198</v>
      </c>
    </row>
    <row r="63" customFormat="false" ht="15" hidden="false" customHeight="true" outlineLevel="0" collapsed="false">
      <c r="B63" s="6" t="s">
        <v>467</v>
      </c>
      <c r="C63" s="17" t="n">
        <f aca="false">DM_Income!C$37</f>
        <v>880800</v>
      </c>
      <c r="D63" s="17" t="n">
        <f aca="false">DM_Income!D$37</f>
        <v>1011264</v>
      </c>
      <c r="E63" s="17" t="n">
        <f aca="false">DM_Income!E$37</f>
        <v>1152165.12</v>
      </c>
      <c r="F63" s="17" t="n">
        <f aca="false">DM_Income!F$37</f>
        <v>1304338.3296</v>
      </c>
      <c r="G63" s="17" t="n">
        <f aca="false">DM_Income!G$37</f>
        <v>1468685.395968</v>
      </c>
      <c r="H63" s="17" t="n">
        <f aca="false">DM_Income!H$37</f>
        <v>1647380.22764544</v>
      </c>
      <c r="I63" s="17" t="n">
        <f aca="false">DM_Income!I$37</f>
        <v>1841594.64585708</v>
      </c>
      <c r="J63" s="17" t="n">
        <f aca="false">DM_Income!J$37</f>
        <v>2047069.91358807</v>
      </c>
      <c r="K63" s="17" t="n">
        <f aca="false">DM_Income!K$37</f>
        <v>2263499.01679359</v>
      </c>
      <c r="L63" s="17" t="n">
        <f aca="false">DM_Income!L$37</f>
        <v>2490452.29517793</v>
      </c>
      <c r="M63" s="17" t="n">
        <f aca="false">DM_Income!M$37</f>
        <v>2727372.79640587</v>
      </c>
      <c r="N63" s="17" t="n">
        <f aca="false">DM_Income!N$37</f>
        <v>2973573.16823121</v>
      </c>
      <c r="O63" s="17" t="n">
        <f aca="false">DM_Income!O$37</f>
        <v>3228234.26752168</v>
      </c>
      <c r="P63" s="17" t="n">
        <f aca="false">DM_Income!P$37</f>
        <v>3490405.6434228</v>
      </c>
      <c r="Q63" s="17" t="n">
        <f aca="false">DM_Income!Q$37</f>
        <v>3759008.02465416</v>
      </c>
      <c r="R63" s="17" t="n">
        <f aca="false">DM_Income!R$37</f>
        <v>4032837.90846451</v>
      </c>
      <c r="S63" s="17" t="n">
        <f aca="false">DM_Income!S$37</f>
        <v>4310574.31156149</v>
      </c>
      <c r="T63" s="17" t="n">
        <f aca="false">DM_Income!T$37</f>
        <v>4590787.70203211</v>
      </c>
      <c r="U63" s="17" t="n">
        <f aca="false">DM_Income!U$37</f>
        <v>4871951.08670529</v>
      </c>
      <c r="V63" s="17" t="n">
        <f aca="false">DM_Income!V$37</f>
        <v>5152453.18155966</v>
      </c>
      <c r="W63" s="17" t="n">
        <f aca="false">DM_Income!W$37</f>
        <v>5430613.54476436</v>
      </c>
      <c r="X63" s="17" t="n">
        <f aca="false">DM_Income!X$37</f>
        <v>5704699.50398266</v>
      </c>
      <c r="Y63" s="17" t="n">
        <f aca="false">DM_Income!Y$37</f>
        <v>5972944.66296468</v>
      </c>
      <c r="Z63" s="17" t="n">
        <f aca="false">DM_Income!Z$37</f>
        <v>6233568.72854233</v>
      </c>
      <c r="AA63" s="17" t="n">
        <f aca="false">DM_Income!AA$37</f>
        <v>6484798.35924313</v>
      </c>
      <c r="AB63" s="17" t="n">
        <f aca="false">DM_Income!AB$37</f>
        <v>6724888.7021396</v>
      </c>
      <c r="AC63" s="17" t="n">
        <f aca="false">DM_Income!AC$37</f>
        <v>6952145.25642894</v>
      </c>
      <c r="AD63" s="17" t="n">
        <f aca="false">DM_Income!AD$37</f>
        <v>7185802.117409</v>
      </c>
      <c r="AE63" s="17" t="n">
        <f aca="false">DM_Income!AE$37</f>
        <v>7426024.39472569</v>
      </c>
      <c r="AF63" s="17" t="n">
        <f aca="false">DM_Income!AF$37</f>
        <v>7672981.24228809</v>
      </c>
    </row>
    <row r="64" customFormat="false" ht="15" hidden="false" customHeight="true" outlineLevel="0" collapsed="false">
      <c r="B64" s="16" t="s">
        <v>468</v>
      </c>
      <c r="C64" s="58" t="n">
        <f aca="false">C62+C63</f>
        <v>1459200</v>
      </c>
      <c r="D64" s="58" t="n">
        <f aca="false">D62+D63</f>
        <v>1695936</v>
      </c>
      <c r="E64" s="58" t="n">
        <f aca="false">E62+E63</f>
        <v>1951610.88</v>
      </c>
      <c r="F64" s="58" t="n">
        <f aca="false">F62+F63</f>
        <v>2227739.7504</v>
      </c>
      <c r="G64" s="58" t="n">
        <f aca="false">G62+G63</f>
        <v>2525958.930432</v>
      </c>
      <c r="H64" s="58" t="n">
        <f aca="false">H62+H63</f>
        <v>2850435.64486656</v>
      </c>
      <c r="I64" s="58" t="n">
        <f aca="false">I62+I63</f>
        <v>3203318.49645589</v>
      </c>
      <c r="J64" s="58" t="n">
        <f aca="false">J62+J63</f>
        <v>3581404.15223478</v>
      </c>
      <c r="K64" s="58" t="n">
        <f aca="false">K62+K63</f>
        <v>3985525.92413204</v>
      </c>
      <c r="L64" s="58" t="n">
        <f aca="false">L62+L63</f>
        <v>4416486.20329546</v>
      </c>
      <c r="M64" s="58" t="n">
        <f aca="false">M62+M63</f>
        <v>4875059.16232864</v>
      </c>
      <c r="N64" s="58" t="n">
        <f aca="false">N62+N63</f>
        <v>5361995.58348676</v>
      </c>
      <c r="O64" s="58" t="n">
        <f aca="false">O62+O63</f>
        <v>5878030.03885781</v>
      </c>
      <c r="P64" s="58" t="n">
        <f aca="false">P62+P63</f>
        <v>6423890.63058316</v>
      </c>
      <c r="Q64" s="58" t="n">
        <f aca="false">Q62+Q63</f>
        <v>7000311.47598703</v>
      </c>
      <c r="R64" s="58" t="n">
        <f aca="false">R62+R63</f>
        <v>7608048.09440769</v>
      </c>
      <c r="S64" s="58" t="n">
        <f aca="false">S62+S63</f>
        <v>8237170.18949605</v>
      </c>
      <c r="T64" s="58" t="n">
        <f aca="false">T62+T63</f>
        <v>8885568.07276105</v>
      </c>
      <c r="U64" s="58" t="n">
        <f aca="false">U62+U63</f>
        <v>9550829.58953976</v>
      </c>
      <c r="V64" s="58" t="n">
        <f aca="false">V62+V63</f>
        <v>10230247.5228863</v>
      </c>
      <c r="W64" s="58" t="n">
        <f aca="false">W62+W63</f>
        <v>10920831.6605827</v>
      </c>
      <c r="X64" s="58" t="n">
        <f aca="false">X62+X63</f>
        <v>11619325.6281333</v>
      </c>
      <c r="Y64" s="58" t="n">
        <f aca="false">Y62+Y63</f>
        <v>12322228.5032948</v>
      </c>
      <c r="Z64" s="58" t="n">
        <f aca="false">Z62+Z63</f>
        <v>13025821.1342826</v>
      </c>
      <c r="AA64" s="58" t="n">
        <f aca="false">AA62+AA63</f>
        <v>13726196.9862463</v>
      </c>
      <c r="AB64" s="58" t="n">
        <f aca="false">AB62+AB63</f>
        <v>14419297.2411268</v>
      </c>
      <c r="AC64" s="58" t="n">
        <f aca="false">AC62+AC63</f>
        <v>15100949.7769951</v>
      </c>
      <c r="AD64" s="58" t="n">
        <f aca="false">AD62+AD63</f>
        <v>15787767.9927315</v>
      </c>
      <c r="AE64" s="58" t="n">
        <f aca="false">AE62+AE63</f>
        <v>16477177.105905</v>
      </c>
      <c r="AF64" s="58" t="n">
        <f aca="false">AF62+AF63</f>
        <v>17166514.1161601</v>
      </c>
    </row>
    <row r="65" customFormat="false" ht="15" hidden="false" customHeight="true" outlineLevel="0" collapsed="false">
      <c r="B65" s="16" t="s">
        <v>469</v>
      </c>
      <c r="C65" s="59" t="n">
        <f aca="false">C55+C61</f>
        <v>302223.8</v>
      </c>
      <c r="D65" s="59" t="n">
        <f aca="false">D55+D61</f>
        <v>351383.704</v>
      </c>
      <c r="E65" s="59" t="n">
        <f aca="false">E55+E61</f>
        <v>419574.04832</v>
      </c>
      <c r="F65" s="59" t="n">
        <f aca="false">F55+F61</f>
        <v>519058.3736256</v>
      </c>
      <c r="G65" s="59" t="n">
        <f aca="false">G55+G61</f>
        <v>637639.509279648</v>
      </c>
      <c r="H65" s="59" t="n">
        <f aca="false">H55+H61</f>
        <v>766849.014135688</v>
      </c>
      <c r="I65" s="59" t="n">
        <f aca="false">I55+I61</f>
        <v>916519.643984108</v>
      </c>
      <c r="J65" s="59" t="n">
        <f aca="false">J55+J61</f>
        <v>1079132.80196828</v>
      </c>
      <c r="K65" s="59" t="n">
        <f aca="false">K55+K61</f>
        <v>1277616.45633447</v>
      </c>
      <c r="L65" s="59" t="n">
        <f aca="false">L55+L61</f>
        <v>1492988.3570682</v>
      </c>
      <c r="M65" s="59" t="n">
        <f aca="false">M55+M61</f>
        <v>1726539.57703113</v>
      </c>
      <c r="N65" s="59" t="n">
        <f aca="false">N55+N61</f>
        <v>1977068.25424608</v>
      </c>
      <c r="O65" s="59" t="n">
        <f aca="false">O55+O61</f>
        <v>2242153.4778354</v>
      </c>
      <c r="P65" s="59" t="n">
        <f aca="false">P55+P61</f>
        <v>2521297.56069933</v>
      </c>
      <c r="Q65" s="59" t="n">
        <f aca="false">Q55+Q61</f>
        <v>2813841.83265884</v>
      </c>
      <c r="R65" s="59" t="n">
        <f aca="false">R55+R61</f>
        <v>3118963.00584848</v>
      </c>
      <c r="S65" s="59" t="n">
        <f aca="false">S55+S61</f>
        <v>3435671.73621548</v>
      </c>
      <c r="T65" s="59" t="n">
        <f aca="false">T55+T61</f>
        <v>3762813.56380346</v>
      </c>
      <c r="U65" s="59" t="n">
        <f aca="false">U55+U61</f>
        <v>4099072.37796295</v>
      </c>
      <c r="V65" s="59" t="n">
        <f aca="false">V55+V61</f>
        <v>4478415.83719189</v>
      </c>
      <c r="W65" s="59" t="n">
        <f aca="false">W55+W61</f>
        <v>4865788.49012798</v>
      </c>
      <c r="X65" s="59" t="n">
        <f aca="false">X55+X61</f>
        <v>5259305.19242748</v>
      </c>
      <c r="Y65" s="59" t="n">
        <f aca="false">Y55+Y61</f>
        <v>5656937.83927048</v>
      </c>
      <c r="Z65" s="59" t="n">
        <f aca="false">Z55+Z61</f>
        <v>6056532.97209668</v>
      </c>
      <c r="AA65" s="59" t="n">
        <f aca="false">AA55+AA61</f>
        <v>6455832.09014417</v>
      </c>
      <c r="AB65" s="59" t="n">
        <f aca="false">AB55+AB61</f>
        <v>6852494.42979462</v>
      </c>
      <c r="AC65" s="59" t="n">
        <f aca="false">AC55+AC61</f>
        <v>7244121.91202563</v>
      </c>
      <c r="AD65" s="59" t="n">
        <f aca="false">AD55+AD61</f>
        <v>7628285.89977588</v>
      </c>
      <c r="AE65" s="59" t="n">
        <f aca="false">AE55+AE61</f>
        <v>8002555.35450902</v>
      </c>
      <c r="AF65" s="59" t="n">
        <f aca="false">AF55+AF61</f>
        <v>8364525.93638784</v>
      </c>
    </row>
    <row r="66" customFormat="false" ht="15" hidden="false" customHeight="true" outlineLevel="0" collapsed="false">
      <c r="B66" s="16" t="s">
        <v>470</v>
      </c>
      <c r="C66" s="59" t="n">
        <f aca="false">C65+C64</f>
        <v>1761423.8</v>
      </c>
      <c r="D66" s="59" t="n">
        <f aca="false">D65+D64</f>
        <v>2047319.704</v>
      </c>
      <c r="E66" s="59" t="n">
        <f aca="false">E65+E64</f>
        <v>2371184.92832</v>
      </c>
      <c r="F66" s="59" t="n">
        <f aca="false">F65+F64</f>
        <v>2746798.1240256</v>
      </c>
      <c r="G66" s="59" t="n">
        <f aca="false">G65+G64</f>
        <v>3163598.43971165</v>
      </c>
      <c r="H66" s="59" t="n">
        <f aca="false">H65+H64</f>
        <v>3617284.65900225</v>
      </c>
      <c r="I66" s="59" t="n">
        <f aca="false">I65+I64</f>
        <v>4119838.14043999</v>
      </c>
      <c r="J66" s="59" t="n">
        <f aca="false">J65+J64</f>
        <v>4660536.95420307</v>
      </c>
      <c r="K66" s="59" t="n">
        <f aca="false">K65+K64</f>
        <v>5263142.38046651</v>
      </c>
      <c r="L66" s="59" t="n">
        <f aca="false">L65+L64</f>
        <v>5909474.56036366</v>
      </c>
      <c r="M66" s="59" t="n">
        <f aca="false">M65+M64</f>
        <v>6601598.73935978</v>
      </c>
      <c r="N66" s="59" t="n">
        <f aca="false">N65+N64</f>
        <v>7339063.83773284</v>
      </c>
      <c r="O66" s="59" t="n">
        <f aca="false">O65+O64</f>
        <v>8120183.51669321</v>
      </c>
      <c r="P66" s="59" t="n">
        <f aca="false">P65+P64</f>
        <v>8945188.19128249</v>
      </c>
      <c r="Q66" s="59" t="n">
        <f aca="false">Q65+Q64</f>
        <v>9814153.30864587</v>
      </c>
      <c r="R66" s="59" t="n">
        <f aca="false">R65+R64</f>
        <v>10727011.1002562</v>
      </c>
      <c r="S66" s="59" t="n">
        <f aca="false">S65+S64</f>
        <v>11672841.9257115</v>
      </c>
      <c r="T66" s="59" t="n">
        <f aca="false">T65+T64</f>
        <v>12648381.6365645</v>
      </c>
      <c r="U66" s="59" t="n">
        <f aca="false">U65+U64</f>
        <v>13649901.9675027</v>
      </c>
      <c r="V66" s="59" t="n">
        <f aca="false">V65+V64</f>
        <v>14708663.3600782</v>
      </c>
      <c r="W66" s="59" t="n">
        <f aca="false">W65+W64</f>
        <v>15786620.1507107</v>
      </c>
      <c r="X66" s="59" t="n">
        <f aca="false">X65+X64</f>
        <v>16878630.8205608</v>
      </c>
      <c r="Y66" s="59" t="n">
        <f aca="false">Y65+Y64</f>
        <v>17979166.3425652</v>
      </c>
      <c r="Z66" s="59" t="n">
        <f aca="false">Z65+Z64</f>
        <v>19082354.1063792</v>
      </c>
      <c r="AA66" s="59" t="n">
        <f aca="false">AA65+AA64</f>
        <v>20182029.0763905</v>
      </c>
      <c r="AB66" s="59" t="n">
        <f aca="false">AB65+AB64</f>
        <v>21271791.6709214</v>
      </c>
      <c r="AC66" s="59" t="n">
        <f aca="false">AC65+AC64</f>
        <v>22345071.6890207</v>
      </c>
      <c r="AD66" s="59" t="n">
        <f aca="false">AD65+AD64</f>
        <v>23416053.8925074</v>
      </c>
      <c r="AE66" s="59" t="n">
        <f aca="false">AE65+AE64</f>
        <v>24479732.460414</v>
      </c>
      <c r="AF66" s="59" t="n">
        <f aca="false">AF65+AF64</f>
        <v>25531040.0525479</v>
      </c>
    </row>
    <row r="67" customFormat="false" ht="15" hidden="false" customHeight="true" outlineLevel="0" collapsed="false">
      <c r="B67" s="56" t="s">
        <v>471</v>
      </c>
      <c r="C67" s="20" t="n">
        <f aca="false">C66/C$6</f>
        <v>1761423.8</v>
      </c>
      <c r="D67" s="20" t="n">
        <f aca="false">D66/D$6</f>
        <v>1968576.63846154</v>
      </c>
      <c r="E67" s="20" t="n">
        <f aca="false">E66/E$6</f>
        <v>2192293.75769231</v>
      </c>
      <c r="F67" s="20" t="n">
        <f aca="false">F66/F$6</f>
        <v>2489773.79556213</v>
      </c>
      <c r="G67" s="20" t="n">
        <f aca="false">G66/G$6</f>
        <v>2811346.20619826</v>
      </c>
      <c r="H67" s="20" t="n">
        <f aca="false">H66/H$6</f>
        <v>3151486.80158303</v>
      </c>
      <c r="I67" s="20" t="n">
        <f aca="false">I66/I$6</f>
        <v>3518947.50556127</v>
      </c>
      <c r="J67" s="20" t="n">
        <f aca="false">J66/J$6</f>
        <v>3902729.20652052</v>
      </c>
      <c r="K67" s="20" t="n">
        <f aca="false">K66/K$6</f>
        <v>4320931.78090382</v>
      </c>
      <c r="L67" s="20" t="n">
        <f aca="false">L66/L$6</f>
        <v>4756428.6508733</v>
      </c>
      <c r="M67" s="20" t="n">
        <f aca="false">M66/M$6</f>
        <v>5209320.41281837</v>
      </c>
      <c r="N67" s="20" t="n">
        <f aca="false">N66/N$6</f>
        <v>5677699.99334185</v>
      </c>
      <c r="O67" s="20" t="n">
        <f aca="false">O66/O$6</f>
        <v>6158819.10372923</v>
      </c>
      <c r="P67" s="20" t="n">
        <f aca="false">P66/P$6</f>
        <v>6651520.19229129</v>
      </c>
      <c r="Q67" s="20" t="n">
        <f aca="false">Q66/Q$6</f>
        <v>7154579.24184486</v>
      </c>
      <c r="R67" s="20" t="n">
        <f aca="false">R66/R$6</f>
        <v>7666723.81415755</v>
      </c>
      <c r="S67" s="20" t="n">
        <f aca="false">S66/S$6</f>
        <v>8179137.72324689</v>
      </c>
      <c r="T67" s="20" t="n">
        <f aca="false">T66/T$6</f>
        <v>8688918.14578746</v>
      </c>
      <c r="U67" s="20" t="n">
        <f aca="false">U66/U$6</f>
        <v>9193060.23098839</v>
      </c>
      <c r="V67" s="20" t="n">
        <f aca="false">V66/V$6</f>
        <v>9711886.75634945</v>
      </c>
      <c r="W67" s="20" t="n">
        <f aca="false">W66/W$6</f>
        <v>10219258.5960996</v>
      </c>
      <c r="X67" s="20" t="n">
        <f aca="false">X66/X$6</f>
        <v>10711918.8036599</v>
      </c>
      <c r="Y67" s="20" t="n">
        <f aca="false">Y66/Y$6</f>
        <v>11186634.1916861</v>
      </c>
      <c r="Z67" s="20" t="n">
        <f aca="false">Z66/Z$6</f>
        <v>11640232.7722637</v>
      </c>
      <c r="AA67" s="20" t="n">
        <f aca="false">AA66/AA$6</f>
        <v>12069641.4879227</v>
      </c>
      <c r="AB67" s="20" t="n">
        <f aca="false">AB66/AB$6</f>
        <v>12471923.6022058</v>
      </c>
      <c r="AC67" s="20" t="n">
        <f aca="false">AC66/AC$6</f>
        <v>12844315.1059524</v>
      </c>
      <c r="AD67" s="20" t="n">
        <f aca="false">AD66/AD$6</f>
        <v>13196013.048666</v>
      </c>
      <c r="AE67" s="20" t="n">
        <f aca="false">AE66/AE$6</f>
        <v>13524945.466498</v>
      </c>
      <c r="AF67" s="20" t="n">
        <f aca="false">AF66/AF$6</f>
        <v>13829204.2431779</v>
      </c>
    </row>
    <row r="68" customFormat="false" ht="15" hidden="false" customHeight="true" outlineLevel="0" collapsed="false">
      <c r="B68" s="56" t="s">
        <v>472</v>
      </c>
      <c r="C68" s="17" t="n">
        <f aca="false">Children!C$58</f>
        <v>34200</v>
      </c>
      <c r="D68" s="17" t="n">
        <f aca="false">Children!D$58</f>
        <v>54936</v>
      </c>
      <c r="E68" s="17" t="n">
        <f aca="false">Children!E$58</f>
        <v>77330.88</v>
      </c>
      <c r="F68" s="17" t="n">
        <f aca="false">Children!F$58</f>
        <v>101517.3504</v>
      </c>
      <c r="G68" s="17" t="n">
        <f aca="false">Children!G$58</f>
        <v>118638.738432</v>
      </c>
      <c r="H68" s="17" t="n">
        <f aca="false">Children!H$58</f>
        <v>137129.83750656</v>
      </c>
      <c r="I68" s="17" t="n">
        <f aca="false">Children!I$58</f>
        <v>148100.224507085</v>
      </c>
      <c r="J68" s="17" t="n">
        <f aca="false">Children!J$58</f>
        <v>159948.242467652</v>
      </c>
      <c r="K68" s="17" t="n">
        <f aca="false">Children!K$58</f>
        <v>172744.101865064</v>
      </c>
      <c r="L68" s="17" t="n">
        <f aca="false">Children!L$58</f>
        <v>186563.630014269</v>
      </c>
      <c r="M68" s="17" t="n">
        <f aca="false">Children!M$58</f>
        <v>201488.72041541</v>
      </c>
      <c r="N68" s="17" t="n">
        <f aca="false">Children!N$58</f>
        <v>217607.818048643</v>
      </c>
      <c r="O68" s="17" t="n">
        <f aca="false">Children!O$58</f>
        <v>235016.443492535</v>
      </c>
      <c r="P68" s="17" t="n">
        <f aca="false">Children!P$58</f>
        <v>219591.742529564</v>
      </c>
      <c r="Q68" s="17" t="n">
        <f aca="false">Children!Q$58</f>
        <v>202248.545160709</v>
      </c>
      <c r="R68" s="17" t="n">
        <f aca="false">Children!R$58</f>
        <v>182819.68126692</v>
      </c>
      <c r="S68" s="17" t="n">
        <f aca="false">Children!S$58</f>
        <v>118309.886407632</v>
      </c>
      <c r="T68" s="17" t="n">
        <f aca="false">Children!T$58</f>
        <v>90727.3364143285</v>
      </c>
      <c r="U68" s="17" t="n">
        <f aca="false">Children!U$58</f>
        <v>60197.2356034429</v>
      </c>
      <c r="V68" s="17" t="n">
        <f aca="false">Children!V$58</f>
        <v>19577.9808817625</v>
      </c>
      <c r="W68" s="17" t="n">
        <f aca="false">Children!W$58</f>
        <v>21144.2193523035</v>
      </c>
      <c r="X68" s="17" t="n">
        <f aca="false">Children!X$58</f>
        <v>22835.7569004878</v>
      </c>
      <c r="Y68" s="17" t="n">
        <f aca="false">Children!Y$58</f>
        <v>24662.6174525268</v>
      </c>
      <c r="Z68" s="17" t="n">
        <f aca="false">Children!Z$58</f>
        <v>26635.626848729</v>
      </c>
      <c r="AA68" s="17" t="n">
        <f aca="false">Children!AA$58</f>
        <v>28766.4769966273</v>
      </c>
      <c r="AB68" s="17" t="n">
        <f aca="false">Children!AB$58</f>
        <v>31067.7951563575</v>
      </c>
      <c r="AC68" s="17" t="n">
        <f aca="false">Children!AC$58</f>
        <v>33553.2187688661</v>
      </c>
      <c r="AD68" s="17" t="n">
        <f aca="false">Children!AD$58</f>
        <v>36237.4762703753</v>
      </c>
      <c r="AE68" s="17" t="n">
        <f aca="false">Children!AE$58</f>
        <v>39136.4743720054</v>
      </c>
      <c r="AF68" s="17" t="n">
        <f aca="false">Children!AF$58</f>
        <v>42267.3923217658</v>
      </c>
    </row>
    <row r="69" customFormat="false" ht="15" hidden="false" customHeight="true" outlineLevel="0" collapsed="false">
      <c r="A69" s="30" t="s">
        <v>473</v>
      </c>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row>
    <row r="70" customFormat="false" ht="15" hidden="false" customHeight="true" outlineLevel="0" collapsed="false">
      <c r="B70" s="16" t="s">
        <v>474</v>
      </c>
      <c r="C70" s="64" t="n">
        <f aca="false">C8/(C22+C26)</f>
        <v>0.68365690376569</v>
      </c>
      <c r="D70" s="64" t="n">
        <f aca="false">D8/(D22+D26)</f>
        <v>0.682240459249677</v>
      </c>
      <c r="E70" s="64" t="n">
        <f aca="false">E8/(E22+E26)</f>
        <v>0.738521702081615</v>
      </c>
      <c r="F70" s="64" t="n">
        <f aca="false">F8/(F22+F26)</f>
        <v>0.884698222336849</v>
      </c>
      <c r="G70" s="64" t="n">
        <f aca="false">G8/(G22+G26)</f>
        <v>0.955484532940267</v>
      </c>
      <c r="H70" s="64" t="n">
        <f aca="false">H8/(H22+H26)</f>
        <v>0.956970439597428</v>
      </c>
      <c r="I70" s="64" t="n">
        <f aca="false">I8/(I22+I26)</f>
        <v>1.03765508409667</v>
      </c>
      <c r="J70" s="64" t="n">
        <f aca="false">J8/(J22+J26)</f>
        <v>1.03765508409667</v>
      </c>
      <c r="K70" s="64" t="n">
        <f aca="false">K8/(K22+K26)</f>
        <v>1.28669230427987</v>
      </c>
      <c r="L70" s="64" t="n">
        <f aca="false">L8/(L22+L26)</f>
        <v>1.28669230427987</v>
      </c>
      <c r="M70" s="64" t="n">
        <f aca="false">M8/(M22+M26)</f>
        <v>1.28669230427987</v>
      </c>
      <c r="N70" s="64" t="n">
        <f aca="false">N8/(N22+N26)</f>
        <v>1.28669230427987</v>
      </c>
      <c r="O70" s="64" t="n">
        <f aca="false">O8/(O22+O26)</f>
        <v>1.28669230427987</v>
      </c>
      <c r="P70" s="64" t="n">
        <f aca="false">P8/(P22+P26)</f>
        <v>1.28669230427987</v>
      </c>
      <c r="Q70" s="64" t="n">
        <f aca="false">Q8/(Q22+Q26)</f>
        <v>1.28669230427987</v>
      </c>
      <c r="R70" s="64" t="n">
        <f aca="false">R8/(R22+R26)</f>
        <v>1.28669230427987</v>
      </c>
      <c r="S70" s="64" t="n">
        <f aca="false">S8/(S22+S26)</f>
        <v>1.28669230427987</v>
      </c>
      <c r="T70" s="64" t="n">
        <f aca="false">T8/(T22+T26)</f>
        <v>1.28669230427987</v>
      </c>
      <c r="U70" s="64" t="n">
        <f aca="false">U8/(U22+U26)</f>
        <v>1.28669230427987</v>
      </c>
      <c r="V70" s="64" t="n">
        <f aca="false">V8/(V22+V26)</f>
        <v>1.87019230273238</v>
      </c>
      <c r="W70" s="64" t="n">
        <f aca="false">W8/(W22+W26)</f>
        <v>1.87019230273237</v>
      </c>
      <c r="X70" s="64" t="n">
        <f aca="false">X8/(X22+X26)</f>
        <v>1.87019230273238</v>
      </c>
      <c r="Y70" s="64" t="n">
        <f aca="false">Y8/(Y22+Y26)</f>
        <v>1.87019230273237</v>
      </c>
      <c r="Z70" s="64" t="n">
        <f aca="false">Z8/(Z22+Z26)</f>
        <v>1.87019230273238</v>
      </c>
      <c r="AA70" s="64" t="n">
        <f aca="false">AA8/(AA22+AA26)</f>
        <v>1.87019230273237</v>
      </c>
      <c r="AB70" s="64" t="n">
        <f aca="false">AB8/(AB22+AB26)</f>
        <v>1.87019230273238</v>
      </c>
      <c r="AC70" s="64" t="n">
        <f aca="false">AC8/(AC22+AC26)</f>
        <v>1.87019230273238</v>
      </c>
      <c r="AD70" s="64" t="n">
        <f aca="false">AD8/(AD22+AD26)</f>
        <v>1.87019230273237</v>
      </c>
      <c r="AE70" s="64" t="n">
        <f aca="false">AE8/(AE22+AE26)</f>
        <v>1.87019230273238</v>
      </c>
      <c r="AF70" s="64" t="n">
        <f aca="false">AF8/(AF22+AF26)</f>
        <v>1.87019230273238</v>
      </c>
    </row>
    <row r="71" customFormat="false" ht="15" hidden="false" customHeight="true" outlineLevel="0" collapsed="false">
      <c r="B71" s="6" t="s">
        <v>475</v>
      </c>
      <c r="C71" s="65" t="n">
        <f aca="false">C9/(C22+C26)</f>
        <v>0.724591352859135</v>
      </c>
      <c r="D71" s="65" t="n">
        <f aca="false">D9/(D22+D26)</f>
        <v>0.72492992669254</v>
      </c>
      <c r="E71" s="65" t="n">
        <f aca="false">E9/(E22+E26)</f>
        <v>0.784940644457369</v>
      </c>
      <c r="F71" s="65" t="n">
        <f aca="false">F9/(F22+F26)</f>
        <v>0.940427779051403</v>
      </c>
      <c r="G71" s="65" t="n">
        <f aca="false">G9/(G22+G26)</f>
        <v>1.01580376651331</v>
      </c>
      <c r="H71" s="65" t="n">
        <f aca="false">H9/(H22+H26)</f>
        <v>1.01738347767241</v>
      </c>
      <c r="I71" s="65" t="n">
        <f aca="false">I9/(I22+I26)</f>
        <v>1.10316170113555</v>
      </c>
      <c r="J71" s="65" t="n">
        <f aca="false">J9/(J22+J26)</f>
        <v>1.10316170113555</v>
      </c>
      <c r="K71" s="65" t="n">
        <f aca="false">K9/(K22+K26)</f>
        <v>1.36792050940808</v>
      </c>
      <c r="L71" s="65" t="n">
        <f aca="false">L9/(L22+L26)</f>
        <v>1.36792050940808</v>
      </c>
      <c r="M71" s="65" t="n">
        <f aca="false">M9/(M22+M26)</f>
        <v>1.36792050940808</v>
      </c>
      <c r="N71" s="65" t="n">
        <f aca="false">N9/(N22+N26)</f>
        <v>1.36792050940808</v>
      </c>
      <c r="O71" s="65" t="n">
        <f aca="false">O9/(O22+O26)</f>
        <v>1.36792050940808</v>
      </c>
      <c r="P71" s="65" t="n">
        <f aca="false">P9/(P22+P26)</f>
        <v>1.36792050940808</v>
      </c>
      <c r="Q71" s="65" t="n">
        <f aca="false">Q9/(Q22+Q26)</f>
        <v>1.36792050940808</v>
      </c>
      <c r="R71" s="65" t="n">
        <f aca="false">R9/(R22+R26)</f>
        <v>1.36792050940808</v>
      </c>
      <c r="S71" s="65" t="n">
        <f aca="false">S9/(S22+S26)</f>
        <v>1.36792050940808</v>
      </c>
      <c r="T71" s="65" t="n">
        <f aca="false">T9/(T22+T26)</f>
        <v>1.36792050940808</v>
      </c>
      <c r="U71" s="65" t="n">
        <f aca="false">U9/(U22+U26)</f>
        <v>1.36792050940808</v>
      </c>
      <c r="V71" s="65" t="n">
        <f aca="false">V9/(V22+V26)</f>
        <v>1.98825655437221</v>
      </c>
      <c r="W71" s="65" t="n">
        <f aca="false">W9/(W22+W26)</f>
        <v>1.98825655437221</v>
      </c>
      <c r="X71" s="65" t="n">
        <f aca="false">X9/(X22+X26)</f>
        <v>1.98825655437221</v>
      </c>
      <c r="Y71" s="65" t="n">
        <f aca="false">Y9/(Y22+Y26)</f>
        <v>1.98825655437221</v>
      </c>
      <c r="Z71" s="65" t="n">
        <f aca="false">Z9/(Z22+Z26)</f>
        <v>1.98825655437221</v>
      </c>
      <c r="AA71" s="65" t="n">
        <f aca="false">AA9/(AA22+AA26)</f>
        <v>1.98825655437221</v>
      </c>
      <c r="AB71" s="65" t="n">
        <f aca="false">AB9/(AB22+AB26)</f>
        <v>1.98825655437221</v>
      </c>
      <c r="AC71" s="65" t="n">
        <f aca="false">AC9/(AC22+AC26)</f>
        <v>1.98825655437221</v>
      </c>
      <c r="AD71" s="65" t="n">
        <f aca="false">AD9/(AD22+AD26)</f>
        <v>1.98825655437221</v>
      </c>
      <c r="AE71" s="65" t="n">
        <f aca="false">AE9/(AE22+AE26)</f>
        <v>1.98825655437221</v>
      </c>
      <c r="AF71" s="65" t="n">
        <f aca="false">AF9/(AF22+AF26)</f>
        <v>1.98825655437221</v>
      </c>
    </row>
    <row r="72" customFormat="false" ht="15" hidden="false" customHeight="true" outlineLevel="0" collapsed="false">
      <c r="B72" s="6" t="s">
        <v>476</v>
      </c>
      <c r="C72" s="65" t="n">
        <f aca="false">C10/C22</f>
        <v>1.61038915470494</v>
      </c>
      <c r="D72" s="65" t="n">
        <f aca="false">D10/D22</f>
        <v>1.60138786651945</v>
      </c>
      <c r="E72" s="65" t="n">
        <f aca="false">E10/E22</f>
        <v>1.74469688755331</v>
      </c>
      <c r="F72" s="65" t="n">
        <f aca="false">F10/F22</f>
        <v>2.1453217479013</v>
      </c>
      <c r="G72" s="65" t="n">
        <f aca="false">G10/G22</f>
        <v>2.14081678523222</v>
      </c>
      <c r="H72" s="65" t="n">
        <f aca="false">H10/H22</f>
        <v>2.14081678523222</v>
      </c>
      <c r="I72" s="65" t="n">
        <f aca="false">I10/I22</f>
        <v>2.14081678523222</v>
      </c>
      <c r="J72" s="65" t="n">
        <f aca="false">J10/J22</f>
        <v>2.14081678523222</v>
      </c>
      <c r="K72" s="65" t="n">
        <f aca="false">K10/K22</f>
        <v>2.65461281368795</v>
      </c>
      <c r="L72" s="65" t="n">
        <f aca="false">L10/L22</f>
        <v>2.65461281368795</v>
      </c>
      <c r="M72" s="65" t="n">
        <f aca="false">M10/M22</f>
        <v>2.65461281368795</v>
      </c>
      <c r="N72" s="65" t="n">
        <f aca="false">N10/N22</f>
        <v>2.65461281368795</v>
      </c>
      <c r="O72" s="65" t="n">
        <f aca="false">O10/O22</f>
        <v>2.65461281368795</v>
      </c>
      <c r="P72" s="65" t="n">
        <f aca="false">P10/P22</f>
        <v>2.65461281368795</v>
      </c>
      <c r="Q72" s="65" t="n">
        <f aca="false">Q10/Q22</f>
        <v>2.65461281368795</v>
      </c>
      <c r="R72" s="65" t="n">
        <f aca="false">R10/R22</f>
        <v>2.65461281368795</v>
      </c>
      <c r="S72" s="65" t="n">
        <f aca="false">S10/S22</f>
        <v>2.65461281368795</v>
      </c>
      <c r="T72" s="65" t="n">
        <f aca="false">T10/T22</f>
        <v>2.65461281368795</v>
      </c>
      <c r="U72" s="65" t="n">
        <f aca="false">U10/U22</f>
        <v>2.65461281368795</v>
      </c>
      <c r="V72" s="65" t="n">
        <f aca="false">V10/V22</f>
        <v>3.85844885710459</v>
      </c>
      <c r="W72" s="65" t="n">
        <f aca="false">W10/W22</f>
        <v>3.85844885710458</v>
      </c>
      <c r="X72" s="65" t="n">
        <f aca="false">X10/X22</f>
        <v>3.85844885710458</v>
      </c>
      <c r="Y72" s="65" t="n">
        <f aca="false">Y10/Y22</f>
        <v>3.85844885710458</v>
      </c>
      <c r="Z72" s="65" t="n">
        <f aca="false">Z10/Z22</f>
        <v>3.85844885710458</v>
      </c>
      <c r="AA72" s="65" t="n">
        <f aca="false">AA10/AA22</f>
        <v>3.85844885710458</v>
      </c>
      <c r="AB72" s="65" t="n">
        <f aca="false">AB10/AB22</f>
        <v>3.85844885710458</v>
      </c>
      <c r="AC72" s="65" t="n">
        <f aca="false">AC10/AC22</f>
        <v>3.85844885710458</v>
      </c>
      <c r="AD72" s="65" t="n">
        <f aca="false">AD10/AD22</f>
        <v>3.85844885710458</v>
      </c>
      <c r="AE72" s="65" t="n">
        <f aca="false">AE10/AE22</f>
        <v>3.85844885710458</v>
      </c>
      <c r="AF72" s="65" t="n">
        <f aca="false">AF10/AF22</f>
        <v>3.85844885710458</v>
      </c>
    </row>
    <row r="73" customFormat="false" ht="15" hidden="false" customHeight="true" outlineLevel="0" collapsed="false">
      <c r="B73" s="6" t="s">
        <v>477</v>
      </c>
      <c r="C73" s="38" t="n">
        <f aca="false">C65/C22</f>
        <v>2.41007814992026</v>
      </c>
      <c r="D73" s="38" t="n">
        <f aca="false">D65/D22</f>
        <v>2.6943297141455</v>
      </c>
      <c r="E73" s="38" t="n">
        <f aca="false">E65/E22</f>
        <v>3.38498946941768</v>
      </c>
      <c r="F73" s="38" t="n">
        <f aca="false">F65/F22</f>
        <v>5.05902007436683</v>
      </c>
      <c r="G73" s="38" t="n">
        <f aca="false">G65/G22</f>
        <v>6.09291680588203</v>
      </c>
      <c r="H73" s="38" t="n">
        <f aca="false">H65/H22</f>
        <v>7.18389078352104</v>
      </c>
      <c r="I73" s="38" t="n">
        <f aca="false">I65/I22</f>
        <v>8.41766161797503</v>
      </c>
      <c r="J73" s="38" t="n">
        <f aca="false">J65/J22</f>
        <v>9.71682559729072</v>
      </c>
      <c r="K73" s="38" t="n">
        <f aca="false">K65/K22</f>
        <v>13.9852915512222</v>
      </c>
      <c r="L73" s="38" t="n">
        <f aca="false">L65/L22</f>
        <v>16.0223891863632</v>
      </c>
      <c r="M73" s="38" t="n">
        <f aca="false">M65/M22</f>
        <v>18.1654943845503</v>
      </c>
      <c r="N73" s="38" t="n">
        <f aca="false">N65/N22</f>
        <v>20.3935191411498</v>
      </c>
      <c r="O73" s="38" t="n">
        <f aca="false">O65/O22</f>
        <v>22.6743934122465</v>
      </c>
      <c r="P73" s="38" t="n">
        <f aca="false">P65/P22</f>
        <v>24.9973673400708</v>
      </c>
      <c r="Q73" s="38" t="n">
        <f aca="false">Q65/Q22</f>
        <v>27.3507776407504</v>
      </c>
      <c r="R73" s="38" t="n">
        <f aca="false">R65/R22</f>
        <v>29.7221381662023</v>
      </c>
      <c r="S73" s="38" t="n">
        <f aca="false">S65/S22</f>
        <v>32.0982470606705</v>
      </c>
      <c r="T73" s="38" t="n">
        <f aca="false">T65/T22</f>
        <v>34.4653094687693</v>
      </c>
      <c r="U73" s="38" t="n">
        <f aca="false">U65/U22</f>
        <v>36.8090743816416</v>
      </c>
      <c r="V73" s="38" t="n">
        <f aca="false">V65/V22</f>
        <v>57.3066625755504</v>
      </c>
      <c r="W73" s="38" t="n">
        <f aca="false">W65/W22</f>
        <v>61.0427028140003</v>
      </c>
      <c r="X73" s="38" t="n">
        <f aca="false">X65/X22</f>
        <v>64.6857666201782</v>
      </c>
      <c r="Y73" s="38" t="n">
        <f aca="false">Y65/Y22</f>
        <v>68.2121268627884</v>
      </c>
      <c r="Z73" s="38" t="n">
        <f aca="false">Z65/Z22</f>
        <v>71.5985288174012</v>
      </c>
      <c r="AA73" s="38" t="n">
        <f aca="false">AA65/AA22</f>
        <v>74.8224745657394</v>
      </c>
      <c r="AB73" s="38" t="n">
        <f aca="false">AB65/AB22</f>
        <v>77.8625029679732</v>
      </c>
      <c r="AC73" s="38" t="n">
        <f aca="false">AC65/AC22</f>
        <v>80.6984601830721</v>
      </c>
      <c r="AD73" s="38" t="n">
        <f aca="false">AD65/AD22</f>
        <v>83.3117557883129</v>
      </c>
      <c r="AE73" s="38" t="n">
        <f aca="false">AE65/AE22</f>
        <v>85.6855997426501</v>
      </c>
      <c r="AF73" s="38" t="n">
        <f aca="false">AF65/AF22</f>
        <v>87.8052157474618</v>
      </c>
    </row>
    <row r="74" customFormat="false" ht="15" hidden="false" customHeight="true" outlineLevel="0" collapsed="false">
      <c r="B74" s="16" t="s">
        <v>478</v>
      </c>
      <c r="C74" s="63" t="n">
        <f aca="false">IF(C44&lt;0,1,0)</f>
        <v>0</v>
      </c>
      <c r="D74" s="63" t="n">
        <f aca="false">IF(D44&lt;0,1,0)</f>
        <v>0</v>
      </c>
      <c r="E74" s="63" t="n">
        <f aca="false">IF(E44&lt;0,1,0)</f>
        <v>0</v>
      </c>
      <c r="F74" s="63" t="n">
        <f aca="false">IF(F44&lt;0,1,0)</f>
        <v>0</v>
      </c>
      <c r="G74" s="63" t="n">
        <f aca="false">IF(G44&lt;0,1,0)</f>
        <v>0</v>
      </c>
      <c r="H74" s="63" t="n">
        <f aca="false">IF(H44&lt;0,1,0)</f>
        <v>0</v>
      </c>
      <c r="I74" s="63" t="n">
        <f aca="false">IF(I44&lt;0,1,0)</f>
        <v>0</v>
      </c>
      <c r="J74" s="63" t="n">
        <f aca="false">IF(J44&lt;0,1,0)</f>
        <v>0</v>
      </c>
      <c r="K74" s="63" t="n">
        <f aca="false">IF(K44&lt;0,1,0)</f>
        <v>0</v>
      </c>
      <c r="L74" s="63" t="n">
        <f aca="false">IF(L44&lt;0,1,0)</f>
        <v>0</v>
      </c>
      <c r="M74" s="63" t="n">
        <f aca="false">IF(M44&lt;0,1,0)</f>
        <v>0</v>
      </c>
      <c r="N74" s="63" t="n">
        <f aca="false">IF(N44&lt;0,1,0)</f>
        <v>0</v>
      </c>
      <c r="O74" s="63" t="n">
        <f aca="false">IF(O44&lt;0,1,0)</f>
        <v>0</v>
      </c>
      <c r="P74" s="63" t="n">
        <f aca="false">IF(P44&lt;0,1,0)</f>
        <v>0</v>
      </c>
      <c r="Q74" s="63" t="n">
        <f aca="false">IF(Q44&lt;0,1,0)</f>
        <v>0</v>
      </c>
      <c r="R74" s="63" t="n">
        <f aca="false">IF(R44&lt;0,1,0)</f>
        <v>0</v>
      </c>
      <c r="S74" s="63" t="n">
        <f aca="false">IF(S44&lt;0,1,0)</f>
        <v>0</v>
      </c>
      <c r="T74" s="63" t="n">
        <f aca="false">IF(T44&lt;0,1,0)</f>
        <v>0</v>
      </c>
      <c r="U74" s="63" t="n">
        <f aca="false">IF(U44&lt;0,1,0)</f>
        <v>0</v>
      </c>
      <c r="V74" s="63" t="n">
        <f aca="false">IF(V44&lt;0,1,0)</f>
        <v>0</v>
      </c>
      <c r="W74" s="63" t="n">
        <f aca="false">IF(W44&lt;0,1,0)</f>
        <v>0</v>
      </c>
      <c r="X74" s="63" t="n">
        <f aca="false">IF(X44&lt;0,1,0)</f>
        <v>0</v>
      </c>
      <c r="Y74" s="63" t="n">
        <f aca="false">IF(Y44&lt;0,1,0)</f>
        <v>0</v>
      </c>
      <c r="Z74" s="63" t="n">
        <f aca="false">IF(Z44&lt;0,1,0)</f>
        <v>0</v>
      </c>
      <c r="AA74" s="63" t="n">
        <f aca="false">IF(AA44&lt;0,1,0)</f>
        <v>0</v>
      </c>
      <c r="AB74" s="63" t="n">
        <f aca="false">IF(AB44&lt;0,1,0)</f>
        <v>0</v>
      </c>
      <c r="AC74" s="63" t="n">
        <f aca="false">IF(AC44&lt;0,1,0)</f>
        <v>0</v>
      </c>
      <c r="AD74" s="63" t="n">
        <f aca="false">IF(AD44&lt;0,1,0)</f>
        <v>0</v>
      </c>
      <c r="AE74" s="63" t="n">
        <f aca="false">IF(AE44&lt;0,1,0)</f>
        <v>0</v>
      </c>
      <c r="AF74" s="63" t="n">
        <f aca="false">IF(AF44&lt;0,1,0)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14" min="3" style="1" width="15"/>
    <col collapsed="false" customWidth="true" hidden="false" outlineLevel="0" max="32" min="15" style="1" width="13"/>
  </cols>
  <sheetData>
    <row r="1" customFormat="false" ht="17.25" hidden="false" customHeight="true" outlineLevel="0" collapsed="false">
      <c r="A1" s="28" t="s">
        <v>479</v>
      </c>
    </row>
    <row r="2" customFormat="false" ht="15" hidden="false" customHeight="true" outlineLevel="0" collapsed="false">
      <c r="A2" s="29" t="s">
        <v>480</v>
      </c>
    </row>
    <row r="4" customFormat="false" ht="15" hidden="false" customHeight="true" outlineLevel="0" collapsed="false">
      <c r="A4" s="30" t="s">
        <v>481</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482</v>
      </c>
      <c r="C6" s="17" t="n">
        <f aca="false">Household_Base!C$8</f>
        <v>98036.4</v>
      </c>
      <c r="D6" s="17" t="n">
        <f aca="false">Household_Base!D$8</f>
        <v>101255.4</v>
      </c>
      <c r="E6" s="17" t="n">
        <f aca="false">Household_Base!E$8</f>
        <v>104834.16</v>
      </c>
      <c r="F6" s="17" t="n">
        <f aca="false">Household_Base!F$8</f>
        <v>106695.1152</v>
      </c>
      <c r="G6" s="17" t="n">
        <f aca="false">Household_Base!G$8</f>
        <v>108593.289504</v>
      </c>
      <c r="H6" s="17" t="n">
        <f aca="false">Household_Base!H$8</f>
        <v>110765.15529408</v>
      </c>
      <c r="I6" s="17" t="n">
        <f aca="false">Household_Base!I$8</f>
        <v>112980.458399962</v>
      </c>
      <c r="J6" s="17" t="n">
        <f aca="false">Household_Base!J$8</f>
        <v>115240.067567961</v>
      </c>
      <c r="K6" s="17" t="n">
        <f aca="false">Household_Base!K$8</f>
        <v>117544.86891932</v>
      </c>
      <c r="L6" s="17" t="n">
        <f aca="false">Household_Base!L$8</f>
        <v>119895.766297706</v>
      </c>
      <c r="M6" s="17" t="n">
        <f aca="false">Household_Base!M$8</f>
        <v>122293.681623661</v>
      </c>
      <c r="N6" s="17" t="n">
        <f aca="false">Household_Base!N$8</f>
        <v>124739.555256134</v>
      </c>
      <c r="O6" s="17" t="n">
        <f aca="false">Household_Base!O$8</f>
        <v>127234.346361256</v>
      </c>
      <c r="P6" s="17" t="n">
        <f aca="false">Household_Base!P$8</f>
        <v>129779.033288482</v>
      </c>
      <c r="Q6" s="17" t="n">
        <f aca="false">Household_Base!Q$8</f>
        <v>132374.613954251</v>
      </c>
      <c r="R6" s="17" t="n">
        <f aca="false">Household_Base!R$8</f>
        <v>135022.106233336</v>
      </c>
      <c r="S6" s="17" t="n">
        <f aca="false">Household_Base!S$8</f>
        <v>137722.548358003</v>
      </c>
      <c r="T6" s="17" t="n">
        <f aca="false">Household_Base!T$8</f>
        <v>140476.999325163</v>
      </c>
      <c r="U6" s="17" t="n">
        <f aca="false">Household_Base!U$8</f>
        <v>143286.539311666</v>
      </c>
      <c r="V6" s="17" t="n">
        <f aca="false">Household_Base!V$8</f>
        <v>146152.2700979</v>
      </c>
      <c r="W6" s="17" t="n">
        <f aca="false">Household_Base!W$8</f>
        <v>149075.315499858</v>
      </c>
      <c r="X6" s="17" t="n">
        <f aca="false">Household_Base!X$8</f>
        <v>152056.821809855</v>
      </c>
      <c r="Y6" s="17" t="n">
        <f aca="false">Household_Base!Y$8</f>
        <v>155097.958246052</v>
      </c>
      <c r="Z6" s="17" t="n">
        <f aca="false">Household_Base!Z$8</f>
        <v>158199.917410973</v>
      </c>
      <c r="AA6" s="17" t="n">
        <f aca="false">Household_Base!AA$8</f>
        <v>161363.915759192</v>
      </c>
      <c r="AB6" s="17" t="n">
        <f aca="false">Household_Base!AB$8</f>
        <v>164591.194074376</v>
      </c>
      <c r="AC6" s="17" t="n">
        <f aca="false">Household_Base!AC$8</f>
        <v>167883.017955864</v>
      </c>
      <c r="AD6" s="17" t="n">
        <f aca="false">Household_Base!AD$8</f>
        <v>171240.678314981</v>
      </c>
      <c r="AE6" s="17" t="n">
        <f aca="false">Household_Base!AE$8</f>
        <v>174665.491881281</v>
      </c>
      <c r="AF6" s="17" t="n">
        <f aca="false">Household_Base!AF$8</f>
        <v>178158.801718906</v>
      </c>
    </row>
    <row r="7" customFormat="false" ht="15" hidden="false" customHeight="true" outlineLevel="0" collapsed="false">
      <c r="B7" s="6" t="s">
        <v>483</v>
      </c>
      <c r="C7" s="17" t="n">
        <f aca="false">Household_Base!C$22+Household_Base!C$26</f>
        <v>143400</v>
      </c>
      <c r="D7" s="17" t="n">
        <f aca="false">Household_Base!D$22+Household_Base!D$26</f>
        <v>148416</v>
      </c>
      <c r="E7" s="17" t="n">
        <f aca="false">Household_Base!E$22+Household_Base!E$26</f>
        <v>141951.36</v>
      </c>
      <c r="F7" s="17" t="n">
        <f aca="false">Household_Base!F$22+Household_Base!F$26</f>
        <v>120600.576</v>
      </c>
      <c r="G7" s="17" t="n">
        <f aca="false">Household_Base!G$22+Household_Base!G$26</f>
        <v>113652.58752</v>
      </c>
      <c r="H7" s="17" t="n">
        <f aca="false">Household_Base!H$22+Household_Base!H$26</f>
        <v>115745.6392704</v>
      </c>
      <c r="I7" s="17" t="n">
        <f aca="false">Household_Base!I$22+Household_Base!I$26</f>
        <v>108880.552055808</v>
      </c>
      <c r="J7" s="17" t="n">
        <f aca="false">Household_Base!J$22+Household_Base!J$26</f>
        <v>111058.163096924</v>
      </c>
      <c r="K7" s="17" t="n">
        <f aca="false">Household_Base!K$22+Household_Base!K$26</f>
        <v>91354.2954506957</v>
      </c>
      <c r="L7" s="17" t="n">
        <f aca="false">Household_Base!L$22+Household_Base!L$26</f>
        <v>93181.3813597096</v>
      </c>
      <c r="M7" s="17" t="n">
        <f aca="false">Household_Base!M$22+Household_Base!M$26</f>
        <v>95045.0089869038</v>
      </c>
      <c r="N7" s="17" t="n">
        <f aca="false">Household_Base!N$22+Household_Base!N$26</f>
        <v>96945.9091666419</v>
      </c>
      <c r="O7" s="17" t="n">
        <f aca="false">Household_Base!O$22+Household_Base!O$26</f>
        <v>98884.8273499747</v>
      </c>
      <c r="P7" s="17" t="n">
        <f aca="false">Household_Base!P$22+Household_Base!P$26</f>
        <v>100862.523896974</v>
      </c>
      <c r="Q7" s="17" t="n">
        <f aca="false">Household_Base!Q$22+Household_Base!Q$26</f>
        <v>102879.774374914</v>
      </c>
      <c r="R7" s="17" t="n">
        <f aca="false">Household_Base!R$22+Household_Base!R$26</f>
        <v>104937.369862412</v>
      </c>
      <c r="S7" s="17" t="n">
        <f aca="false">Household_Base!S$22+Household_Base!S$26</f>
        <v>107036.11725966</v>
      </c>
      <c r="T7" s="17" t="n">
        <f aca="false">Household_Base!T$22+Household_Base!T$26</f>
        <v>109176.839604853</v>
      </c>
      <c r="U7" s="17" t="n">
        <f aca="false">Household_Base!U$22+Household_Base!U$26</f>
        <v>111360.376396951</v>
      </c>
      <c r="V7" s="17" t="n">
        <f aca="false">Household_Base!V$22+Household_Base!V$26</f>
        <v>78148.257740324</v>
      </c>
      <c r="W7" s="17" t="n">
        <f aca="false">Household_Base!W$22+Household_Base!W$26</f>
        <v>79711.2228951305</v>
      </c>
      <c r="X7" s="17" t="n">
        <f aca="false">Household_Base!X$22+Household_Base!X$26</f>
        <v>81305.4473530331</v>
      </c>
      <c r="Y7" s="17" t="n">
        <f aca="false">Household_Base!Y$22+Household_Base!Y$26</f>
        <v>82931.5563000937</v>
      </c>
      <c r="Z7" s="17" t="n">
        <f aca="false">Household_Base!Z$22+Household_Base!Z$26</f>
        <v>84590.1874260956</v>
      </c>
      <c r="AA7" s="17" t="n">
        <f aca="false">Household_Base!AA$22+Household_Base!AA$26</f>
        <v>86281.9911746175</v>
      </c>
      <c r="AB7" s="17" t="n">
        <f aca="false">Household_Base!AB$22+Household_Base!AB$26</f>
        <v>88007.6309981099</v>
      </c>
      <c r="AC7" s="17" t="n">
        <f aca="false">Household_Base!AC$22+Household_Base!AC$26</f>
        <v>89767.7836180721</v>
      </c>
      <c r="AD7" s="17" t="n">
        <f aca="false">Household_Base!AD$22+Household_Base!AD$26</f>
        <v>91563.1392904335</v>
      </c>
      <c r="AE7" s="17" t="n">
        <f aca="false">Household_Base!AE$22+Household_Base!AE$26</f>
        <v>93394.4020762422</v>
      </c>
      <c r="AF7" s="17" t="n">
        <f aca="false">Household_Base!AF$22+Household_Base!AF$26</f>
        <v>95262.290117767</v>
      </c>
    </row>
    <row r="8" customFormat="false" ht="15" hidden="false" customHeight="true" outlineLevel="0" collapsed="false">
      <c r="B8" s="16" t="s">
        <v>484</v>
      </c>
      <c r="C8" s="64" t="n">
        <f aca="false">C6/C7</f>
        <v>0.68365690376569</v>
      </c>
      <c r="D8" s="64" t="n">
        <f aca="false">D6/D7</f>
        <v>0.682240459249677</v>
      </c>
      <c r="E8" s="64" t="n">
        <f aca="false">E6/E7</f>
        <v>0.738521702081615</v>
      </c>
      <c r="F8" s="64" t="n">
        <f aca="false">F6/F7</f>
        <v>0.884698222336849</v>
      </c>
      <c r="G8" s="64" t="n">
        <f aca="false">G6/G7</f>
        <v>0.955484532940267</v>
      </c>
      <c r="H8" s="64" t="n">
        <f aca="false">H6/H7</f>
        <v>0.956970439597428</v>
      </c>
      <c r="I8" s="64" t="n">
        <f aca="false">I6/I7</f>
        <v>1.03765508409667</v>
      </c>
      <c r="J8" s="64" t="n">
        <f aca="false">J6/J7</f>
        <v>1.03765508409667</v>
      </c>
      <c r="K8" s="64" t="n">
        <f aca="false">K6/K7</f>
        <v>1.28669230427987</v>
      </c>
      <c r="L8" s="64" t="n">
        <f aca="false">L6/L7</f>
        <v>1.28669230427987</v>
      </c>
      <c r="M8" s="64" t="n">
        <f aca="false">M6/M7</f>
        <v>1.28669230427987</v>
      </c>
      <c r="N8" s="64" t="n">
        <f aca="false">N6/N7</f>
        <v>1.28669230427987</v>
      </c>
      <c r="O8" s="64" t="n">
        <f aca="false">O6/O7</f>
        <v>1.28669230427987</v>
      </c>
      <c r="P8" s="64" t="n">
        <f aca="false">P6/P7</f>
        <v>1.28669230427987</v>
      </c>
      <c r="Q8" s="64" t="n">
        <f aca="false">Q6/Q7</f>
        <v>1.28669230427987</v>
      </c>
      <c r="R8" s="64" t="n">
        <f aca="false">R6/R7</f>
        <v>1.28669230427987</v>
      </c>
      <c r="S8" s="64" t="n">
        <f aca="false">S6/S7</f>
        <v>1.28669230427987</v>
      </c>
      <c r="T8" s="64" t="n">
        <f aca="false">T6/T7</f>
        <v>1.28669230427987</v>
      </c>
      <c r="U8" s="64" t="n">
        <f aca="false">U6/U7</f>
        <v>1.28669230427987</v>
      </c>
      <c r="V8" s="64" t="n">
        <f aca="false">V6/V7</f>
        <v>1.87019230273238</v>
      </c>
      <c r="W8" s="64" t="n">
        <f aca="false">W6/W7</f>
        <v>1.87019230273237</v>
      </c>
      <c r="X8" s="64" t="n">
        <f aca="false">X6/X7</f>
        <v>1.87019230273238</v>
      </c>
      <c r="Y8" s="64" t="n">
        <f aca="false">Y6/Y7</f>
        <v>1.87019230273237</v>
      </c>
      <c r="Z8" s="64" t="n">
        <f aca="false">Z6/Z7</f>
        <v>1.87019230273238</v>
      </c>
      <c r="AA8" s="64" t="n">
        <f aca="false">AA6/AA7</f>
        <v>1.87019230273237</v>
      </c>
      <c r="AB8" s="64" t="n">
        <f aca="false">AB6/AB7</f>
        <v>1.87019230273238</v>
      </c>
      <c r="AC8" s="64" t="n">
        <f aca="false">AC6/AC7</f>
        <v>1.87019230273238</v>
      </c>
      <c r="AD8" s="64" t="n">
        <f aca="false">AD6/AD7</f>
        <v>1.87019230273237</v>
      </c>
      <c r="AE8" s="64" t="n">
        <f aca="false">AE6/AE7</f>
        <v>1.87019230273238</v>
      </c>
      <c r="AF8" s="64" t="n">
        <f aca="false">AF6/AF7</f>
        <v>1.87019230273238</v>
      </c>
    </row>
    <row r="9" customFormat="false" ht="15" hidden="false" customHeight="true" outlineLevel="0" collapsed="false">
      <c r="B9" s="16" t="s">
        <v>485</v>
      </c>
      <c r="C9" s="66" t="n">
        <f aca="false">IF(MIN(C8:$AF$8)&gt;=1,1,0)</f>
        <v>0</v>
      </c>
      <c r="D9" s="66" t="n">
        <f aca="false">IF(MIN(D8:$AF$8)&gt;=1,1,0)</f>
        <v>0</v>
      </c>
      <c r="E9" s="66" t="n">
        <f aca="false">IF(MIN(E8:$AF$8)&gt;=1,1,0)</f>
        <v>0</v>
      </c>
      <c r="F9" s="66" t="n">
        <f aca="false">IF(MIN(F8:$AF$8)&gt;=1,1,0)</f>
        <v>0</v>
      </c>
      <c r="G9" s="66" t="n">
        <f aca="false">IF(MIN(G8:$AF$8)&gt;=1,1,0)</f>
        <v>0</v>
      </c>
      <c r="H9" s="66" t="n">
        <f aca="false">IF(MIN(H8:$AF$8)&gt;=1,1,0)</f>
        <v>0</v>
      </c>
      <c r="I9" s="66" t="n">
        <f aca="false">IF(MIN(I8:$AF$8)&gt;=1,1,0)</f>
        <v>1</v>
      </c>
      <c r="J9" s="66" t="n">
        <f aca="false">IF(MIN(J8:$AF$8)&gt;=1,1,0)</f>
        <v>1</v>
      </c>
      <c r="K9" s="66" t="n">
        <f aca="false">IF(MIN(K8:$AF$8)&gt;=1,1,0)</f>
        <v>1</v>
      </c>
      <c r="L9" s="66" t="n">
        <f aca="false">IF(MIN(L8:$AF$8)&gt;=1,1,0)</f>
        <v>1</v>
      </c>
      <c r="M9" s="66" t="n">
        <f aca="false">IF(MIN(M8:$AF$8)&gt;=1,1,0)</f>
        <v>1</v>
      </c>
      <c r="N9" s="66" t="n">
        <f aca="false">IF(MIN(N8:$AF$8)&gt;=1,1,0)</f>
        <v>1</v>
      </c>
      <c r="O9" s="66" t="n">
        <f aca="false">IF(MIN(O8:$AF$8)&gt;=1,1,0)</f>
        <v>1</v>
      </c>
      <c r="P9" s="66" t="n">
        <f aca="false">IF(MIN(P8:$AF$8)&gt;=1,1,0)</f>
        <v>1</v>
      </c>
      <c r="Q9" s="66" t="n">
        <f aca="false">IF(MIN(Q8:$AF$8)&gt;=1,1,0)</f>
        <v>1</v>
      </c>
      <c r="R9" s="66" t="n">
        <f aca="false">IF(MIN(R8:$AF$8)&gt;=1,1,0)</f>
        <v>1</v>
      </c>
      <c r="S9" s="66" t="n">
        <f aca="false">IF(MIN(S8:$AF$8)&gt;=1,1,0)</f>
        <v>1</v>
      </c>
      <c r="T9" s="66" t="n">
        <f aca="false">IF(MIN(T8:$AF$8)&gt;=1,1,0)</f>
        <v>1</v>
      </c>
      <c r="U9" s="66" t="n">
        <f aca="false">IF(MIN(U8:$AF$8)&gt;=1,1,0)</f>
        <v>1</v>
      </c>
      <c r="V9" s="66" t="n">
        <f aca="false">IF(MIN(V8:$AF$8)&gt;=1,1,0)</f>
        <v>1</v>
      </c>
      <c r="W9" s="66" t="n">
        <f aca="false">IF(MIN(W8:$AF$8)&gt;=1,1,0)</f>
        <v>1</v>
      </c>
      <c r="X9" s="66" t="n">
        <f aca="false">IF(MIN(X8:$AF$8)&gt;=1,1,0)</f>
        <v>1</v>
      </c>
      <c r="Y9" s="66" t="n">
        <f aca="false">IF(MIN(Y8:$AF$8)&gt;=1,1,0)</f>
        <v>1</v>
      </c>
      <c r="Z9" s="66" t="n">
        <f aca="false">IF(MIN(Z8:$AF$8)&gt;=1,1,0)</f>
        <v>1</v>
      </c>
      <c r="AA9" s="66" t="n">
        <f aca="false">IF(MIN(AA8:$AF$8)&gt;=1,1,0)</f>
        <v>1</v>
      </c>
      <c r="AB9" s="66" t="n">
        <f aca="false">IF(MIN(AB8:$AF$8)&gt;=1,1,0)</f>
        <v>1</v>
      </c>
      <c r="AC9" s="66" t="n">
        <f aca="false">IF(MIN(AC8:$AF$8)&gt;=1,1,0)</f>
        <v>1</v>
      </c>
      <c r="AD9" s="66" t="n">
        <f aca="false">IF(MIN(AD8:$AF$8)&gt;=1,1,0)</f>
        <v>1</v>
      </c>
      <c r="AE9" s="66" t="n">
        <f aca="false">IF(MIN(AE8:$AF$8)&gt;=1,1,0)</f>
        <v>1</v>
      </c>
      <c r="AF9" s="66" t="n">
        <f aca="false">IF(MIN(AF8:$AF$8)&gt;=1,1,0)</f>
        <v>1</v>
      </c>
    </row>
    <row r="10" customFormat="false" ht="15" hidden="false" customHeight="true" outlineLevel="0" collapsed="false">
      <c r="B10" s="16" t="s">
        <v>486</v>
      </c>
      <c r="C10" s="66" t="n">
        <f aca="false">IF(MIN(C8:$AF$8)&gt;=Assumptions!$C$115,1,0)</f>
        <v>0</v>
      </c>
      <c r="D10" s="66" t="n">
        <f aca="false">IF(MIN(D8:$AF$8)&gt;=Assumptions!$C$115,1,0)</f>
        <v>0</v>
      </c>
      <c r="E10" s="66" t="n">
        <f aca="false">IF(MIN(E8:$AF$8)&gt;=Assumptions!$C$115,1,0)</f>
        <v>0</v>
      </c>
      <c r="F10" s="66" t="n">
        <f aca="false">IF(MIN(F8:$AF$8)&gt;=Assumptions!$C$115,1,0)</f>
        <v>0</v>
      </c>
      <c r="G10" s="66" t="n">
        <f aca="false">IF(MIN(G8:$AF$8)&gt;=Assumptions!$C$115,1,0)</f>
        <v>0</v>
      </c>
      <c r="H10" s="66" t="n">
        <f aca="false">IF(MIN(H8:$AF$8)&gt;=Assumptions!$C$115,1,0)</f>
        <v>0</v>
      </c>
      <c r="I10" s="66" t="n">
        <f aca="false">IF(MIN(I8:$AF$8)&gt;=Assumptions!$C$115,1,0)</f>
        <v>0</v>
      </c>
      <c r="J10" s="66" t="n">
        <f aca="false">IF(MIN(J8:$AF$8)&gt;=Assumptions!$C$115,1,0)</f>
        <v>0</v>
      </c>
      <c r="K10" s="66" t="n">
        <f aca="false">IF(MIN(K8:$AF$8)&gt;=Assumptions!$C$115,1,0)</f>
        <v>1</v>
      </c>
      <c r="L10" s="66" t="n">
        <f aca="false">IF(MIN(L8:$AF$8)&gt;=Assumptions!$C$115,1,0)</f>
        <v>1</v>
      </c>
      <c r="M10" s="66" t="n">
        <f aca="false">IF(MIN(M8:$AF$8)&gt;=Assumptions!$C$115,1,0)</f>
        <v>1</v>
      </c>
      <c r="N10" s="66" t="n">
        <f aca="false">IF(MIN(N8:$AF$8)&gt;=Assumptions!$C$115,1,0)</f>
        <v>1</v>
      </c>
      <c r="O10" s="66" t="n">
        <f aca="false">IF(MIN(O8:$AF$8)&gt;=Assumptions!$C$115,1,0)</f>
        <v>1</v>
      </c>
      <c r="P10" s="66" t="n">
        <f aca="false">IF(MIN(P8:$AF$8)&gt;=Assumptions!$C$115,1,0)</f>
        <v>1</v>
      </c>
      <c r="Q10" s="66" t="n">
        <f aca="false">IF(MIN(Q8:$AF$8)&gt;=Assumptions!$C$115,1,0)</f>
        <v>1</v>
      </c>
      <c r="R10" s="66" t="n">
        <f aca="false">IF(MIN(R8:$AF$8)&gt;=Assumptions!$C$115,1,0)</f>
        <v>1</v>
      </c>
      <c r="S10" s="66" t="n">
        <f aca="false">IF(MIN(S8:$AF$8)&gt;=Assumptions!$C$115,1,0)</f>
        <v>1</v>
      </c>
      <c r="T10" s="66" t="n">
        <f aca="false">IF(MIN(T8:$AF$8)&gt;=Assumptions!$C$115,1,0)</f>
        <v>1</v>
      </c>
      <c r="U10" s="66" t="n">
        <f aca="false">IF(MIN(U8:$AF$8)&gt;=Assumptions!$C$115,1,0)</f>
        <v>1</v>
      </c>
      <c r="V10" s="66" t="n">
        <f aca="false">IF(MIN(V8:$AF$8)&gt;=Assumptions!$C$115,1,0)</f>
        <v>1</v>
      </c>
      <c r="W10" s="66" t="n">
        <f aca="false">IF(MIN(W8:$AF$8)&gt;=Assumptions!$C$115,1,0)</f>
        <v>1</v>
      </c>
      <c r="X10" s="66" t="n">
        <f aca="false">IF(MIN(X8:$AF$8)&gt;=Assumptions!$C$115,1,0)</f>
        <v>1</v>
      </c>
      <c r="Y10" s="66" t="n">
        <f aca="false">IF(MIN(Y8:$AF$8)&gt;=Assumptions!$C$115,1,0)</f>
        <v>1</v>
      </c>
      <c r="Z10" s="66" t="n">
        <f aca="false">IF(MIN(Z8:$AF$8)&gt;=Assumptions!$C$115,1,0)</f>
        <v>1</v>
      </c>
      <c r="AA10" s="66" t="n">
        <f aca="false">IF(MIN(AA8:$AF$8)&gt;=Assumptions!$C$115,1,0)</f>
        <v>1</v>
      </c>
      <c r="AB10" s="66" t="n">
        <f aca="false">IF(MIN(AB8:$AF$8)&gt;=Assumptions!$C$115,1,0)</f>
        <v>1</v>
      </c>
      <c r="AC10" s="66" t="n">
        <f aca="false">IF(MIN(AC8:$AF$8)&gt;=Assumptions!$C$115,1,0)</f>
        <v>1</v>
      </c>
      <c r="AD10" s="66" t="n">
        <f aca="false">IF(MIN(AD8:$AF$8)&gt;=Assumptions!$C$115,1,0)</f>
        <v>1</v>
      </c>
      <c r="AE10" s="66" t="n">
        <f aca="false">IF(MIN(AE8:$AF$8)&gt;=Assumptions!$C$115,1,0)</f>
        <v>1</v>
      </c>
      <c r="AF10" s="66" t="n">
        <f aca="false">IF(MIN(AF8:$AF$8)&gt;=Assumptions!$C$115,1,0)</f>
        <v>1</v>
      </c>
    </row>
    <row r="12" customFormat="false" ht="15" hidden="false" customHeight="true" outlineLevel="0" collapsed="false">
      <c r="A12" s="30" t="s">
        <v>487</v>
      </c>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row>
    <row r="13" customFormat="false" ht="15" hidden="false" customHeight="true" outlineLevel="0" collapsed="false">
      <c r="B13" s="6" t="s">
        <v>488</v>
      </c>
      <c r="C13" s="20" t="n">
        <f aca="false">C6-C7</f>
        <v>-45363.6</v>
      </c>
      <c r="D13" s="20" t="n">
        <f aca="false">D6-D7</f>
        <v>-47160.6</v>
      </c>
      <c r="E13" s="20" t="n">
        <f aca="false">E6-E7</f>
        <v>-37117.2</v>
      </c>
      <c r="F13" s="20" t="n">
        <f aca="false">F6-F7</f>
        <v>-13905.4608</v>
      </c>
      <c r="G13" s="20" t="n">
        <f aca="false">G6-G7</f>
        <v>-5059.298016</v>
      </c>
      <c r="H13" s="20" t="n">
        <f aca="false">H6-H7</f>
        <v>-4980.48397632003</v>
      </c>
      <c r="I13" s="20" t="n">
        <f aca="false">I6-I7</f>
        <v>4099.9063441536</v>
      </c>
      <c r="J13" s="20" t="n">
        <f aca="false">J6-J7</f>
        <v>4181.90447103667</v>
      </c>
      <c r="K13" s="20" t="n">
        <f aca="false">K6-K7</f>
        <v>26190.5734686244</v>
      </c>
      <c r="L13" s="20" t="n">
        <f aca="false">L6-L7</f>
        <v>26714.3849379968</v>
      </c>
      <c r="M13" s="20" t="n">
        <f aca="false">M6-M7</f>
        <v>27248.6726367568</v>
      </c>
      <c r="N13" s="20" t="n">
        <f aca="false">N6-N7</f>
        <v>27793.6460894919</v>
      </c>
      <c r="O13" s="20" t="n">
        <f aca="false">O6-O7</f>
        <v>28349.5190112818</v>
      </c>
      <c r="P13" s="20" t="n">
        <f aca="false">P6-P7</f>
        <v>28916.5093915074</v>
      </c>
      <c r="Q13" s="20" t="n">
        <f aca="false">Q6-Q7</f>
        <v>29494.8395793376</v>
      </c>
      <c r="R13" s="20" t="n">
        <f aca="false">R6-R7</f>
        <v>30084.7363709243</v>
      </c>
      <c r="S13" s="20" t="n">
        <f aca="false">S6-S7</f>
        <v>30686.4310983428</v>
      </c>
      <c r="T13" s="20" t="n">
        <f aca="false">T6-T7</f>
        <v>31300.1597203097</v>
      </c>
      <c r="U13" s="20" t="n">
        <f aca="false">U6-U7</f>
        <v>31926.1629147158</v>
      </c>
      <c r="V13" s="20" t="n">
        <f aca="false">V6-V7</f>
        <v>68004.0123575757</v>
      </c>
      <c r="W13" s="20" t="n">
        <f aca="false">W6-W7</f>
        <v>69364.0926047272</v>
      </c>
      <c r="X13" s="20" t="n">
        <f aca="false">X6-X7</f>
        <v>70751.3744568218</v>
      </c>
      <c r="Y13" s="20" t="n">
        <f aca="false">Y6-Y7</f>
        <v>72166.4019459582</v>
      </c>
      <c r="Z13" s="20" t="n">
        <f aca="false">Z6-Z7</f>
        <v>73609.7299848774</v>
      </c>
      <c r="AA13" s="20" t="n">
        <f aca="false">AA6-AA7</f>
        <v>75081.9245845748</v>
      </c>
      <c r="AB13" s="20" t="n">
        <f aca="false">AB6-AB7</f>
        <v>76583.5630762664</v>
      </c>
      <c r="AC13" s="20" t="n">
        <f aca="false">AC6-AC7</f>
        <v>78115.2343377917</v>
      </c>
      <c r="AD13" s="20" t="n">
        <f aca="false">AD6-AD7</f>
        <v>79677.5390245475</v>
      </c>
      <c r="AE13" s="20" t="n">
        <f aca="false">AE6-AE7</f>
        <v>81271.0898050385</v>
      </c>
      <c r="AF13" s="20" t="n">
        <f aca="false">AF6-AF7</f>
        <v>82896.5116011393</v>
      </c>
    </row>
    <row r="14" customFormat="false" ht="15" hidden="false" customHeight="true" outlineLevel="0" collapsed="false">
      <c r="B14" s="6" t="s">
        <v>489</v>
      </c>
      <c r="C14" s="17" t="n">
        <f aca="false">Household_Base!C$22*Assumptions!$C$111/12</f>
        <v>125400</v>
      </c>
      <c r="D14" s="17" t="n">
        <f aca="false">Household_Base!D$22*Assumptions!$C$111/12</f>
        <v>130416</v>
      </c>
      <c r="E14" s="17" t="n">
        <f aca="false">Household_Base!E$22*Assumptions!$C$111/12</f>
        <v>123951.36</v>
      </c>
      <c r="F14" s="17" t="n">
        <f aca="false">Household_Base!F$22*Assumptions!$C$111/12</f>
        <v>102600.576</v>
      </c>
      <c r="G14" s="17" t="n">
        <f aca="false">Household_Base!G$22*Assumptions!$C$111/12</f>
        <v>104652.58752</v>
      </c>
      <c r="H14" s="17" t="n">
        <f aca="false">Household_Base!H$22*Assumptions!$C$111/12</f>
        <v>106745.6392704</v>
      </c>
      <c r="I14" s="17" t="n">
        <f aca="false">Household_Base!I$22*Assumptions!$C$111/12</f>
        <v>108880.552055808</v>
      </c>
      <c r="J14" s="17" t="n">
        <f aca="false">Household_Base!J$22*Assumptions!$C$111/12</f>
        <v>111058.163096924</v>
      </c>
      <c r="K14" s="17" t="n">
        <f aca="false">Household_Base!K$22*Assumptions!$C$111/12</f>
        <v>91354.2954506957</v>
      </c>
      <c r="L14" s="17" t="n">
        <f aca="false">Household_Base!L$22*Assumptions!$C$111/12</f>
        <v>93181.3813597096</v>
      </c>
      <c r="M14" s="17" t="n">
        <f aca="false">Household_Base!M$22*Assumptions!$C$111/12</f>
        <v>95045.0089869038</v>
      </c>
      <c r="N14" s="17" t="n">
        <f aca="false">Household_Base!N$22*Assumptions!$C$111/12</f>
        <v>96945.9091666419</v>
      </c>
      <c r="O14" s="17" t="n">
        <f aca="false">Household_Base!O$22*Assumptions!$C$111/12</f>
        <v>98884.8273499747</v>
      </c>
      <c r="P14" s="17" t="n">
        <f aca="false">Household_Base!P$22*Assumptions!$C$111/12</f>
        <v>100862.523896974</v>
      </c>
      <c r="Q14" s="17" t="n">
        <f aca="false">Household_Base!Q$22*Assumptions!$C$111/12</f>
        <v>102879.774374914</v>
      </c>
      <c r="R14" s="17" t="n">
        <f aca="false">Household_Base!R$22*Assumptions!$C$111/12</f>
        <v>104937.369862412</v>
      </c>
      <c r="S14" s="17" t="n">
        <f aca="false">Household_Base!S$22*Assumptions!$C$111/12</f>
        <v>107036.11725966</v>
      </c>
      <c r="T14" s="17" t="n">
        <f aca="false">Household_Base!T$22*Assumptions!$C$111/12</f>
        <v>109176.839604853</v>
      </c>
      <c r="U14" s="17" t="n">
        <f aca="false">Household_Base!U$22*Assumptions!$C$111/12</f>
        <v>111360.376396951</v>
      </c>
      <c r="V14" s="17" t="n">
        <f aca="false">Household_Base!V$22*Assumptions!$C$111/12</f>
        <v>78148.257740324</v>
      </c>
      <c r="W14" s="17" t="n">
        <f aca="false">Household_Base!W$22*Assumptions!$C$111/12</f>
        <v>79711.2228951305</v>
      </c>
      <c r="X14" s="17" t="n">
        <f aca="false">Household_Base!X$22*Assumptions!$C$111/12</f>
        <v>81305.4473530331</v>
      </c>
      <c r="Y14" s="17" t="n">
        <f aca="false">Household_Base!Y$22*Assumptions!$C$111/12</f>
        <v>82931.5563000937</v>
      </c>
      <c r="Z14" s="17" t="n">
        <f aca="false">Household_Base!Z$22*Assumptions!$C$111/12</f>
        <v>84590.1874260956</v>
      </c>
      <c r="AA14" s="17" t="n">
        <f aca="false">Household_Base!AA$22*Assumptions!$C$111/12</f>
        <v>86281.9911746175</v>
      </c>
      <c r="AB14" s="17" t="n">
        <f aca="false">Household_Base!AB$22*Assumptions!$C$111/12</f>
        <v>88007.6309981099</v>
      </c>
      <c r="AC14" s="17" t="n">
        <f aca="false">Household_Base!AC$22*Assumptions!$C$111/12</f>
        <v>89767.7836180721</v>
      </c>
      <c r="AD14" s="17" t="n">
        <f aca="false">Household_Base!AD$22*Assumptions!$C$111/12</f>
        <v>91563.1392904335</v>
      </c>
      <c r="AE14" s="17" t="n">
        <f aca="false">Household_Base!AE$22*Assumptions!$C$111/12</f>
        <v>93394.4020762422</v>
      </c>
      <c r="AF14" s="17" t="n">
        <f aca="false">Household_Base!AF$22*Assumptions!$C$111/12</f>
        <v>95262.290117767</v>
      </c>
    </row>
    <row r="15" customFormat="false" ht="15" hidden="false" customHeight="true" outlineLevel="0" collapsed="false">
      <c r="B15" s="6" t="s">
        <v>490</v>
      </c>
      <c r="C15" s="54" t="n">
        <f aca="false">Returns!C$11</f>
        <v>0.08</v>
      </c>
      <c r="D15" s="54" t="n">
        <f aca="false">Returns!D$11</f>
        <v>0.08</v>
      </c>
      <c r="E15" s="54" t="n">
        <f aca="false">Returns!E$11</f>
        <v>0.08</v>
      </c>
      <c r="F15" s="54" t="n">
        <f aca="false">Returns!F$11</f>
        <v>0.08</v>
      </c>
      <c r="G15" s="54" t="n">
        <f aca="false">Returns!G$11</f>
        <v>0.08</v>
      </c>
      <c r="H15" s="54" t="n">
        <f aca="false">Returns!H$11</f>
        <v>0.08</v>
      </c>
      <c r="I15" s="54" t="n">
        <f aca="false">Returns!I$11</f>
        <v>0.08</v>
      </c>
      <c r="J15" s="54" t="n">
        <f aca="false">Returns!J$11</f>
        <v>0.08</v>
      </c>
      <c r="K15" s="54" t="n">
        <f aca="false">Returns!K$11</f>
        <v>0.08</v>
      </c>
      <c r="L15" s="54" t="n">
        <f aca="false">Returns!L$11</f>
        <v>0.08</v>
      </c>
      <c r="M15" s="54" t="n">
        <f aca="false">Returns!M$11</f>
        <v>0.08</v>
      </c>
      <c r="N15" s="54" t="n">
        <f aca="false">Returns!N$11</f>
        <v>0.0785</v>
      </c>
      <c r="O15" s="54" t="n">
        <f aca="false">Returns!O$11</f>
        <v>0.0755</v>
      </c>
      <c r="P15" s="54" t="n">
        <f aca="false">Returns!P$11</f>
        <v>0.0725</v>
      </c>
      <c r="Q15" s="54" t="n">
        <f aca="false">Returns!Q$11</f>
        <v>0.0695</v>
      </c>
      <c r="R15" s="54" t="n">
        <f aca="false">Returns!R$11</f>
        <v>0.0665</v>
      </c>
      <c r="S15" s="54" t="n">
        <f aca="false">Returns!S$11</f>
        <v>0.0635</v>
      </c>
      <c r="T15" s="54" t="n">
        <f aca="false">Returns!T$11</f>
        <v>0.0605</v>
      </c>
      <c r="U15" s="54" t="n">
        <f aca="false">Returns!U$11</f>
        <v>0.0575</v>
      </c>
      <c r="V15" s="54" t="n">
        <f aca="false">Returns!V$11</f>
        <v>0.0545</v>
      </c>
      <c r="W15" s="54" t="n">
        <f aca="false">Returns!W$11</f>
        <v>0.0515</v>
      </c>
      <c r="X15" s="54" t="n">
        <f aca="false">Returns!X$11</f>
        <v>0.0485</v>
      </c>
      <c r="Y15" s="54" t="n">
        <f aca="false">Returns!Y$11</f>
        <v>0.0455</v>
      </c>
      <c r="Z15" s="54" t="n">
        <f aca="false">Returns!Z$11</f>
        <v>0.0425</v>
      </c>
      <c r="AA15" s="54" t="n">
        <f aca="false">Returns!AA$11</f>
        <v>0.0395</v>
      </c>
      <c r="AB15" s="54" t="n">
        <f aca="false">Returns!AB$11</f>
        <v>0.0365</v>
      </c>
      <c r="AC15" s="54" t="n">
        <f aca="false">Returns!AC$11</f>
        <v>0.0335</v>
      </c>
      <c r="AD15" s="54" t="n">
        <f aca="false">Returns!AD$11</f>
        <v>0.0305</v>
      </c>
      <c r="AE15" s="54" t="n">
        <f aca="false">Returns!AE$11</f>
        <v>0.0275</v>
      </c>
      <c r="AF15" s="54" t="n">
        <f aca="false">Returns!AF$11</f>
        <v>0.0245</v>
      </c>
    </row>
    <row r="16" customFormat="false" ht="15" hidden="false" customHeight="true" outlineLevel="0" collapsed="false">
      <c r="B16" s="6" t="s">
        <v>491</v>
      </c>
      <c r="C16" s="54" t="n">
        <f aca="false">Returns!C$12</f>
        <v>0.065</v>
      </c>
      <c r="D16" s="54" t="n">
        <f aca="false">Returns!D$12</f>
        <v>0.065</v>
      </c>
      <c r="E16" s="54" t="n">
        <f aca="false">Returns!E$12</f>
        <v>0.065</v>
      </c>
      <c r="F16" s="54" t="n">
        <f aca="false">Returns!F$12</f>
        <v>0.065</v>
      </c>
      <c r="G16" s="54" t="n">
        <f aca="false">Returns!G$12</f>
        <v>0.065</v>
      </c>
      <c r="H16" s="54" t="n">
        <f aca="false">Returns!H$12</f>
        <v>0.065</v>
      </c>
      <c r="I16" s="54" t="n">
        <f aca="false">Returns!I$12</f>
        <v>0.065</v>
      </c>
      <c r="J16" s="54" t="n">
        <f aca="false">Returns!J$12</f>
        <v>0.065</v>
      </c>
      <c r="K16" s="54" t="n">
        <f aca="false">Returns!K$12</f>
        <v>0.065</v>
      </c>
      <c r="L16" s="54" t="n">
        <f aca="false">Returns!L$12</f>
        <v>0.065</v>
      </c>
      <c r="M16" s="54" t="n">
        <f aca="false">Returns!M$12</f>
        <v>0.065</v>
      </c>
      <c r="N16" s="54" t="n">
        <f aca="false">Returns!N$12</f>
        <v>0.0635</v>
      </c>
      <c r="O16" s="54" t="n">
        <f aca="false">Returns!O$12</f>
        <v>0.0605</v>
      </c>
      <c r="P16" s="54" t="n">
        <f aca="false">Returns!P$12</f>
        <v>0.0575</v>
      </c>
      <c r="Q16" s="54" t="n">
        <f aca="false">Returns!Q$12</f>
        <v>0.0545</v>
      </c>
      <c r="R16" s="54" t="n">
        <f aca="false">Returns!R$12</f>
        <v>0.0515</v>
      </c>
      <c r="S16" s="54" t="n">
        <f aca="false">Returns!S$12</f>
        <v>0.0485</v>
      </c>
      <c r="T16" s="54" t="n">
        <f aca="false">Returns!T$12</f>
        <v>0.0455</v>
      </c>
      <c r="U16" s="54" t="n">
        <f aca="false">Returns!U$12</f>
        <v>0.0425</v>
      </c>
      <c r="V16" s="54" t="n">
        <f aca="false">Returns!V$12</f>
        <v>0.0395</v>
      </c>
      <c r="W16" s="54" t="n">
        <f aca="false">Returns!W$12</f>
        <v>0.0365</v>
      </c>
      <c r="X16" s="54" t="n">
        <f aca="false">Returns!X$12</f>
        <v>0.0335</v>
      </c>
      <c r="Y16" s="54" t="n">
        <f aca="false">Returns!Y$12</f>
        <v>0.0305</v>
      </c>
      <c r="Z16" s="54" t="n">
        <f aca="false">Returns!Z$12</f>
        <v>0.0275</v>
      </c>
      <c r="AA16" s="54" t="n">
        <f aca="false">Returns!AA$12</f>
        <v>0.0245</v>
      </c>
      <c r="AB16" s="54" t="n">
        <f aca="false">Returns!AB$12</f>
        <v>0.0215</v>
      </c>
      <c r="AC16" s="54" t="n">
        <f aca="false">Returns!AC$12</f>
        <v>0.0185</v>
      </c>
      <c r="AD16" s="54" t="n">
        <f aca="false">Returns!AD$12</f>
        <v>0.0155</v>
      </c>
      <c r="AE16" s="54" t="n">
        <f aca="false">Returns!AE$12</f>
        <v>0.0125</v>
      </c>
      <c r="AF16" s="54" t="n">
        <f aca="false">Returns!AF$12</f>
        <v>0.00950000000000001</v>
      </c>
    </row>
    <row r="17" customFormat="false" ht="15" hidden="false" customHeight="true" outlineLevel="0" collapsed="false">
      <c r="B17" s="6" t="s">
        <v>492</v>
      </c>
      <c r="C17" s="17" t="n">
        <f aca="false">Household_Base!C$55</f>
        <v>0</v>
      </c>
      <c r="D17" s="17" t="n">
        <f aca="false">Household_Base!D$55</f>
        <v>0</v>
      </c>
      <c r="E17" s="17" t="n">
        <f aca="false">Household_Base!E$55</f>
        <v>79.6480000000447</v>
      </c>
      <c r="F17" s="17" t="n">
        <f aca="false">Household_Base!F$55</f>
        <v>26004.4212800001</v>
      </c>
      <c r="G17" s="17" t="n">
        <f aca="false">Household_Base!G$55</f>
        <v>65141.2407464001</v>
      </c>
      <c r="H17" s="17" t="n">
        <f aca="false">Household_Base!H$55</f>
        <v>107750.88411978</v>
      </c>
      <c r="I17" s="17" t="n">
        <f aca="false">Household_Base!I$55</f>
        <v>163077.663566927</v>
      </c>
      <c r="J17" s="17" t="n">
        <f aca="false">Household_Base!J$55</f>
        <v>222967.143117726</v>
      </c>
      <c r="K17" s="17" t="n">
        <f aca="false">Household_Base!K$55</f>
        <v>309660.258375873</v>
      </c>
      <c r="L17" s="17" t="n">
        <f aca="false">Household_Base!L$55</f>
        <v>403432.431144909</v>
      </c>
      <c r="M17" s="17" t="n">
        <f aca="false">Household_Base!M$55</f>
        <v>504772.680263424</v>
      </c>
      <c r="N17" s="17" t="n">
        <f aca="false">Household_Base!N$55</f>
        <v>613445.22937613</v>
      </c>
      <c r="O17" s="17" t="n">
        <f aca="false">Household_Base!O$55</f>
        <v>728710.539347684</v>
      </c>
      <c r="P17" s="17" t="n">
        <f aca="false">Household_Base!P$55</f>
        <v>850326.30642636</v>
      </c>
      <c r="Q17" s="17" t="n">
        <f aca="false">Household_Base!Q$55</f>
        <v>977978.299414104</v>
      </c>
      <c r="R17" s="17" t="n">
        <f aca="false">Household_Base!R$55</f>
        <v>1111279.57530719</v>
      </c>
      <c r="S17" s="17" t="n">
        <f aca="false">Household_Base!S$55</f>
        <v>1249770.73605231</v>
      </c>
      <c r="T17" s="17" t="n">
        <f aca="false">Household_Base!T$55</f>
        <v>1392921.28791227</v>
      </c>
      <c r="U17" s="17" t="n">
        <f aca="false">Household_Base!U$55</f>
        <v>1540132.14568551</v>
      </c>
      <c r="V17" s="17" t="n">
        <f aca="false">Household_Base!V$55</f>
        <v>1726178.62872236</v>
      </c>
      <c r="W17" s="17" t="n">
        <f aca="false">Household_Base!W$55</f>
        <v>1916899.63721864</v>
      </c>
      <c r="X17" s="17" t="n">
        <f aca="false">Household_Base!X$55</f>
        <v>2111385.57338435</v>
      </c>
      <c r="Y17" s="17" t="n">
        <f aca="false">Household_Base!Y$55</f>
        <v>2308658.02765782</v>
      </c>
      <c r="Z17" s="17" t="n">
        <f aca="false">Household_Base!Z$55</f>
        <v>2507678.82158938</v>
      </c>
      <c r="AA17" s="17" t="n">
        <f aca="false">Household_Base!AA$55</f>
        <v>2707360.30485269</v>
      </c>
      <c r="AB17" s="17" t="n">
        <f aca="false">Household_Base!AB$55</f>
        <v>2906576.77058409</v>
      </c>
      <c r="AC17" s="17" t="n">
        <f aca="false">Household_Base!AC$55</f>
        <v>3104176.82440051</v>
      </c>
      <c r="AD17" s="17" t="n">
        <f aca="false">Household_Base!AD$55</f>
        <v>3298996.51641054</v>
      </c>
      <c r="AE17" s="17" t="n">
        <f aca="false">Household_Base!AE$55</f>
        <v>3489873.02312213</v>
      </c>
      <c r="AF17" s="17" t="n">
        <f aca="false">Household_Base!AF$55</f>
        <v>3675658.64810337</v>
      </c>
    </row>
    <row r="18" customFormat="false" ht="15" hidden="false" customHeight="true" outlineLevel="0" collapsed="false">
      <c r="B18" s="6" t="s">
        <v>493</v>
      </c>
      <c r="C18" s="17" t="n">
        <f aca="false">Household_Base!C$61</f>
        <v>302223.8</v>
      </c>
      <c r="D18" s="17" t="n">
        <f aca="false">Household_Base!D$61</f>
        <v>351383.704</v>
      </c>
      <c r="E18" s="17" t="n">
        <f aca="false">Household_Base!E$61</f>
        <v>419494.40032</v>
      </c>
      <c r="F18" s="17" t="n">
        <f aca="false">Household_Base!F$61</f>
        <v>493053.9523456</v>
      </c>
      <c r="G18" s="17" t="n">
        <f aca="false">Household_Base!G$61</f>
        <v>572498.268533248</v>
      </c>
      <c r="H18" s="17" t="n">
        <f aca="false">Household_Base!H$61</f>
        <v>659098.130015908</v>
      </c>
      <c r="I18" s="17" t="n">
        <f aca="false">Household_Base!I$61</f>
        <v>753441.98041718</v>
      </c>
      <c r="J18" s="17" t="n">
        <f aca="false">Household_Base!J$61</f>
        <v>856165.658850555</v>
      </c>
      <c r="K18" s="17" t="n">
        <f aca="false">Household_Base!K$61</f>
        <v>967956.197958599</v>
      </c>
      <c r="L18" s="17" t="n">
        <f aca="false">Household_Base!L$61</f>
        <v>1089555.92592329</v>
      </c>
      <c r="M18" s="17" t="n">
        <f aca="false">Household_Base!M$61</f>
        <v>1221766.89676771</v>
      </c>
      <c r="N18" s="17" t="n">
        <f aca="false">Household_Base!N$61</f>
        <v>1363623.02486995</v>
      </c>
      <c r="O18" s="17" t="n">
        <f aca="false">Household_Base!O$61</f>
        <v>1513442.93848772</v>
      </c>
      <c r="P18" s="17" t="n">
        <f aca="false">Household_Base!P$61</f>
        <v>1670971.25427297</v>
      </c>
      <c r="Q18" s="17" t="n">
        <f aca="false">Household_Base!Q$61</f>
        <v>1835863.53324473</v>
      </c>
      <c r="R18" s="17" t="n">
        <f aca="false">Household_Base!R$61</f>
        <v>2007683.43054129</v>
      </c>
      <c r="S18" s="17" t="n">
        <f aca="false">Household_Base!S$61</f>
        <v>2185901.00016317</v>
      </c>
      <c r="T18" s="17" t="n">
        <f aca="false">Household_Base!T$61</f>
        <v>2369892.27589119</v>
      </c>
      <c r="U18" s="17" t="n">
        <f aca="false">Household_Base!U$61</f>
        <v>2558940.23227745</v>
      </c>
      <c r="V18" s="17" t="n">
        <f aca="false">Household_Base!V$61</f>
        <v>2752237.20846953</v>
      </c>
      <c r="W18" s="17" t="n">
        <f aca="false">Household_Base!W$61</f>
        <v>2948888.85290934</v>
      </c>
      <c r="X18" s="17" t="n">
        <f aca="false">Household_Base!X$61</f>
        <v>3147919.61904314</v>
      </c>
      <c r="Y18" s="17" t="n">
        <f aca="false">Household_Base!Y$61</f>
        <v>3348279.81161265</v>
      </c>
      <c r="Z18" s="17" t="n">
        <f aca="false">Household_Base!Z$61</f>
        <v>3548854.1505073</v>
      </c>
      <c r="AA18" s="17" t="n">
        <f aca="false">Household_Base!AA$61</f>
        <v>3748471.78529148</v>
      </c>
      <c r="AB18" s="17" t="n">
        <f aca="false">Household_Base!AB$61</f>
        <v>3945917.65921053</v>
      </c>
      <c r="AC18" s="17" t="n">
        <f aca="false">Household_Base!AC$61</f>
        <v>4139945.08762512</v>
      </c>
      <c r="AD18" s="17" t="n">
        <f aca="false">Household_Base!AD$61</f>
        <v>4329289.38336534</v>
      </c>
      <c r="AE18" s="17" t="n">
        <f aca="false">Household_Base!AE$61</f>
        <v>4512682.3313869</v>
      </c>
      <c r="AF18" s="17" t="n">
        <f aca="false">Household_Base!AF$61</f>
        <v>4688867.28828447</v>
      </c>
    </row>
    <row r="20" customFormat="false" ht="15" hidden="false" customHeight="true" outlineLevel="0" collapsed="false">
      <c r="A20" s="30" t="s">
        <v>494</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customFormat="false" ht="15" hidden="false" customHeight="true" outlineLevel="0" collapsed="false">
      <c r="B21" s="16" t="s">
        <v>101</v>
      </c>
      <c r="C21" s="31" t="n">
        <v>2026</v>
      </c>
      <c r="D21" s="31" t="n">
        <v>2027</v>
      </c>
      <c r="E21" s="31" t="n">
        <v>2028</v>
      </c>
      <c r="F21" s="31" t="n">
        <v>2029</v>
      </c>
      <c r="G21" s="31" t="n">
        <v>2030</v>
      </c>
      <c r="H21" s="31" t="n">
        <v>2031</v>
      </c>
      <c r="I21" s="31" t="n">
        <v>2032</v>
      </c>
      <c r="J21" s="31" t="n">
        <v>2033</v>
      </c>
      <c r="K21" s="31" t="n">
        <v>2034</v>
      </c>
      <c r="L21" s="31" t="n">
        <v>2035</v>
      </c>
      <c r="M21" s="31" t="n">
        <v>2036</v>
      </c>
      <c r="N21" s="31" t="n">
        <v>2037</v>
      </c>
      <c r="O21" s="31" t="n">
        <v>2038</v>
      </c>
      <c r="P21" s="31" t="n">
        <v>2039</v>
      </c>
      <c r="Q21" s="31" t="n">
        <v>2040</v>
      </c>
      <c r="R21" s="31" t="n">
        <v>2041</v>
      </c>
      <c r="S21" s="31" t="n">
        <v>2042</v>
      </c>
      <c r="T21" s="31" t="n">
        <v>2043</v>
      </c>
      <c r="U21" s="31" t="n">
        <v>2044</v>
      </c>
      <c r="V21" s="31" t="n">
        <v>2045</v>
      </c>
      <c r="W21" s="31" t="n">
        <v>2046</v>
      </c>
      <c r="X21" s="31" t="n">
        <v>2047</v>
      </c>
      <c r="Y21" s="31" t="n">
        <v>2048</v>
      </c>
      <c r="Z21" s="31" t="n">
        <v>2049</v>
      </c>
      <c r="AA21" s="31" t="n">
        <v>2050</v>
      </c>
      <c r="AB21" s="31" t="n">
        <v>2051</v>
      </c>
      <c r="AC21" s="31" t="n">
        <v>2052</v>
      </c>
      <c r="AD21" s="31" t="n">
        <v>2053</v>
      </c>
      <c r="AE21" s="31" t="n">
        <v>2054</v>
      </c>
      <c r="AF21" s="31" t="n">
        <v>2055</v>
      </c>
    </row>
    <row r="22" customFormat="false" ht="15" hidden="false" customHeight="true" outlineLevel="0" collapsed="false">
      <c r="B22" s="67" t="n">
        <v>2026</v>
      </c>
      <c r="C22" s="20" t="n">
        <f aca="false">C17</f>
        <v>0</v>
      </c>
      <c r="D22" s="20" t="n">
        <f aca="false">IF(D$5&lt;=$B22,D17,MAX(0,C22*(1+D$16)+D$13))</f>
        <v>0</v>
      </c>
      <c r="E22" s="20" t="n">
        <f aca="false">IF(E$5&lt;=$B22,E17,MAX(0,D22*(1+E$16)+E$13))</f>
        <v>0</v>
      </c>
      <c r="F22" s="20" t="n">
        <f aca="false">IF(F$5&lt;=$B22,F17,MAX(0,E22*(1+F$16)+F$13))</f>
        <v>0</v>
      </c>
      <c r="G22" s="20" t="n">
        <f aca="false">IF(G$5&lt;=$B22,G17,MAX(0,F22*(1+G$16)+G$13))</f>
        <v>0</v>
      </c>
      <c r="H22" s="20" t="n">
        <f aca="false">IF(H$5&lt;=$B22,H17,MAX(0,G22*(1+H$16)+H$13))</f>
        <v>0</v>
      </c>
      <c r="I22" s="20" t="n">
        <f aca="false">IF(I$5&lt;=$B22,I17,MAX(0,H22*(1+I$16)+I$13))</f>
        <v>4099.9063441536</v>
      </c>
      <c r="J22" s="20" t="n">
        <f aca="false">IF(J$5&lt;=$B22,J17,MAX(0,I22*(1+J$16)+J$13))</f>
        <v>8548.30472756026</v>
      </c>
      <c r="K22" s="20" t="n">
        <f aca="false">IF(K$5&lt;=$B22,K17,MAX(0,J22*(1+K$16)+K$13))</f>
        <v>35294.518003476</v>
      </c>
      <c r="L22" s="20" t="n">
        <f aca="false">IF(L$5&lt;=$B22,L17,MAX(0,K22*(1+L$16)+L$13))</f>
        <v>64303.0466116988</v>
      </c>
      <c r="M22" s="20" t="n">
        <f aca="false">IF(M$5&lt;=$B22,M17,MAX(0,L22*(1+M$16)+M$13))</f>
        <v>95731.417278216</v>
      </c>
      <c r="N22" s="20" t="n">
        <f aca="false">IF(N$5&lt;=$B22,N17,MAX(0,M22*(1+N$16)+N$13))</f>
        <v>129604.008364875</v>
      </c>
      <c r="O22" s="20" t="n">
        <f aca="false">IF(O$5&lt;=$B22,O17,MAX(0,N22*(1+O$16)+O$13))</f>
        <v>165794.569882231</v>
      </c>
      <c r="P22" s="20" t="n">
        <f aca="false">IF(P$5&lt;=$B22,P17,MAX(0,O22*(1+P$16)+P$13))</f>
        <v>204244.267041967</v>
      </c>
      <c r="Q22" s="20" t="n">
        <f aca="false">IF(Q$5&lt;=$B22,Q17,MAX(0,P22*(1+Q$16)+Q$13))</f>
        <v>244870.419175092</v>
      </c>
      <c r="R22" s="20" t="n">
        <f aca="false">IF(R$5&lt;=$B22,R17,MAX(0,Q22*(1+R$16)+R$13))</f>
        <v>287565.982133533</v>
      </c>
      <c r="S22" s="20" t="n">
        <f aca="false">IF(S$5&lt;=$B22,S17,MAX(0,R22*(1+S$16)+S$13))</f>
        <v>332199.363365353</v>
      </c>
      <c r="T22" s="20" t="n">
        <f aca="false">IF(T$5&lt;=$B22,T17,MAX(0,S22*(1+T$16)+T$13))</f>
        <v>378614.594118786</v>
      </c>
      <c r="U22" s="20" t="n">
        <f aca="false">IF(U$5&lt;=$B22,U17,MAX(0,T22*(1+U$16)+U$13))</f>
        <v>426631.87728355</v>
      </c>
      <c r="V22" s="20" t="n">
        <f aca="false">IF(V$5&lt;=$B22,V17,MAX(0,U22*(1+V$16)+V$13))</f>
        <v>511487.848793826</v>
      </c>
      <c r="W22" s="20" t="n">
        <f aca="false">IF(W$5&lt;=$B22,W17,MAX(0,V22*(1+W$16)+W$13))</f>
        <v>599521.247879528</v>
      </c>
      <c r="X22" s="20" t="n">
        <f aca="false">IF(X$5&lt;=$B22,X17,MAX(0,W22*(1+X$16)+X$13))</f>
        <v>690356.584140314</v>
      </c>
      <c r="Y22" s="20" t="n">
        <f aca="false">IF(Y$5&lt;=$B22,Y17,MAX(0,X22*(1+Y$16)+Y$13))</f>
        <v>783578.861902552</v>
      </c>
      <c r="Z22" s="20" t="n">
        <f aca="false">IF(Z$5&lt;=$B22,Z17,MAX(0,Y22*(1+Z$16)+Z$13))</f>
        <v>878737.010589749</v>
      </c>
      <c r="AA22" s="20" t="n">
        <f aca="false">IF(AA$5&lt;=$B22,AA17,MAX(0,Z22*(1+AA$16)+AA$13))</f>
        <v>975347.991933773</v>
      </c>
      <c r="AB22" s="20" t="n">
        <f aca="false">IF(AB$5&lt;=$B22,AB17,MAX(0,AA22*(1+AB$16)+AB$13))</f>
        <v>1072901.53683662</v>
      </c>
      <c r="AC22" s="20" t="n">
        <f aca="false">IF(AC$5&lt;=$B22,AC17,MAX(0,AB22*(1+AC$16)+AC$13))</f>
        <v>1170865.44960588</v>
      </c>
      <c r="AD22" s="20" t="n">
        <f aca="false">IF(AD$5&lt;=$B22,AD17,MAX(0,AC22*(1+AD$16)+AD$13))</f>
        <v>1268691.40309932</v>
      </c>
      <c r="AE22" s="20" t="n">
        <f aca="false">IF(AE$5&lt;=$B22,AE17,MAX(0,AD22*(1+AE$16)+AE$13))</f>
        <v>1365821.1354431</v>
      </c>
      <c r="AF22" s="20" t="n">
        <f aca="false">IF(AF$5&lt;=$B22,AF17,MAX(0,AE22*(1+AF$16)+AF$13))</f>
        <v>1461692.94783095</v>
      </c>
    </row>
    <row r="23" customFormat="false" ht="15" hidden="false" customHeight="true" outlineLevel="0" collapsed="false">
      <c r="B23" s="67" t="n">
        <v>2027</v>
      </c>
      <c r="C23" s="20" t="n">
        <f aca="false">C17</f>
        <v>0</v>
      </c>
      <c r="D23" s="20" t="n">
        <f aca="false">IF(D$5&lt;=$B23,D17,MAX(0,C23*(1+D$16)+D$13))</f>
        <v>0</v>
      </c>
      <c r="E23" s="20" t="n">
        <f aca="false">IF(E$5&lt;=$B23,E17,MAX(0,D23*(1+E$16)+E$13))</f>
        <v>0</v>
      </c>
      <c r="F23" s="20" t="n">
        <f aca="false">IF(F$5&lt;=$B23,F17,MAX(0,E23*(1+F$16)+F$13))</f>
        <v>0</v>
      </c>
      <c r="G23" s="20" t="n">
        <f aca="false">IF(G$5&lt;=$B23,G17,MAX(0,F23*(1+G$16)+G$13))</f>
        <v>0</v>
      </c>
      <c r="H23" s="20" t="n">
        <f aca="false">IF(H$5&lt;=$B23,H17,MAX(0,G23*(1+H$16)+H$13))</f>
        <v>0</v>
      </c>
      <c r="I23" s="20" t="n">
        <f aca="false">IF(I$5&lt;=$B23,I17,MAX(0,H23*(1+I$16)+I$13))</f>
        <v>4099.9063441536</v>
      </c>
      <c r="J23" s="20" t="n">
        <f aca="false">IF(J$5&lt;=$B23,J17,MAX(0,I23*(1+J$16)+J$13))</f>
        <v>8548.30472756026</v>
      </c>
      <c r="K23" s="20" t="n">
        <f aca="false">IF(K$5&lt;=$B23,K17,MAX(0,J23*(1+K$16)+K$13))</f>
        <v>35294.518003476</v>
      </c>
      <c r="L23" s="20" t="n">
        <f aca="false">IF(L$5&lt;=$B23,L17,MAX(0,K23*(1+L$16)+L$13))</f>
        <v>64303.0466116988</v>
      </c>
      <c r="M23" s="20" t="n">
        <f aca="false">IF(M$5&lt;=$B23,M17,MAX(0,L23*(1+M$16)+M$13))</f>
        <v>95731.417278216</v>
      </c>
      <c r="N23" s="20" t="n">
        <f aca="false">IF(N$5&lt;=$B23,N17,MAX(0,M23*(1+N$16)+N$13))</f>
        <v>129604.008364875</v>
      </c>
      <c r="O23" s="20" t="n">
        <f aca="false">IF(O$5&lt;=$B23,O17,MAX(0,N23*(1+O$16)+O$13))</f>
        <v>165794.569882231</v>
      </c>
      <c r="P23" s="20" t="n">
        <f aca="false">IF(P$5&lt;=$B23,P17,MAX(0,O23*(1+P$16)+P$13))</f>
        <v>204244.267041967</v>
      </c>
      <c r="Q23" s="20" t="n">
        <f aca="false">IF(Q$5&lt;=$B23,Q17,MAX(0,P23*(1+Q$16)+Q$13))</f>
        <v>244870.419175092</v>
      </c>
      <c r="R23" s="20" t="n">
        <f aca="false">IF(R$5&lt;=$B23,R17,MAX(0,Q23*(1+R$16)+R$13))</f>
        <v>287565.982133533</v>
      </c>
      <c r="S23" s="20" t="n">
        <f aca="false">IF(S$5&lt;=$B23,S17,MAX(0,R23*(1+S$16)+S$13))</f>
        <v>332199.363365353</v>
      </c>
      <c r="T23" s="20" t="n">
        <f aca="false">IF(T$5&lt;=$B23,T17,MAX(0,S23*(1+T$16)+T$13))</f>
        <v>378614.594118786</v>
      </c>
      <c r="U23" s="20" t="n">
        <f aca="false">IF(U$5&lt;=$B23,U17,MAX(0,T23*(1+U$16)+U$13))</f>
        <v>426631.87728355</v>
      </c>
      <c r="V23" s="20" t="n">
        <f aca="false">IF(V$5&lt;=$B23,V17,MAX(0,U23*(1+V$16)+V$13))</f>
        <v>511487.848793826</v>
      </c>
      <c r="W23" s="20" t="n">
        <f aca="false">IF(W$5&lt;=$B23,W17,MAX(0,V23*(1+W$16)+W$13))</f>
        <v>599521.247879528</v>
      </c>
      <c r="X23" s="20" t="n">
        <f aca="false">IF(X$5&lt;=$B23,X17,MAX(0,W23*(1+X$16)+X$13))</f>
        <v>690356.584140314</v>
      </c>
      <c r="Y23" s="20" t="n">
        <f aca="false">IF(Y$5&lt;=$B23,Y17,MAX(0,X23*(1+Y$16)+Y$13))</f>
        <v>783578.861902552</v>
      </c>
      <c r="Z23" s="20" t="n">
        <f aca="false">IF(Z$5&lt;=$B23,Z17,MAX(0,Y23*(1+Z$16)+Z$13))</f>
        <v>878737.010589749</v>
      </c>
      <c r="AA23" s="20" t="n">
        <f aca="false">IF(AA$5&lt;=$B23,AA17,MAX(0,Z23*(1+AA$16)+AA$13))</f>
        <v>975347.991933773</v>
      </c>
      <c r="AB23" s="20" t="n">
        <f aca="false">IF(AB$5&lt;=$B23,AB17,MAX(0,AA23*(1+AB$16)+AB$13))</f>
        <v>1072901.53683662</v>
      </c>
      <c r="AC23" s="20" t="n">
        <f aca="false">IF(AC$5&lt;=$B23,AC17,MAX(0,AB23*(1+AC$16)+AC$13))</f>
        <v>1170865.44960588</v>
      </c>
      <c r="AD23" s="20" t="n">
        <f aca="false">IF(AD$5&lt;=$B23,AD17,MAX(0,AC23*(1+AD$16)+AD$13))</f>
        <v>1268691.40309932</v>
      </c>
      <c r="AE23" s="20" t="n">
        <f aca="false">IF(AE$5&lt;=$B23,AE17,MAX(0,AD23*(1+AE$16)+AE$13))</f>
        <v>1365821.1354431</v>
      </c>
      <c r="AF23" s="20" t="n">
        <f aca="false">IF(AF$5&lt;=$B23,AF17,MAX(0,AE23*(1+AF$16)+AF$13))</f>
        <v>1461692.94783095</v>
      </c>
    </row>
    <row r="24" customFormat="false" ht="15" hidden="false" customHeight="true" outlineLevel="0" collapsed="false">
      <c r="B24" s="67" t="n">
        <v>2028</v>
      </c>
      <c r="C24" s="20" t="n">
        <f aca="false">C17</f>
        <v>0</v>
      </c>
      <c r="D24" s="20" t="n">
        <f aca="false">IF(D$5&lt;=$B24,D17,MAX(0,C24*(1+D$16)+D$13))</f>
        <v>0</v>
      </c>
      <c r="E24" s="20" t="n">
        <f aca="false">IF(E$5&lt;=$B24,E17,MAX(0,D24*(1+E$16)+E$13))</f>
        <v>79.6480000000447</v>
      </c>
      <c r="F24" s="20" t="n">
        <f aca="false">IF(F$5&lt;=$B24,F17,MAX(0,E24*(1+F$16)+F$13))</f>
        <v>0</v>
      </c>
      <c r="G24" s="20" t="n">
        <f aca="false">IF(G$5&lt;=$B24,G17,MAX(0,F24*(1+G$16)+G$13))</f>
        <v>0</v>
      </c>
      <c r="H24" s="20" t="n">
        <f aca="false">IF(H$5&lt;=$B24,H17,MAX(0,G24*(1+H$16)+H$13))</f>
        <v>0</v>
      </c>
      <c r="I24" s="20" t="n">
        <f aca="false">IF(I$5&lt;=$B24,I17,MAX(0,H24*(1+I$16)+I$13))</f>
        <v>4099.9063441536</v>
      </c>
      <c r="J24" s="20" t="n">
        <f aca="false">IF(J$5&lt;=$B24,J17,MAX(0,I24*(1+J$16)+J$13))</f>
        <v>8548.30472756026</v>
      </c>
      <c r="K24" s="20" t="n">
        <f aca="false">IF(K$5&lt;=$B24,K17,MAX(0,J24*(1+K$16)+K$13))</f>
        <v>35294.518003476</v>
      </c>
      <c r="L24" s="20" t="n">
        <f aca="false">IF(L$5&lt;=$B24,L17,MAX(0,K24*(1+L$16)+L$13))</f>
        <v>64303.0466116988</v>
      </c>
      <c r="M24" s="20" t="n">
        <f aca="false">IF(M$5&lt;=$B24,M17,MAX(0,L24*(1+M$16)+M$13))</f>
        <v>95731.417278216</v>
      </c>
      <c r="N24" s="20" t="n">
        <f aca="false">IF(N$5&lt;=$B24,N17,MAX(0,M24*(1+N$16)+N$13))</f>
        <v>129604.008364875</v>
      </c>
      <c r="O24" s="20" t="n">
        <f aca="false">IF(O$5&lt;=$B24,O17,MAX(0,N24*(1+O$16)+O$13))</f>
        <v>165794.569882231</v>
      </c>
      <c r="P24" s="20" t="n">
        <f aca="false">IF(P$5&lt;=$B24,P17,MAX(0,O24*(1+P$16)+P$13))</f>
        <v>204244.267041967</v>
      </c>
      <c r="Q24" s="20" t="n">
        <f aca="false">IF(Q$5&lt;=$B24,Q17,MAX(0,P24*(1+Q$16)+Q$13))</f>
        <v>244870.419175092</v>
      </c>
      <c r="R24" s="20" t="n">
        <f aca="false">IF(R$5&lt;=$B24,R17,MAX(0,Q24*(1+R$16)+R$13))</f>
        <v>287565.982133533</v>
      </c>
      <c r="S24" s="20" t="n">
        <f aca="false">IF(S$5&lt;=$B24,S17,MAX(0,R24*(1+S$16)+S$13))</f>
        <v>332199.363365353</v>
      </c>
      <c r="T24" s="20" t="n">
        <f aca="false">IF(T$5&lt;=$B24,T17,MAX(0,S24*(1+T$16)+T$13))</f>
        <v>378614.594118786</v>
      </c>
      <c r="U24" s="20" t="n">
        <f aca="false">IF(U$5&lt;=$B24,U17,MAX(0,T24*(1+U$16)+U$13))</f>
        <v>426631.87728355</v>
      </c>
      <c r="V24" s="20" t="n">
        <f aca="false">IF(V$5&lt;=$B24,V17,MAX(0,U24*(1+V$16)+V$13))</f>
        <v>511487.848793826</v>
      </c>
      <c r="W24" s="20" t="n">
        <f aca="false">IF(W$5&lt;=$B24,W17,MAX(0,V24*(1+W$16)+W$13))</f>
        <v>599521.247879528</v>
      </c>
      <c r="X24" s="20" t="n">
        <f aca="false">IF(X$5&lt;=$B24,X17,MAX(0,W24*(1+X$16)+X$13))</f>
        <v>690356.584140314</v>
      </c>
      <c r="Y24" s="20" t="n">
        <f aca="false">IF(Y$5&lt;=$B24,Y17,MAX(0,X24*(1+Y$16)+Y$13))</f>
        <v>783578.861902552</v>
      </c>
      <c r="Z24" s="20" t="n">
        <f aca="false">IF(Z$5&lt;=$B24,Z17,MAX(0,Y24*(1+Z$16)+Z$13))</f>
        <v>878737.010589749</v>
      </c>
      <c r="AA24" s="20" t="n">
        <f aca="false">IF(AA$5&lt;=$B24,AA17,MAX(0,Z24*(1+AA$16)+AA$13))</f>
        <v>975347.991933773</v>
      </c>
      <c r="AB24" s="20" t="n">
        <f aca="false">IF(AB$5&lt;=$B24,AB17,MAX(0,AA24*(1+AB$16)+AB$13))</f>
        <v>1072901.53683662</v>
      </c>
      <c r="AC24" s="20" t="n">
        <f aca="false">IF(AC$5&lt;=$B24,AC17,MAX(0,AB24*(1+AC$16)+AC$13))</f>
        <v>1170865.44960588</v>
      </c>
      <c r="AD24" s="20" t="n">
        <f aca="false">IF(AD$5&lt;=$B24,AD17,MAX(0,AC24*(1+AD$16)+AD$13))</f>
        <v>1268691.40309932</v>
      </c>
      <c r="AE24" s="20" t="n">
        <f aca="false">IF(AE$5&lt;=$B24,AE17,MAX(0,AD24*(1+AE$16)+AE$13))</f>
        <v>1365821.1354431</v>
      </c>
      <c r="AF24" s="20" t="n">
        <f aca="false">IF(AF$5&lt;=$B24,AF17,MAX(0,AE24*(1+AF$16)+AF$13))</f>
        <v>1461692.94783095</v>
      </c>
    </row>
    <row r="25" customFormat="false" ht="15" hidden="false" customHeight="true" outlineLevel="0" collapsed="false">
      <c r="B25" s="67" t="n">
        <v>2029</v>
      </c>
      <c r="C25" s="20" t="n">
        <f aca="false">C17</f>
        <v>0</v>
      </c>
      <c r="D25" s="20" t="n">
        <f aca="false">IF(D$5&lt;=$B25,D17,MAX(0,C25*(1+D$16)+D$13))</f>
        <v>0</v>
      </c>
      <c r="E25" s="20" t="n">
        <f aca="false">IF(E$5&lt;=$B25,E17,MAX(0,D25*(1+E$16)+E$13))</f>
        <v>79.6480000000447</v>
      </c>
      <c r="F25" s="20" t="n">
        <f aca="false">IF(F$5&lt;=$B25,F17,MAX(0,E25*(1+F$16)+F$13))</f>
        <v>26004.4212800001</v>
      </c>
      <c r="G25" s="20" t="n">
        <f aca="false">IF(G$5&lt;=$B25,G17,MAX(0,F25*(1+G$16)+G$13))</f>
        <v>22635.4106472001</v>
      </c>
      <c r="H25" s="20" t="n">
        <f aca="false">IF(H$5&lt;=$B25,H17,MAX(0,G25*(1+H$16)+H$13))</f>
        <v>19126.228362948</v>
      </c>
      <c r="I25" s="20" t="n">
        <f aca="false">IF(I$5&lt;=$B25,I17,MAX(0,H25*(1+I$16)+I$13))</f>
        <v>24469.3395506933</v>
      </c>
      <c r="J25" s="20" t="n">
        <f aca="false">IF(J$5&lt;=$B25,J17,MAX(0,I25*(1+J$16)+J$13))</f>
        <v>30241.751092525</v>
      </c>
      <c r="K25" s="20" t="n">
        <f aca="false">IF(K$5&lt;=$B25,K17,MAX(0,J25*(1+K$16)+K$13))</f>
        <v>58398.0383821635</v>
      </c>
      <c r="L25" s="20" t="n">
        <f aca="false">IF(L$5&lt;=$B25,L17,MAX(0,K25*(1+L$16)+L$13))</f>
        <v>88908.295815001</v>
      </c>
      <c r="M25" s="20" t="n">
        <f aca="false">IF(M$5&lt;=$B25,M17,MAX(0,L25*(1+M$16)+M$13))</f>
        <v>121936.007679733</v>
      </c>
      <c r="N25" s="20" t="n">
        <f aca="false">IF(N$5&lt;=$B25,N17,MAX(0,M25*(1+N$16)+N$13))</f>
        <v>157472.590256888</v>
      </c>
      <c r="O25" s="20" t="n">
        <f aca="false">IF(O$5&lt;=$B25,O17,MAX(0,N25*(1+O$16)+O$13))</f>
        <v>195349.200978711</v>
      </c>
      <c r="P25" s="20" t="n">
        <f aca="false">IF(P$5&lt;=$B25,P17,MAX(0,O25*(1+P$16)+P$13))</f>
        <v>235498.289426495</v>
      </c>
      <c r="Q25" s="20" t="n">
        <f aca="false">IF(Q$5&lt;=$B25,Q17,MAX(0,P25*(1+Q$16)+Q$13))</f>
        <v>277827.785779576</v>
      </c>
      <c r="R25" s="20" t="n">
        <f aca="false">IF(R$5&lt;=$B25,R17,MAX(0,Q25*(1+R$16)+R$13))</f>
        <v>322220.653118149</v>
      </c>
      <c r="S25" s="20" t="n">
        <f aca="false">IF(S$5&lt;=$B25,S17,MAX(0,R25*(1+S$16)+S$13))</f>
        <v>368534.785892722</v>
      </c>
      <c r="T25" s="20" t="n">
        <f aca="false">IF(T$5&lt;=$B25,T17,MAX(0,S25*(1+T$16)+T$13))</f>
        <v>416603.27837115</v>
      </c>
      <c r="U25" s="20" t="n">
        <f aca="false">IF(U$5&lt;=$B25,U17,MAX(0,T25*(1+U$16)+U$13))</f>
        <v>466235.08061664</v>
      </c>
      <c r="V25" s="20" t="n">
        <f aca="false">IF(V$5&lt;=$B25,V17,MAX(0,U25*(1+V$16)+V$13))</f>
        <v>552655.378658573</v>
      </c>
      <c r="W25" s="20" t="n">
        <f aca="false">IF(W$5&lt;=$B25,W17,MAX(0,V25*(1+W$16)+W$13))</f>
        <v>642191.392584338</v>
      </c>
      <c r="X25" s="20" t="n">
        <f aca="false">IF(X$5&lt;=$B25,X17,MAX(0,W25*(1+X$16)+X$13))</f>
        <v>734456.178692735</v>
      </c>
      <c r="Y25" s="20" t="n">
        <f aca="false">IF(Y$5&lt;=$B25,Y17,MAX(0,X25*(1+Y$16)+Y$13))</f>
        <v>829023.494088822</v>
      </c>
      <c r="Z25" s="20" t="n">
        <f aca="false">IF(Z$5&lt;=$B25,Z17,MAX(0,Y25*(1+Z$16)+Z$13))</f>
        <v>925431.370161142</v>
      </c>
      <c r="AA25" s="20" t="n">
        <f aca="false">IF(AA$5&lt;=$B25,AA17,MAX(0,Z25*(1+AA$16)+AA$13))</f>
        <v>1023186.36331466</v>
      </c>
      <c r="AB25" s="20" t="n">
        <f aca="false">IF(AB$5&lt;=$B25,AB17,MAX(0,AA25*(1+AB$16)+AB$13))</f>
        <v>1121768.4332022</v>
      </c>
      <c r="AC25" s="20" t="n">
        <f aca="false">IF(AC$5&lt;=$B25,AC17,MAX(0,AB25*(1+AC$16)+AC$13))</f>
        <v>1220636.38355423</v>
      </c>
      <c r="AD25" s="20" t="n">
        <f aca="false">IF(AD$5&lt;=$B25,AD17,MAX(0,AC25*(1+AD$16)+AD$13))</f>
        <v>1319233.78652387</v>
      </c>
      <c r="AE25" s="20" t="n">
        <f aca="false">IF(AE$5&lt;=$B25,AE17,MAX(0,AD25*(1+AE$16)+AE$13))</f>
        <v>1416995.29866045</v>
      </c>
      <c r="AF25" s="20" t="n">
        <f aca="false">IF(AF$5&lt;=$B25,AF17,MAX(0,AE25*(1+AF$16)+AF$13))</f>
        <v>1513353.26559887</v>
      </c>
    </row>
    <row r="26" customFormat="false" ht="15" hidden="false" customHeight="true" outlineLevel="0" collapsed="false">
      <c r="B26" s="67" t="n">
        <v>2030</v>
      </c>
      <c r="C26" s="20" t="n">
        <f aca="false">C17</f>
        <v>0</v>
      </c>
      <c r="D26" s="20" t="n">
        <f aca="false">IF(D$5&lt;=$B26,D17,MAX(0,C26*(1+D$16)+D$13))</f>
        <v>0</v>
      </c>
      <c r="E26" s="20" t="n">
        <f aca="false">IF(E$5&lt;=$B26,E17,MAX(0,D26*(1+E$16)+E$13))</f>
        <v>79.6480000000447</v>
      </c>
      <c r="F26" s="20" t="n">
        <f aca="false">IF(F$5&lt;=$B26,F17,MAX(0,E26*(1+F$16)+F$13))</f>
        <v>26004.4212800001</v>
      </c>
      <c r="G26" s="20" t="n">
        <f aca="false">IF(G$5&lt;=$B26,G17,MAX(0,F26*(1+G$16)+G$13))</f>
        <v>65141.2407464001</v>
      </c>
      <c r="H26" s="20" t="n">
        <f aca="false">IF(H$5&lt;=$B26,H17,MAX(0,G26*(1+H$16)+H$13))</f>
        <v>64394.9374185961</v>
      </c>
      <c r="I26" s="20" t="n">
        <f aca="false">IF(I$5&lt;=$B26,I17,MAX(0,H26*(1+I$16)+I$13))</f>
        <v>72680.5146949584</v>
      </c>
      <c r="J26" s="20" t="n">
        <f aca="false">IF(J$5&lt;=$B26,J17,MAX(0,I26*(1+J$16)+J$13))</f>
        <v>81586.6526211674</v>
      </c>
      <c r="K26" s="20" t="n">
        <f aca="false">IF(K$5&lt;=$B26,K17,MAX(0,J26*(1+K$16)+K$13))</f>
        <v>113080.358510168</v>
      </c>
      <c r="L26" s="20" t="n">
        <f aca="false">IF(L$5&lt;=$B26,L17,MAX(0,K26*(1+L$16)+L$13))</f>
        <v>147144.966751325</v>
      </c>
      <c r="M26" s="20" t="n">
        <f aca="false">IF(M$5&lt;=$B26,M17,MAX(0,L26*(1+M$16)+M$13))</f>
        <v>183958.062226918</v>
      </c>
      <c r="N26" s="20" t="n">
        <f aca="false">IF(N$5&lt;=$B26,N17,MAX(0,M26*(1+N$16)+N$13))</f>
        <v>223433.04526782</v>
      </c>
      <c r="O26" s="20" t="n">
        <f aca="false">IF(O$5&lt;=$B26,O17,MAX(0,N26*(1+O$16)+O$13))</f>
        <v>265300.263517804</v>
      </c>
      <c r="P26" s="20" t="n">
        <f aca="false">IF(P$5&lt;=$B26,P17,MAX(0,O26*(1+P$16)+P$13))</f>
        <v>309471.538061586</v>
      </c>
      <c r="Q26" s="20" t="n">
        <f aca="false">IF(Q$5&lt;=$B26,Q17,MAX(0,P26*(1+Q$16)+Q$13))</f>
        <v>355832.57646528</v>
      </c>
      <c r="R26" s="20" t="n">
        <f aca="false">IF(R$5&lt;=$B26,R17,MAX(0,Q26*(1+R$16)+R$13))</f>
        <v>404242.690524166</v>
      </c>
      <c r="S26" s="20" t="n">
        <f aca="false">IF(S$5&lt;=$B26,S17,MAX(0,R26*(1+S$16)+S$13))</f>
        <v>454534.892112931</v>
      </c>
      <c r="T26" s="20" t="n">
        <f aca="false">IF(T$5&lt;=$B26,T17,MAX(0,S26*(1+T$16)+T$13))</f>
        <v>506516.389424379</v>
      </c>
      <c r="U26" s="20" t="n">
        <f aca="false">IF(U$5&lt;=$B26,U17,MAX(0,T26*(1+U$16)+U$13))</f>
        <v>559969.498889631</v>
      </c>
      <c r="V26" s="20" t="n">
        <f aca="false">IF(V$5&lt;=$B26,V17,MAX(0,U26*(1+V$16)+V$13))</f>
        <v>650092.306453347</v>
      </c>
      <c r="W26" s="20" t="n">
        <f aca="false">IF(W$5&lt;=$B26,W17,MAX(0,V26*(1+W$16)+W$13))</f>
        <v>743184.768243621</v>
      </c>
      <c r="X26" s="20" t="n">
        <f aca="false">IF(X$5&lt;=$B26,X17,MAX(0,W26*(1+X$16)+X$13))</f>
        <v>838832.832436604</v>
      </c>
      <c r="Y26" s="20" t="n">
        <f aca="false">IF(Y$5&lt;=$B26,Y17,MAX(0,X26*(1+Y$16)+Y$13))</f>
        <v>936583.635771879</v>
      </c>
      <c r="Z26" s="20" t="n">
        <f aca="false">IF(Z$5&lt;=$B26,Z17,MAX(0,Y26*(1+Z$16)+Z$13))</f>
        <v>1035949.41574048</v>
      </c>
      <c r="AA26" s="20" t="n">
        <f aca="false">IF(AA$5&lt;=$B26,AA17,MAX(0,Z26*(1+AA$16)+AA$13))</f>
        <v>1136412.1010107</v>
      </c>
      <c r="AB26" s="20" t="n">
        <f aca="false">IF(AB$5&lt;=$B26,AB17,MAX(0,AA26*(1+AB$16)+AB$13))</f>
        <v>1237428.5242587</v>
      </c>
      <c r="AC26" s="20" t="n">
        <f aca="false">IF(AC$5&lt;=$B26,AC17,MAX(0,AB26*(1+AC$16)+AC$13))</f>
        <v>1338436.18629527</v>
      </c>
      <c r="AD26" s="20" t="n">
        <f aca="false">IF(AD$5&lt;=$B26,AD17,MAX(0,AC26*(1+AD$16)+AD$13))</f>
        <v>1438859.4862074</v>
      </c>
      <c r="AE26" s="20" t="n">
        <f aca="false">IF(AE$5&lt;=$B26,AE17,MAX(0,AD26*(1+AE$16)+AE$13))</f>
        <v>1538116.31959003</v>
      </c>
      <c r="AF26" s="20" t="n">
        <f aca="false">IF(AF$5&lt;=$B26,AF17,MAX(0,AE26*(1+AF$16)+AF$13))</f>
        <v>1635624.93622727</v>
      </c>
    </row>
    <row r="27" customFormat="false" ht="15" hidden="false" customHeight="true" outlineLevel="0" collapsed="false">
      <c r="B27" s="67" t="n">
        <v>2031</v>
      </c>
      <c r="C27" s="20" t="n">
        <f aca="false">C17</f>
        <v>0</v>
      </c>
      <c r="D27" s="20" t="n">
        <f aca="false">IF(D$5&lt;=$B27,D17,MAX(0,C27*(1+D$16)+D$13))</f>
        <v>0</v>
      </c>
      <c r="E27" s="20" t="n">
        <f aca="false">IF(E$5&lt;=$B27,E17,MAX(0,D27*(1+E$16)+E$13))</f>
        <v>79.6480000000447</v>
      </c>
      <c r="F27" s="20" t="n">
        <f aca="false">IF(F$5&lt;=$B27,F17,MAX(0,E27*(1+F$16)+F$13))</f>
        <v>26004.4212800001</v>
      </c>
      <c r="G27" s="20" t="n">
        <f aca="false">IF(G$5&lt;=$B27,G17,MAX(0,F27*(1+G$16)+G$13))</f>
        <v>65141.2407464001</v>
      </c>
      <c r="H27" s="20" t="n">
        <f aca="false">IF(H$5&lt;=$B27,H17,MAX(0,G27*(1+H$16)+H$13))</f>
        <v>107750.88411978</v>
      </c>
      <c r="I27" s="20" t="n">
        <f aca="false">IF(I$5&lt;=$B27,I17,MAX(0,H27*(1+I$16)+I$13))</f>
        <v>118854.597931719</v>
      </c>
      <c r="J27" s="20" t="n">
        <f aca="false">IF(J$5&lt;=$B27,J17,MAX(0,I27*(1+J$16)+J$13))</f>
        <v>130762.051268318</v>
      </c>
      <c r="K27" s="20" t="n">
        <f aca="false">IF(K$5&lt;=$B27,K17,MAX(0,J27*(1+K$16)+K$13))</f>
        <v>165452.158069383</v>
      </c>
      <c r="L27" s="20" t="n">
        <f aca="false">IF(L$5&lt;=$B27,L17,MAX(0,K27*(1+L$16)+L$13))</f>
        <v>202920.93328189</v>
      </c>
      <c r="M27" s="20" t="n">
        <f aca="false">IF(M$5&lt;=$B27,M17,MAX(0,L27*(1+M$16)+M$13))</f>
        <v>243359.466581969</v>
      </c>
      <c r="N27" s="20" t="n">
        <f aca="false">IF(N$5&lt;=$B27,N17,MAX(0,M27*(1+N$16)+N$13))</f>
        <v>286606.438799416</v>
      </c>
      <c r="O27" s="20" t="n">
        <f aca="false">IF(O$5&lt;=$B27,O17,MAX(0,N27*(1+O$16)+O$13))</f>
        <v>332295.647358063</v>
      </c>
      <c r="P27" s="20" t="n">
        <f aca="false">IF(P$5&lt;=$B27,P17,MAX(0,O27*(1+P$16)+P$13))</f>
        <v>380319.156472659</v>
      </c>
      <c r="Q27" s="20" t="n">
        <f aca="false">IF(Q$5&lt;=$B27,Q17,MAX(0,P27*(1+Q$16)+Q$13))</f>
        <v>430541.390079756</v>
      </c>
      <c r="R27" s="20" t="n">
        <f aca="false">IF(R$5&lt;=$B27,R17,MAX(0,Q27*(1+R$16)+R$13))</f>
        <v>482799.008039788</v>
      </c>
      <c r="S27" s="20" t="n">
        <f aca="false">IF(S$5&lt;=$B27,S17,MAX(0,R27*(1+S$16)+S$13))</f>
        <v>536901.19102806</v>
      </c>
      <c r="T27" s="20" t="n">
        <f aca="false">IF(T$5&lt;=$B27,T17,MAX(0,S27*(1+T$16)+T$13))</f>
        <v>592630.354940147</v>
      </c>
      <c r="U27" s="20" t="n">
        <f aca="false">IF(U$5&lt;=$B27,U17,MAX(0,T27*(1+U$16)+U$13))</f>
        <v>649743.307939819</v>
      </c>
      <c r="V27" s="20" t="n">
        <f aca="false">IF(V$5&lt;=$B27,V17,MAX(0,U27*(1+V$16)+V$13))</f>
        <v>743412.180961018</v>
      </c>
      <c r="W27" s="20" t="n">
        <f aca="false">IF(W$5&lt;=$B27,W17,MAX(0,V27*(1+W$16)+W$13))</f>
        <v>839910.818170822</v>
      </c>
      <c r="X27" s="20" t="n">
        <f aca="false">IF(X$5&lt;=$B27,X17,MAX(0,W27*(1+X$16)+X$13))</f>
        <v>938799.205036366</v>
      </c>
      <c r="Y27" s="20" t="n">
        <f aca="false">IF(Y$5&lt;=$B27,Y17,MAX(0,X27*(1+Y$16)+Y$13))</f>
        <v>1039598.98273593</v>
      </c>
      <c r="Z27" s="20" t="n">
        <f aca="false">IF(Z$5&lt;=$B27,Z17,MAX(0,Y27*(1+Z$16)+Z$13))</f>
        <v>1141797.68474605</v>
      </c>
      <c r="AA27" s="20" t="n">
        <f aca="false">IF(AA$5&lt;=$B27,AA17,MAX(0,Z27*(1+AA$16)+AA$13))</f>
        <v>1244853.6526069</v>
      </c>
      <c r="AB27" s="20" t="n">
        <f aca="false">IF(AB$5&lt;=$B27,AB17,MAX(0,AA27*(1+AB$16)+AB$13))</f>
        <v>1348201.56921422</v>
      </c>
      <c r="AC27" s="20" t="n">
        <f aca="false">IF(AC$5&lt;=$B27,AC17,MAX(0,AB27*(1+AC$16)+AC$13))</f>
        <v>1451258.53258247</v>
      </c>
      <c r="AD27" s="20" t="n">
        <f aca="false">IF(AD$5&lt;=$B27,AD17,MAX(0,AC27*(1+AD$16)+AD$13))</f>
        <v>1553430.57886205</v>
      </c>
      <c r="AE27" s="20" t="n">
        <f aca="false">IF(AE$5&lt;=$B27,AE17,MAX(0,AD27*(1+AE$16)+AE$13))</f>
        <v>1654119.55090286</v>
      </c>
      <c r="AF27" s="20" t="n">
        <f aca="false">IF(AF$5&lt;=$B27,AF17,MAX(0,AE27*(1+AF$16)+AF$13))</f>
        <v>1752730.19823758</v>
      </c>
    </row>
    <row r="28" customFormat="false" ht="15" hidden="false" customHeight="true" outlineLevel="0" collapsed="false">
      <c r="B28" s="67" t="n">
        <v>2032</v>
      </c>
      <c r="C28" s="20" t="n">
        <f aca="false">C17</f>
        <v>0</v>
      </c>
      <c r="D28" s="20" t="n">
        <f aca="false">IF(D$5&lt;=$B28,D17,MAX(0,C28*(1+D$16)+D$13))</f>
        <v>0</v>
      </c>
      <c r="E28" s="20" t="n">
        <f aca="false">IF(E$5&lt;=$B28,E17,MAX(0,D28*(1+E$16)+E$13))</f>
        <v>79.6480000000447</v>
      </c>
      <c r="F28" s="20" t="n">
        <f aca="false">IF(F$5&lt;=$B28,F17,MAX(0,E28*(1+F$16)+F$13))</f>
        <v>26004.4212800001</v>
      </c>
      <c r="G28" s="20" t="n">
        <f aca="false">IF(G$5&lt;=$B28,G17,MAX(0,F28*(1+G$16)+G$13))</f>
        <v>65141.2407464001</v>
      </c>
      <c r="H28" s="20" t="n">
        <f aca="false">IF(H$5&lt;=$B28,H17,MAX(0,G28*(1+H$16)+H$13))</f>
        <v>107750.88411978</v>
      </c>
      <c r="I28" s="20" t="n">
        <f aca="false">IF(I$5&lt;=$B28,I17,MAX(0,H28*(1+I$16)+I$13))</f>
        <v>163077.663566927</v>
      </c>
      <c r="J28" s="20" t="n">
        <f aca="false">IF(J$5&lt;=$B28,J17,MAX(0,I28*(1+J$16)+J$13))</f>
        <v>177859.616169814</v>
      </c>
      <c r="K28" s="20" t="n">
        <f aca="false">IF(K$5&lt;=$B28,K17,MAX(0,J28*(1+K$16)+K$13))</f>
        <v>215611.064689476</v>
      </c>
      <c r="L28" s="20" t="n">
        <f aca="false">IF(L$5&lt;=$B28,L17,MAX(0,K28*(1+L$16)+L$13))</f>
        <v>256340.168832289</v>
      </c>
      <c r="M28" s="20" t="n">
        <f aca="false">IF(M$5&lt;=$B28,M17,MAX(0,L28*(1+M$16)+M$13))</f>
        <v>300250.952443145</v>
      </c>
      <c r="N28" s="20" t="n">
        <f aca="false">IF(N$5&lt;=$B28,N17,MAX(0,M28*(1+N$16)+N$13))</f>
        <v>347110.534012776</v>
      </c>
      <c r="O28" s="20" t="n">
        <f aca="false">IF(O$5&lt;=$B28,O17,MAX(0,N28*(1+O$16)+O$13))</f>
        <v>396460.240331831</v>
      </c>
      <c r="P28" s="20" t="n">
        <f aca="false">IF(P$5&lt;=$B28,P17,MAX(0,O28*(1+P$16)+P$13))</f>
        <v>448173.213542419</v>
      </c>
      <c r="Q28" s="20" t="n">
        <f aca="false">IF(Q$5&lt;=$B28,Q17,MAX(0,P28*(1+Q$16)+Q$13))</f>
        <v>502093.493259818</v>
      </c>
      <c r="R28" s="20" t="n">
        <f aca="false">IF(R$5&lt;=$B28,R17,MAX(0,Q28*(1+R$16)+R$13))</f>
        <v>558036.044533623</v>
      </c>
      <c r="S28" s="20" t="n">
        <f aca="false">IF(S$5&lt;=$B28,S17,MAX(0,R28*(1+S$16)+S$13))</f>
        <v>615787.223791847</v>
      </c>
      <c r="T28" s="20" t="n">
        <f aca="false">IF(T$5&lt;=$B28,T17,MAX(0,S28*(1+T$16)+T$13))</f>
        <v>675105.702194685</v>
      </c>
      <c r="U28" s="20" t="n">
        <f aca="false">IF(U$5&lt;=$B28,U17,MAX(0,T28*(1+U$16)+U$13))</f>
        <v>735723.857452675</v>
      </c>
      <c r="V28" s="20" t="n">
        <f aca="false">IF(V$5&lt;=$B28,V17,MAX(0,U28*(1+V$16)+V$13))</f>
        <v>832788.962179632</v>
      </c>
      <c r="W28" s="20" t="n">
        <f aca="false">IF(W$5&lt;=$B28,W17,MAX(0,V28*(1+W$16)+W$13))</f>
        <v>932549.851903915</v>
      </c>
      <c r="X28" s="20" t="n">
        <f aca="false">IF(X$5&lt;=$B28,X17,MAX(0,W28*(1+X$16)+X$13))</f>
        <v>1034541.64639952</v>
      </c>
      <c r="Y28" s="20" t="n">
        <f aca="false">IF(Y$5&lt;=$B28,Y17,MAX(0,X28*(1+Y$16)+Y$13))</f>
        <v>1138261.56856066</v>
      </c>
      <c r="Z28" s="20" t="n">
        <f aca="false">IF(Z$5&lt;=$B28,Z17,MAX(0,Y28*(1+Z$16)+Z$13))</f>
        <v>1243173.49168096</v>
      </c>
      <c r="AA28" s="20" t="n">
        <f aca="false">IF(AA$5&lt;=$B28,AA17,MAX(0,Z28*(1+AA$16)+AA$13))</f>
        <v>1348713.16681172</v>
      </c>
      <c r="AB28" s="20" t="n">
        <f aca="false">IF(AB$5&lt;=$B28,AB17,MAX(0,AA28*(1+AB$16)+AB$13))</f>
        <v>1454294.06297443</v>
      </c>
      <c r="AC28" s="20" t="n">
        <f aca="false">IF(AC$5&lt;=$B28,AC17,MAX(0,AB28*(1+AC$16)+AC$13))</f>
        <v>1559313.73747725</v>
      </c>
      <c r="AD28" s="20" t="n">
        <f aca="false">IF(AD$5&lt;=$B28,AD17,MAX(0,AC28*(1+AD$16)+AD$13))</f>
        <v>1663160.6394327</v>
      </c>
      <c r="AE28" s="20" t="n">
        <f aca="false">IF(AE$5&lt;=$B28,AE17,MAX(0,AD28*(1+AE$16)+AE$13))</f>
        <v>1765221.23723065</v>
      </c>
      <c r="AF28" s="20" t="n">
        <f aca="false">IF(AF$5&lt;=$B28,AF17,MAX(0,AE28*(1+AF$16)+AF$13))</f>
        <v>1864887.35058548</v>
      </c>
    </row>
    <row r="29" customFormat="false" ht="15" hidden="false" customHeight="true" outlineLevel="0" collapsed="false">
      <c r="B29" s="67" t="n">
        <v>2033</v>
      </c>
      <c r="C29" s="20" t="n">
        <f aca="false">C17</f>
        <v>0</v>
      </c>
      <c r="D29" s="20" t="n">
        <f aca="false">IF(D$5&lt;=$B29,D17,MAX(0,C29*(1+D$16)+D$13))</f>
        <v>0</v>
      </c>
      <c r="E29" s="20" t="n">
        <f aca="false">IF(E$5&lt;=$B29,E17,MAX(0,D29*(1+E$16)+E$13))</f>
        <v>79.6480000000447</v>
      </c>
      <c r="F29" s="20" t="n">
        <f aca="false">IF(F$5&lt;=$B29,F17,MAX(0,E29*(1+F$16)+F$13))</f>
        <v>26004.4212800001</v>
      </c>
      <c r="G29" s="20" t="n">
        <f aca="false">IF(G$5&lt;=$B29,G17,MAX(0,F29*(1+G$16)+G$13))</f>
        <v>65141.2407464001</v>
      </c>
      <c r="H29" s="20" t="n">
        <f aca="false">IF(H$5&lt;=$B29,H17,MAX(0,G29*(1+H$16)+H$13))</f>
        <v>107750.88411978</v>
      </c>
      <c r="I29" s="20" t="n">
        <f aca="false">IF(I$5&lt;=$B29,I17,MAX(0,H29*(1+I$16)+I$13))</f>
        <v>163077.663566927</v>
      </c>
      <c r="J29" s="20" t="n">
        <f aca="false">IF(J$5&lt;=$B29,J17,MAX(0,I29*(1+J$16)+J$13))</f>
        <v>222967.143117726</v>
      </c>
      <c r="K29" s="20" t="n">
        <f aca="false">IF(K$5&lt;=$B29,K17,MAX(0,J29*(1+K$16)+K$13))</f>
        <v>263650.580889003</v>
      </c>
      <c r="L29" s="20" t="n">
        <f aca="false">IF(L$5&lt;=$B29,L17,MAX(0,K29*(1+L$16)+L$13))</f>
        <v>307502.253584785</v>
      </c>
      <c r="M29" s="20" t="n">
        <f aca="false">IF(M$5&lt;=$B29,M17,MAX(0,L29*(1+M$16)+M$13))</f>
        <v>354738.572704552</v>
      </c>
      <c r="N29" s="20" t="n">
        <f aca="false">IF(N$5&lt;=$B29,N17,MAX(0,M29*(1+N$16)+N$13))</f>
        <v>405058.118160783</v>
      </c>
      <c r="O29" s="20" t="n">
        <f aca="false">IF(O$5&lt;=$B29,O17,MAX(0,N29*(1+O$16)+O$13))</f>
        <v>457913.653320793</v>
      </c>
      <c r="P29" s="20" t="n">
        <f aca="false">IF(P$5&lt;=$B29,P17,MAX(0,O29*(1+P$16)+P$13))</f>
        <v>513160.197778246</v>
      </c>
      <c r="Q29" s="20" t="n">
        <f aca="false">IF(Q$5&lt;=$B29,Q17,MAX(0,P29*(1+Q$16)+Q$13))</f>
        <v>570622.268136498</v>
      </c>
      <c r="R29" s="20" t="n">
        <f aca="false">IF(R$5&lt;=$B29,R17,MAX(0,Q29*(1+R$16)+R$13))</f>
        <v>630094.051316451</v>
      </c>
      <c r="S29" s="20" t="n">
        <f aca="false">IF(S$5&lt;=$B29,S17,MAX(0,R29*(1+S$16)+S$13))</f>
        <v>691340.043903642</v>
      </c>
      <c r="T29" s="20" t="n">
        <f aca="false">IF(T$5&lt;=$B29,T17,MAX(0,S29*(1+T$16)+T$13))</f>
        <v>754096.175621567</v>
      </c>
      <c r="U29" s="20" t="n">
        <f aca="false">IF(U$5&lt;=$B29,U17,MAX(0,T29*(1+U$16)+U$13))</f>
        <v>818071.4260002</v>
      </c>
      <c r="V29" s="20" t="n">
        <f aca="false">IF(V$5&lt;=$B29,V17,MAX(0,U29*(1+V$16)+V$13))</f>
        <v>918389.259684784</v>
      </c>
      <c r="W29" s="20" t="n">
        <f aca="false">IF(W$5&lt;=$B29,W17,MAX(0,V29*(1+W$16)+W$13))</f>
        <v>1021274.56026801</v>
      </c>
      <c r="X29" s="20" t="n">
        <f aca="false">IF(X$5&lt;=$B29,X17,MAX(0,W29*(1+X$16)+X$13))</f>
        <v>1126238.63249381</v>
      </c>
      <c r="Y29" s="20" t="n">
        <f aca="false">IF(Y$5&lt;=$B29,Y17,MAX(0,X29*(1+Y$16)+Y$13))</f>
        <v>1232755.31273082</v>
      </c>
      <c r="Z29" s="20" t="n">
        <f aca="false">IF(Z$5&lt;=$B29,Z17,MAX(0,Y29*(1+Z$16)+Z$13))</f>
        <v>1340265.8138158</v>
      </c>
      <c r="AA29" s="20" t="n">
        <f aca="false">IF(AA$5&lt;=$B29,AA17,MAX(0,Z29*(1+AA$16)+AA$13))</f>
        <v>1448184.25083886</v>
      </c>
      <c r="AB29" s="20" t="n">
        <f aca="false">IF(AB$5&lt;=$B29,AB17,MAX(0,AA29*(1+AB$16)+AB$13))</f>
        <v>1555903.77530816</v>
      </c>
      <c r="AC29" s="20" t="n">
        <f aca="false">IF(AC$5&lt;=$B29,AC17,MAX(0,AB29*(1+AC$16)+AC$13))</f>
        <v>1662803.22948916</v>
      </c>
      <c r="AD29" s="20" t="n">
        <f aca="false">IF(AD$5&lt;=$B29,AD17,MAX(0,AC29*(1+AD$16)+AD$13))</f>
        <v>1768254.21857079</v>
      </c>
      <c r="AE29" s="20" t="n">
        <f aca="false">IF(AE$5&lt;=$B29,AE17,MAX(0,AD29*(1+AE$16)+AE$13))</f>
        <v>1871628.48610796</v>
      </c>
      <c r="AF29" s="20" t="n">
        <f aca="false">IF(AF$5&lt;=$B29,AF17,MAX(0,AE29*(1+AF$16)+AF$13))</f>
        <v>1972305.46832712</v>
      </c>
    </row>
    <row r="30" customFormat="false" ht="15" hidden="false" customHeight="true" outlineLevel="0" collapsed="false">
      <c r="B30" s="67" t="n">
        <v>2034</v>
      </c>
      <c r="C30" s="20" t="n">
        <f aca="false">C17</f>
        <v>0</v>
      </c>
      <c r="D30" s="20" t="n">
        <f aca="false">IF(D$5&lt;=$B30,D17,MAX(0,C30*(1+D$16)+D$13))</f>
        <v>0</v>
      </c>
      <c r="E30" s="20" t="n">
        <f aca="false">IF(E$5&lt;=$B30,E17,MAX(0,D30*(1+E$16)+E$13))</f>
        <v>79.6480000000447</v>
      </c>
      <c r="F30" s="20" t="n">
        <f aca="false">IF(F$5&lt;=$B30,F17,MAX(0,E30*(1+F$16)+F$13))</f>
        <v>26004.4212800001</v>
      </c>
      <c r="G30" s="20" t="n">
        <f aca="false">IF(G$5&lt;=$B30,G17,MAX(0,F30*(1+G$16)+G$13))</f>
        <v>65141.2407464001</v>
      </c>
      <c r="H30" s="20" t="n">
        <f aca="false">IF(H$5&lt;=$B30,H17,MAX(0,G30*(1+H$16)+H$13))</f>
        <v>107750.88411978</v>
      </c>
      <c r="I30" s="20" t="n">
        <f aca="false">IF(I$5&lt;=$B30,I17,MAX(0,H30*(1+I$16)+I$13))</f>
        <v>163077.663566927</v>
      </c>
      <c r="J30" s="20" t="n">
        <f aca="false">IF(J$5&lt;=$B30,J17,MAX(0,I30*(1+J$16)+J$13))</f>
        <v>222967.143117726</v>
      </c>
      <c r="K30" s="20" t="n">
        <f aca="false">IF(K$5&lt;=$B30,K17,MAX(0,J30*(1+K$16)+K$13))</f>
        <v>309660.258375873</v>
      </c>
      <c r="L30" s="20" t="n">
        <f aca="false">IF(L$5&lt;=$B30,L17,MAX(0,K30*(1+L$16)+L$13))</f>
        <v>356502.560108301</v>
      </c>
      <c r="M30" s="20" t="n">
        <f aca="false">IF(M$5&lt;=$B30,M17,MAX(0,L30*(1+M$16)+M$13))</f>
        <v>406923.899152098</v>
      </c>
      <c r="N30" s="20" t="n">
        <f aca="false">IF(N$5&lt;=$B30,N17,MAX(0,M30*(1+N$16)+N$13))</f>
        <v>460557.212837748</v>
      </c>
      <c r="O30" s="20" t="n">
        <f aca="false">IF(O$5&lt;=$B30,O17,MAX(0,N30*(1+O$16)+O$13))</f>
        <v>516770.443225713</v>
      </c>
      <c r="P30" s="20" t="n">
        <f aca="false">IF(P$5&lt;=$B30,P17,MAX(0,O30*(1+P$16)+P$13))</f>
        <v>575401.253102699</v>
      </c>
      <c r="Q30" s="20" t="n">
        <f aca="false">IF(Q$5&lt;=$B30,Q17,MAX(0,P30*(1+Q$16)+Q$13))</f>
        <v>636255.460976134</v>
      </c>
      <c r="R30" s="20" t="n">
        <f aca="false">IF(R$5&lt;=$B30,R17,MAX(0,Q30*(1+R$16)+R$13))</f>
        <v>699107.353587329</v>
      </c>
      <c r="S30" s="20" t="n">
        <f aca="false">IF(S$5&lt;=$B30,S17,MAX(0,R30*(1+S$16)+S$13))</f>
        <v>763700.491334657</v>
      </c>
      <c r="T30" s="20" t="n">
        <f aca="false">IF(T$5&lt;=$B30,T17,MAX(0,S30*(1+T$16)+T$13))</f>
        <v>829749.023410694</v>
      </c>
      <c r="U30" s="20" t="n">
        <f aca="false">IF(U$5&lt;=$B30,U17,MAX(0,T30*(1+U$16)+U$13))</f>
        <v>896939.519820364</v>
      </c>
      <c r="V30" s="20" t="n">
        <f aca="false">IF(V$5&lt;=$B30,V17,MAX(0,U30*(1+V$16)+V$13))</f>
        <v>1000372.64321084</v>
      </c>
      <c r="W30" s="20" t="n">
        <f aca="false">IF(W$5&lt;=$B30,W17,MAX(0,V30*(1+W$16)+W$13))</f>
        <v>1106250.33729277</v>
      </c>
      <c r="X30" s="20" t="n">
        <f aca="false">IF(X$5&lt;=$B30,X17,MAX(0,W30*(1+X$16)+X$13))</f>
        <v>1214061.0980489</v>
      </c>
      <c r="Y30" s="20" t="n">
        <f aca="false">IF(Y$5&lt;=$B30,Y17,MAX(0,X30*(1+Y$16)+Y$13))</f>
        <v>1323256.36348535</v>
      </c>
      <c r="Z30" s="20" t="n">
        <f aca="false">IF(Z$5&lt;=$B30,Z17,MAX(0,Y30*(1+Z$16)+Z$13))</f>
        <v>1433255.64346607</v>
      </c>
      <c r="AA30" s="20" t="n">
        <f aca="false">IF(AA$5&lt;=$B30,AA17,MAX(0,Z30*(1+AA$16)+AA$13))</f>
        <v>1543452.33131556</v>
      </c>
      <c r="AB30" s="20" t="n">
        <f aca="false">IF(AB$5&lt;=$B30,AB17,MAX(0,AA30*(1+AB$16)+AB$13))</f>
        <v>1653220.11951512</v>
      </c>
      <c r="AC30" s="20" t="n">
        <f aca="false">IF(AC$5&lt;=$B30,AC17,MAX(0,AB30*(1+AC$16)+AC$13))</f>
        <v>1761919.92606394</v>
      </c>
      <c r="AD30" s="20" t="n">
        <f aca="false">IF(AD$5&lt;=$B30,AD17,MAX(0,AC30*(1+AD$16)+AD$13))</f>
        <v>1868907.22394248</v>
      </c>
      <c r="AE30" s="20" t="n">
        <f aca="false">IF(AE$5&lt;=$B30,AE17,MAX(0,AD30*(1+AE$16)+AE$13))</f>
        <v>1973539.65404679</v>
      </c>
      <c r="AF30" s="20" t="n">
        <f aca="false">IF(AF$5&lt;=$B30,AF17,MAX(0,AE30*(1+AF$16)+AF$13))</f>
        <v>2075184.79236138</v>
      </c>
    </row>
    <row r="31" customFormat="false" ht="15" hidden="false" customHeight="true" outlineLevel="0" collapsed="false">
      <c r="B31" s="67" t="n">
        <v>2035</v>
      </c>
      <c r="C31" s="20" t="n">
        <f aca="false">C17</f>
        <v>0</v>
      </c>
      <c r="D31" s="20" t="n">
        <f aca="false">IF(D$5&lt;=$B31,D17,MAX(0,C31*(1+D$16)+D$13))</f>
        <v>0</v>
      </c>
      <c r="E31" s="20" t="n">
        <f aca="false">IF(E$5&lt;=$B31,E17,MAX(0,D31*(1+E$16)+E$13))</f>
        <v>79.6480000000447</v>
      </c>
      <c r="F31" s="20" t="n">
        <f aca="false">IF(F$5&lt;=$B31,F17,MAX(0,E31*(1+F$16)+F$13))</f>
        <v>26004.4212800001</v>
      </c>
      <c r="G31" s="20" t="n">
        <f aca="false">IF(G$5&lt;=$B31,G17,MAX(0,F31*(1+G$16)+G$13))</f>
        <v>65141.2407464001</v>
      </c>
      <c r="H31" s="20" t="n">
        <f aca="false">IF(H$5&lt;=$B31,H17,MAX(0,G31*(1+H$16)+H$13))</f>
        <v>107750.88411978</v>
      </c>
      <c r="I31" s="20" t="n">
        <f aca="false">IF(I$5&lt;=$B31,I17,MAX(0,H31*(1+I$16)+I$13))</f>
        <v>163077.663566927</v>
      </c>
      <c r="J31" s="20" t="n">
        <f aca="false">IF(J$5&lt;=$B31,J17,MAX(0,I31*(1+J$16)+J$13))</f>
        <v>222967.143117726</v>
      </c>
      <c r="K31" s="20" t="n">
        <f aca="false">IF(K$5&lt;=$B31,K17,MAX(0,J31*(1+K$16)+K$13))</f>
        <v>309660.258375873</v>
      </c>
      <c r="L31" s="20" t="n">
        <f aca="false">IF(L$5&lt;=$B31,L17,MAX(0,K31*(1+L$16)+L$13))</f>
        <v>403432.431144909</v>
      </c>
      <c r="M31" s="20" t="n">
        <f aca="false">IF(M$5&lt;=$B31,M17,MAX(0,L31*(1+M$16)+M$13))</f>
        <v>456904.211806085</v>
      </c>
      <c r="N31" s="20" t="n">
        <f aca="false">IF(N$5&lt;=$B31,N17,MAX(0,M31*(1+N$16)+N$13))</f>
        <v>513711.275345263</v>
      </c>
      <c r="O31" s="20" t="n">
        <f aca="false">IF(O$5&lt;=$B31,O17,MAX(0,N31*(1+O$16)+O$13))</f>
        <v>573140.326514933</v>
      </c>
      <c r="P31" s="20" t="n">
        <f aca="false">IF(P$5&lt;=$B31,P17,MAX(0,O31*(1+P$16)+P$13))</f>
        <v>635012.404681049</v>
      </c>
      <c r="Q31" s="20" t="n">
        <f aca="false">IF(Q$5&lt;=$B31,Q17,MAX(0,P31*(1+Q$16)+Q$13))</f>
        <v>699115.420315504</v>
      </c>
      <c r="R31" s="20" t="n">
        <f aca="false">IF(R$5&lt;=$B31,R17,MAX(0,Q31*(1+R$16)+R$13))</f>
        <v>765204.600832677</v>
      </c>
      <c r="S31" s="20" t="n">
        <f aca="false">IF(S$5&lt;=$B31,S17,MAX(0,R31*(1+S$16)+S$13))</f>
        <v>833003.455071404</v>
      </c>
      <c r="T31" s="20" t="n">
        <f aca="false">IF(T$5&lt;=$B31,T17,MAX(0,S31*(1+T$16)+T$13))</f>
        <v>902205.271997463</v>
      </c>
      <c r="U31" s="20" t="n">
        <f aca="false">IF(U$5&lt;=$B31,U17,MAX(0,T31*(1+U$16)+U$13))</f>
        <v>972475.158972071</v>
      </c>
      <c r="V31" s="20" t="n">
        <f aca="false">IF(V$5&lt;=$B31,V17,MAX(0,U31*(1+V$16)+V$13))</f>
        <v>1078891.94010904</v>
      </c>
      <c r="W31" s="20" t="n">
        <f aca="false">IF(W$5&lt;=$B31,W17,MAX(0,V31*(1+W$16)+W$13))</f>
        <v>1187635.58852775</v>
      </c>
      <c r="X31" s="20" t="n">
        <f aca="false">IF(X$5&lt;=$B31,X17,MAX(0,W31*(1+X$16)+X$13))</f>
        <v>1298172.75520025</v>
      </c>
      <c r="Y31" s="20" t="n">
        <f aca="false">IF(Y$5&lt;=$B31,Y17,MAX(0,X31*(1+Y$16)+Y$13))</f>
        <v>1409933.42617982</v>
      </c>
      <c r="Z31" s="20" t="n">
        <f aca="false">IF(Z$5&lt;=$B31,Z17,MAX(0,Y31*(1+Z$16)+Z$13))</f>
        <v>1522316.32538464</v>
      </c>
      <c r="AA31" s="20" t="n">
        <f aca="false">IF(AA$5&lt;=$B31,AA17,MAX(0,Z31*(1+AA$16)+AA$13))</f>
        <v>1634694.99994114</v>
      </c>
      <c r="AB31" s="20" t="n">
        <f aca="false">IF(AB$5&lt;=$B31,AB17,MAX(0,AA31*(1+AB$16)+AB$13))</f>
        <v>1746424.50551614</v>
      </c>
      <c r="AC31" s="20" t="n">
        <f aca="false">IF(AC$5&lt;=$B31,AC17,MAX(0,AB31*(1+AC$16)+AC$13))</f>
        <v>1856848.59320598</v>
      </c>
      <c r="AD31" s="20" t="n">
        <f aca="false">IF(AD$5&lt;=$B31,AD17,MAX(0,AC31*(1+AD$16)+AD$13))</f>
        <v>1965307.28542522</v>
      </c>
      <c r="AE31" s="20" t="n">
        <f aca="false">IF(AE$5&lt;=$B31,AE17,MAX(0,AD31*(1+AE$16)+AE$13))</f>
        <v>2071144.71629807</v>
      </c>
      <c r="AF31" s="20" t="n">
        <f aca="false">IF(AF$5&lt;=$B31,AF17,MAX(0,AE31*(1+AF$16)+AF$13))</f>
        <v>2173717.10270405</v>
      </c>
    </row>
    <row r="32" customFormat="false" ht="15" hidden="false" customHeight="true" outlineLevel="0" collapsed="false">
      <c r="B32" s="67" t="n">
        <v>2036</v>
      </c>
      <c r="C32" s="20" t="n">
        <f aca="false">C17</f>
        <v>0</v>
      </c>
      <c r="D32" s="20" t="n">
        <f aca="false">IF(D$5&lt;=$B32,D17,MAX(0,C32*(1+D$16)+D$13))</f>
        <v>0</v>
      </c>
      <c r="E32" s="20" t="n">
        <f aca="false">IF(E$5&lt;=$B32,E17,MAX(0,D32*(1+E$16)+E$13))</f>
        <v>79.6480000000447</v>
      </c>
      <c r="F32" s="20" t="n">
        <f aca="false">IF(F$5&lt;=$B32,F17,MAX(0,E32*(1+F$16)+F$13))</f>
        <v>26004.4212800001</v>
      </c>
      <c r="G32" s="20" t="n">
        <f aca="false">IF(G$5&lt;=$B32,G17,MAX(0,F32*(1+G$16)+G$13))</f>
        <v>65141.2407464001</v>
      </c>
      <c r="H32" s="20" t="n">
        <f aca="false">IF(H$5&lt;=$B32,H17,MAX(0,G32*(1+H$16)+H$13))</f>
        <v>107750.88411978</v>
      </c>
      <c r="I32" s="20" t="n">
        <f aca="false">IF(I$5&lt;=$B32,I17,MAX(0,H32*(1+I$16)+I$13))</f>
        <v>163077.663566927</v>
      </c>
      <c r="J32" s="20" t="n">
        <f aca="false">IF(J$5&lt;=$B32,J17,MAX(0,I32*(1+J$16)+J$13))</f>
        <v>222967.143117726</v>
      </c>
      <c r="K32" s="20" t="n">
        <f aca="false">IF(K$5&lt;=$B32,K17,MAX(0,J32*(1+K$16)+K$13))</f>
        <v>309660.258375873</v>
      </c>
      <c r="L32" s="20" t="n">
        <f aca="false">IF(L$5&lt;=$B32,L17,MAX(0,K32*(1+L$16)+L$13))</f>
        <v>403432.431144909</v>
      </c>
      <c r="M32" s="20" t="n">
        <f aca="false">IF(M$5&lt;=$B32,M17,MAX(0,L32*(1+M$16)+M$13))</f>
        <v>504772.680263424</v>
      </c>
      <c r="N32" s="20" t="n">
        <f aca="false">IF(N$5&lt;=$B32,N17,MAX(0,M32*(1+N$16)+N$13))</f>
        <v>564619.391549644</v>
      </c>
      <c r="O32" s="20" t="n">
        <f aca="false">IF(O$5&lt;=$B32,O17,MAX(0,N32*(1+O$16)+O$13))</f>
        <v>627128.383749679</v>
      </c>
      <c r="P32" s="20" t="n">
        <f aca="false">IF(P$5&lt;=$B32,P17,MAX(0,O32*(1+P$16)+P$13))</f>
        <v>692104.775206793</v>
      </c>
      <c r="Q32" s="20" t="n">
        <f aca="false">IF(Q$5&lt;=$B32,Q17,MAX(0,P32*(1+Q$16)+Q$13))</f>
        <v>759319.325034901</v>
      </c>
      <c r="R32" s="20" t="n">
        <f aca="false">IF(R$5&lt;=$B32,R17,MAX(0,Q32*(1+R$16)+R$13))</f>
        <v>828509.006645122</v>
      </c>
      <c r="S32" s="20" t="n">
        <f aca="false">IF(S$5&lt;=$B32,S17,MAX(0,R32*(1+S$16)+S$13))</f>
        <v>899378.124565754</v>
      </c>
      <c r="T32" s="20" t="n">
        <f aca="false">IF(T$5&lt;=$B32,T17,MAX(0,S32*(1+T$16)+T$13))</f>
        <v>971599.988953805</v>
      </c>
      <c r="U32" s="20" t="n">
        <f aca="false">IF(U$5&lt;=$B32,U17,MAX(0,T32*(1+U$16)+U$13))</f>
        <v>1044819.15139906</v>
      </c>
      <c r="V32" s="20" t="n">
        <f aca="false">IF(V$5&lt;=$B32,V17,MAX(0,U32*(1+V$16)+V$13))</f>
        <v>1154093.5202369</v>
      </c>
      <c r="W32" s="20" t="n">
        <f aca="false">IF(W$5&lt;=$B32,W17,MAX(0,V32*(1+W$16)+W$13))</f>
        <v>1265582.02633027</v>
      </c>
      <c r="X32" s="20" t="n">
        <f aca="false">IF(X$5&lt;=$B32,X17,MAX(0,W32*(1+X$16)+X$13))</f>
        <v>1378730.39866916</v>
      </c>
      <c r="Y32" s="20" t="n">
        <f aca="false">IF(Y$5&lt;=$B32,Y17,MAX(0,X32*(1+Y$16)+Y$13))</f>
        <v>1492948.07777452</v>
      </c>
      <c r="Z32" s="20" t="n">
        <f aca="false">IF(Z$5&lt;=$B32,Z17,MAX(0,Y32*(1+Z$16)+Z$13))</f>
        <v>1607613.8798982</v>
      </c>
      <c r="AA32" s="20" t="n">
        <f aca="false">IF(AA$5&lt;=$B32,AA17,MAX(0,Z32*(1+AA$16)+AA$13))</f>
        <v>1722082.34454028</v>
      </c>
      <c r="AB32" s="20" t="n">
        <f aca="false">IF(AB$5&lt;=$B32,AB17,MAX(0,AA32*(1+AB$16)+AB$13))</f>
        <v>1835690.67802416</v>
      </c>
      <c r="AC32" s="20" t="n">
        <f aca="false">IF(AC$5&lt;=$B32,AC17,MAX(0,AB32*(1+AC$16)+AC$13))</f>
        <v>1947766.1899054</v>
      </c>
      <c r="AD32" s="20" t="n">
        <f aca="false">IF(AD$5&lt;=$B32,AD17,MAX(0,AC32*(1+AD$16)+AD$13))</f>
        <v>2057634.10487348</v>
      </c>
      <c r="AE32" s="20" t="n">
        <f aca="false">IF(AE$5&lt;=$B32,AE17,MAX(0,AD32*(1+AE$16)+AE$13))</f>
        <v>2164625.62098944</v>
      </c>
      <c r="AF32" s="20" t="n">
        <f aca="false">IF(AF$5&lt;=$B32,AF17,MAX(0,AE32*(1+AF$16)+AF$13))</f>
        <v>2268086.07598998</v>
      </c>
    </row>
    <row r="33" customFormat="false" ht="15" hidden="false" customHeight="true" outlineLevel="0" collapsed="false">
      <c r="B33" s="67" t="n">
        <v>2037</v>
      </c>
      <c r="C33" s="20" t="n">
        <f aca="false">C17</f>
        <v>0</v>
      </c>
      <c r="D33" s="20" t="n">
        <f aca="false">IF(D$5&lt;=$B33,D17,MAX(0,C33*(1+D$16)+D$13))</f>
        <v>0</v>
      </c>
      <c r="E33" s="20" t="n">
        <f aca="false">IF(E$5&lt;=$B33,E17,MAX(0,D33*(1+E$16)+E$13))</f>
        <v>79.6480000000447</v>
      </c>
      <c r="F33" s="20" t="n">
        <f aca="false">IF(F$5&lt;=$B33,F17,MAX(0,E33*(1+F$16)+F$13))</f>
        <v>26004.4212800001</v>
      </c>
      <c r="G33" s="20" t="n">
        <f aca="false">IF(G$5&lt;=$B33,G17,MAX(0,F33*(1+G$16)+G$13))</f>
        <v>65141.2407464001</v>
      </c>
      <c r="H33" s="20" t="n">
        <f aca="false">IF(H$5&lt;=$B33,H17,MAX(0,G33*(1+H$16)+H$13))</f>
        <v>107750.88411978</v>
      </c>
      <c r="I33" s="20" t="n">
        <f aca="false">IF(I$5&lt;=$B33,I17,MAX(0,H33*(1+I$16)+I$13))</f>
        <v>163077.663566927</v>
      </c>
      <c r="J33" s="20" t="n">
        <f aca="false">IF(J$5&lt;=$B33,J17,MAX(0,I33*(1+J$16)+J$13))</f>
        <v>222967.143117726</v>
      </c>
      <c r="K33" s="20" t="n">
        <f aca="false">IF(K$5&lt;=$B33,K17,MAX(0,J33*(1+K$16)+K$13))</f>
        <v>309660.258375873</v>
      </c>
      <c r="L33" s="20" t="n">
        <f aca="false">IF(L$5&lt;=$B33,L17,MAX(0,K33*(1+L$16)+L$13))</f>
        <v>403432.431144909</v>
      </c>
      <c r="M33" s="20" t="n">
        <f aca="false">IF(M$5&lt;=$B33,M17,MAX(0,L33*(1+M$16)+M$13))</f>
        <v>504772.680263424</v>
      </c>
      <c r="N33" s="20" t="n">
        <f aca="false">IF(N$5&lt;=$B33,N17,MAX(0,M33*(1+N$16)+N$13))</f>
        <v>613445.22937613</v>
      </c>
      <c r="O33" s="20" t="n">
        <f aca="false">IF(O$5&lt;=$B33,O17,MAX(0,N33*(1+O$16)+O$13))</f>
        <v>678908.184764668</v>
      </c>
      <c r="P33" s="20" t="n">
        <f aca="false">IF(P$5&lt;=$B33,P17,MAX(0,O33*(1+P$16)+P$13))</f>
        <v>746861.914780144</v>
      </c>
      <c r="Q33" s="20" t="n">
        <f aca="false">IF(Q$5&lt;=$B33,Q17,MAX(0,P33*(1+Q$16)+Q$13))</f>
        <v>817060.728714999</v>
      </c>
      <c r="R33" s="20" t="n">
        <f aca="false">IF(R$5&lt;=$B33,R17,MAX(0,Q33*(1+R$16)+R$13))</f>
        <v>889224.092614746</v>
      </c>
      <c r="S33" s="20" t="n">
        <f aca="false">IF(S$5&lt;=$B33,S17,MAX(0,R33*(1+S$16)+S$13))</f>
        <v>963037.892204904</v>
      </c>
      <c r="T33" s="20" t="n">
        <f aca="false">IF(T$5&lt;=$B33,T17,MAX(0,S33*(1+T$16)+T$13))</f>
        <v>1038156.27602054</v>
      </c>
      <c r="U33" s="20" t="n">
        <f aca="false">IF(U$5&lt;=$B33,U17,MAX(0,T33*(1+U$16)+U$13))</f>
        <v>1114204.08066612</v>
      </c>
      <c r="V33" s="20" t="n">
        <f aca="false">IF(V$5&lt;=$B33,V17,MAX(0,U33*(1+V$16)+V$13))</f>
        <v>1226219.15421001</v>
      </c>
      <c r="W33" s="20" t="n">
        <f aca="false">IF(W$5&lt;=$B33,W17,MAX(0,V33*(1+W$16)+W$13))</f>
        <v>1340340.24594341</v>
      </c>
      <c r="X33" s="20" t="n">
        <f aca="false">IF(X$5&lt;=$B33,X17,MAX(0,W33*(1+X$16)+X$13))</f>
        <v>1455993.01863933</v>
      </c>
      <c r="Y33" s="20" t="n">
        <f aca="false">IF(Y$5&lt;=$B33,Y17,MAX(0,X33*(1+Y$16)+Y$13))</f>
        <v>1572567.20765379</v>
      </c>
      <c r="Z33" s="20" t="n">
        <f aca="false">IF(Z$5&lt;=$B33,Z17,MAX(0,Y33*(1+Z$16)+Z$13))</f>
        <v>1689422.53584915</v>
      </c>
      <c r="AA33" s="20" t="n">
        <f aca="false">IF(AA$5&lt;=$B33,AA17,MAX(0,Z33*(1+AA$16)+AA$13))</f>
        <v>1805895.31256202</v>
      </c>
      <c r="AB33" s="20" t="n">
        <f aca="false">IF(AB$5&lt;=$B33,AB17,MAX(0,AA33*(1+AB$16)+AB$13))</f>
        <v>1921305.62485837</v>
      </c>
      <c r="AC33" s="20" t="n">
        <f aca="false">IF(AC$5&lt;=$B33,AC17,MAX(0,AB33*(1+AC$16)+AC$13))</f>
        <v>2034965.01325605</v>
      </c>
      <c r="AD33" s="20" t="n">
        <f aca="false">IF(AD$5&lt;=$B33,AD17,MAX(0,AC33*(1+AD$16)+AD$13))</f>
        <v>2146184.50998606</v>
      </c>
      <c r="AE33" s="20" t="n">
        <f aca="false">IF(AE$5&lt;=$B33,AE17,MAX(0,AD33*(1+AE$16)+AE$13))</f>
        <v>2254282.90616593</v>
      </c>
      <c r="AF33" s="20" t="n">
        <f aca="false">IF(AF$5&lt;=$B33,AF17,MAX(0,AE33*(1+AF$16)+AF$13))</f>
        <v>2358595.10537564</v>
      </c>
    </row>
    <row r="34" customFormat="false" ht="15" hidden="false" customHeight="true" outlineLevel="0" collapsed="false">
      <c r="B34" s="67" t="n">
        <v>2038</v>
      </c>
      <c r="C34" s="20" t="n">
        <f aca="false">C17</f>
        <v>0</v>
      </c>
      <c r="D34" s="20" t="n">
        <f aca="false">IF(D$5&lt;=$B34,D17,MAX(0,C34*(1+D$16)+D$13))</f>
        <v>0</v>
      </c>
      <c r="E34" s="20" t="n">
        <f aca="false">IF(E$5&lt;=$B34,E17,MAX(0,D34*(1+E$16)+E$13))</f>
        <v>79.6480000000447</v>
      </c>
      <c r="F34" s="20" t="n">
        <f aca="false">IF(F$5&lt;=$B34,F17,MAX(0,E34*(1+F$16)+F$13))</f>
        <v>26004.4212800001</v>
      </c>
      <c r="G34" s="20" t="n">
        <f aca="false">IF(G$5&lt;=$B34,G17,MAX(0,F34*(1+G$16)+G$13))</f>
        <v>65141.2407464001</v>
      </c>
      <c r="H34" s="20" t="n">
        <f aca="false">IF(H$5&lt;=$B34,H17,MAX(0,G34*(1+H$16)+H$13))</f>
        <v>107750.88411978</v>
      </c>
      <c r="I34" s="20" t="n">
        <f aca="false">IF(I$5&lt;=$B34,I17,MAX(0,H34*(1+I$16)+I$13))</f>
        <v>163077.663566927</v>
      </c>
      <c r="J34" s="20" t="n">
        <f aca="false">IF(J$5&lt;=$B34,J17,MAX(0,I34*(1+J$16)+J$13))</f>
        <v>222967.143117726</v>
      </c>
      <c r="K34" s="20" t="n">
        <f aca="false">IF(K$5&lt;=$B34,K17,MAX(0,J34*(1+K$16)+K$13))</f>
        <v>309660.258375873</v>
      </c>
      <c r="L34" s="20" t="n">
        <f aca="false">IF(L$5&lt;=$B34,L17,MAX(0,K34*(1+L$16)+L$13))</f>
        <v>403432.431144909</v>
      </c>
      <c r="M34" s="20" t="n">
        <f aca="false">IF(M$5&lt;=$B34,M17,MAX(0,L34*(1+M$16)+M$13))</f>
        <v>504772.680263424</v>
      </c>
      <c r="N34" s="20" t="n">
        <f aca="false">IF(N$5&lt;=$B34,N17,MAX(0,M34*(1+N$16)+N$13))</f>
        <v>613445.22937613</v>
      </c>
      <c r="O34" s="20" t="n">
        <f aca="false">IF(O$5&lt;=$B34,O17,MAX(0,N34*(1+O$16)+O$13))</f>
        <v>728710.539347684</v>
      </c>
      <c r="P34" s="20" t="n">
        <f aca="false">IF(P$5&lt;=$B34,P17,MAX(0,O34*(1+P$16)+P$13))</f>
        <v>799527.904751683</v>
      </c>
      <c r="Q34" s="20" t="n">
        <f aca="false">IF(Q$5&lt;=$B34,Q17,MAX(0,P34*(1+Q$16)+Q$13))</f>
        <v>872597.015139987</v>
      </c>
      <c r="R34" s="20" t="n">
        <f aca="false">IF(R$5&lt;=$B34,R17,MAX(0,Q34*(1+R$16)+R$13))</f>
        <v>947620.497790621</v>
      </c>
      <c r="S34" s="20" t="n">
        <f aca="false">IF(S$5&lt;=$B34,S17,MAX(0,R34*(1+S$16)+S$13))</f>
        <v>1024266.52303181</v>
      </c>
      <c r="T34" s="20" t="n">
        <f aca="false">IF(T$5&lt;=$B34,T17,MAX(0,S34*(1+T$16)+T$13))</f>
        <v>1102170.80955007</v>
      </c>
      <c r="U34" s="20" t="n">
        <f aca="false">IF(U$5&lt;=$B34,U17,MAX(0,T34*(1+U$16)+U$13))</f>
        <v>1180939.23187066</v>
      </c>
      <c r="V34" s="20" t="n">
        <f aca="false">IF(V$5&lt;=$B34,V17,MAX(0,U34*(1+V$16)+V$13))</f>
        <v>1295590.34388713</v>
      </c>
      <c r="W34" s="20" t="n">
        <f aca="false">IF(W$5&lt;=$B34,W17,MAX(0,V34*(1+W$16)+W$13))</f>
        <v>1412243.48404373</v>
      </c>
      <c r="X34" s="20" t="n">
        <f aca="false">IF(X$5&lt;=$B34,X17,MAX(0,W34*(1+X$16)+X$13))</f>
        <v>1530305.01521602</v>
      </c>
      <c r="Y34" s="20" t="n">
        <f aca="false">IF(Y$5&lt;=$B34,Y17,MAX(0,X34*(1+Y$16)+Y$13))</f>
        <v>1649145.72012607</v>
      </c>
      <c r="Z34" s="20" t="n">
        <f aca="false">IF(Z$5&lt;=$B34,Z17,MAX(0,Y34*(1+Z$16)+Z$13))</f>
        <v>1768106.95741441</v>
      </c>
      <c r="AA34" s="20" t="n">
        <f aca="false">IF(AA$5&lt;=$B34,AA17,MAX(0,Z34*(1+AA$16)+AA$13))</f>
        <v>1886507.50245564</v>
      </c>
      <c r="AB34" s="20" t="n">
        <f aca="false">IF(AB$5&lt;=$B34,AB17,MAX(0,AA34*(1+AB$16)+AB$13))</f>
        <v>2003650.9768347</v>
      </c>
      <c r="AC34" s="20" t="n">
        <f aca="false">IF(AC$5&lt;=$B34,AC17,MAX(0,AB34*(1+AC$16)+AC$13))</f>
        <v>2118833.75424394</v>
      </c>
      <c r="AD34" s="20" t="n">
        <f aca="false">IF(AD$5&lt;=$B34,AD17,MAX(0,AC34*(1+AD$16)+AD$13))</f>
        <v>2231353.21645927</v>
      </c>
      <c r="AE34" s="20" t="n">
        <f aca="false">IF(AE$5&lt;=$B34,AE17,MAX(0,AD34*(1+AE$16)+AE$13))</f>
        <v>2340516.22147004</v>
      </c>
      <c r="AF34" s="20" t="n">
        <f aca="false">IF(AF$5&lt;=$B34,AF17,MAX(0,AE34*(1+AF$16)+AF$13))</f>
        <v>2445647.63717515</v>
      </c>
    </row>
    <row r="35" customFormat="false" ht="15" hidden="false" customHeight="true" outlineLevel="0" collapsed="false">
      <c r="B35" s="67" t="n">
        <v>2039</v>
      </c>
      <c r="C35" s="20" t="n">
        <f aca="false">C17</f>
        <v>0</v>
      </c>
      <c r="D35" s="20" t="n">
        <f aca="false">IF(D$5&lt;=$B35,D17,MAX(0,C35*(1+D$16)+D$13))</f>
        <v>0</v>
      </c>
      <c r="E35" s="20" t="n">
        <f aca="false">IF(E$5&lt;=$B35,E17,MAX(0,D35*(1+E$16)+E$13))</f>
        <v>79.6480000000447</v>
      </c>
      <c r="F35" s="20" t="n">
        <f aca="false">IF(F$5&lt;=$B35,F17,MAX(0,E35*(1+F$16)+F$13))</f>
        <v>26004.4212800001</v>
      </c>
      <c r="G35" s="20" t="n">
        <f aca="false">IF(G$5&lt;=$B35,G17,MAX(0,F35*(1+G$16)+G$13))</f>
        <v>65141.2407464001</v>
      </c>
      <c r="H35" s="20" t="n">
        <f aca="false">IF(H$5&lt;=$B35,H17,MAX(0,G35*(1+H$16)+H$13))</f>
        <v>107750.88411978</v>
      </c>
      <c r="I35" s="20" t="n">
        <f aca="false">IF(I$5&lt;=$B35,I17,MAX(0,H35*(1+I$16)+I$13))</f>
        <v>163077.663566927</v>
      </c>
      <c r="J35" s="20" t="n">
        <f aca="false">IF(J$5&lt;=$B35,J17,MAX(0,I35*(1+J$16)+J$13))</f>
        <v>222967.143117726</v>
      </c>
      <c r="K35" s="20" t="n">
        <f aca="false">IF(K$5&lt;=$B35,K17,MAX(0,J35*(1+K$16)+K$13))</f>
        <v>309660.258375873</v>
      </c>
      <c r="L35" s="20" t="n">
        <f aca="false">IF(L$5&lt;=$B35,L17,MAX(0,K35*(1+L$16)+L$13))</f>
        <v>403432.431144909</v>
      </c>
      <c r="M35" s="20" t="n">
        <f aca="false">IF(M$5&lt;=$B35,M17,MAX(0,L35*(1+M$16)+M$13))</f>
        <v>504772.680263424</v>
      </c>
      <c r="N35" s="20" t="n">
        <f aca="false">IF(N$5&lt;=$B35,N17,MAX(0,M35*(1+N$16)+N$13))</f>
        <v>613445.22937613</v>
      </c>
      <c r="O35" s="20" t="n">
        <f aca="false">IF(O$5&lt;=$B35,O17,MAX(0,N35*(1+O$16)+O$13))</f>
        <v>728710.539347684</v>
      </c>
      <c r="P35" s="20" t="n">
        <f aca="false">IF(P$5&lt;=$B35,P17,MAX(0,O35*(1+P$16)+P$13))</f>
        <v>850326.30642636</v>
      </c>
      <c r="Q35" s="20" t="n">
        <f aca="false">IF(Q$5&lt;=$B35,Q17,MAX(0,P35*(1+Q$16)+Q$13))</f>
        <v>926163.929705934</v>
      </c>
      <c r="R35" s="20" t="n">
        <f aca="false">IF(R$5&lt;=$B35,R17,MAX(0,Q35*(1+R$16)+R$13))</f>
        <v>1003946.10845671</v>
      </c>
      <c r="S35" s="20" t="n">
        <f aca="false">IF(S$5&lt;=$B35,S17,MAX(0,R35*(1+S$16)+S$13))</f>
        <v>1083323.92581521</v>
      </c>
      <c r="T35" s="20" t="n">
        <f aca="false">IF(T$5&lt;=$B35,T17,MAX(0,S35*(1+T$16)+T$13))</f>
        <v>1163915.32416011</v>
      </c>
      <c r="U35" s="20" t="n">
        <f aca="false">IF(U$5&lt;=$B35,U17,MAX(0,T35*(1+U$16)+U$13))</f>
        <v>1245307.88835163</v>
      </c>
      <c r="V35" s="20" t="n">
        <f aca="false">IF(V$5&lt;=$B35,V17,MAX(0,U35*(1+V$16)+V$13))</f>
        <v>1362501.56229909</v>
      </c>
      <c r="W35" s="20" t="n">
        <f aca="false">IF(W$5&lt;=$B35,W17,MAX(0,V35*(1+W$16)+W$13))</f>
        <v>1481596.96192774</v>
      </c>
      <c r="X35" s="20" t="n">
        <f aca="false">IF(X$5&lt;=$B35,X17,MAX(0,W35*(1+X$16)+X$13))</f>
        <v>1601981.83460914</v>
      </c>
      <c r="Y35" s="20" t="n">
        <f aca="false">IF(Y$5&lt;=$B35,Y17,MAX(0,X35*(1+Y$16)+Y$13))</f>
        <v>1723008.68251068</v>
      </c>
      <c r="Z35" s="20" t="n">
        <f aca="false">IF(Z$5&lt;=$B35,Z17,MAX(0,Y35*(1+Z$16)+Z$13))</f>
        <v>1844001.1512646</v>
      </c>
      <c r="AA35" s="20" t="n">
        <f aca="false">IF(AA$5&lt;=$B35,AA17,MAX(0,Z35*(1+AA$16)+AA$13))</f>
        <v>1964261.10405515</v>
      </c>
      <c r="AB35" s="20" t="n">
        <f aca="false">IF(AB$5&lt;=$B35,AB17,MAX(0,AA35*(1+AB$16)+AB$13))</f>
        <v>2083076.28086861</v>
      </c>
      <c r="AC35" s="20" t="n">
        <f aca="false">IF(AC$5&lt;=$B35,AC17,MAX(0,AB35*(1+AC$16)+AC$13))</f>
        <v>2199728.42640247</v>
      </c>
      <c r="AD35" s="20" t="n">
        <f aca="false">IF(AD$5&lt;=$B35,AD17,MAX(0,AC35*(1+AD$16)+AD$13))</f>
        <v>2313501.75603625</v>
      </c>
      <c r="AE35" s="20" t="n">
        <f aca="false">IF(AE$5&lt;=$B35,AE17,MAX(0,AD35*(1+AE$16)+AE$13))</f>
        <v>2423691.61779175</v>
      </c>
      <c r="AF35" s="20" t="n">
        <f aca="false">IF(AF$5&lt;=$B35,AF17,MAX(0,AE35*(1+AF$16)+AF$13))</f>
        <v>2529613.19976191</v>
      </c>
    </row>
    <row r="36" customFormat="false" ht="15" hidden="false" customHeight="true" outlineLevel="0" collapsed="false">
      <c r="B36" s="67" t="n">
        <v>2040</v>
      </c>
      <c r="C36" s="20" t="n">
        <f aca="false">C17</f>
        <v>0</v>
      </c>
      <c r="D36" s="20" t="n">
        <f aca="false">IF(D$5&lt;=$B36,D17,MAX(0,C36*(1+D$16)+D$13))</f>
        <v>0</v>
      </c>
      <c r="E36" s="20" t="n">
        <f aca="false">IF(E$5&lt;=$B36,E17,MAX(0,D36*(1+E$16)+E$13))</f>
        <v>79.6480000000447</v>
      </c>
      <c r="F36" s="20" t="n">
        <f aca="false">IF(F$5&lt;=$B36,F17,MAX(0,E36*(1+F$16)+F$13))</f>
        <v>26004.4212800001</v>
      </c>
      <c r="G36" s="20" t="n">
        <f aca="false">IF(G$5&lt;=$B36,G17,MAX(0,F36*(1+G$16)+G$13))</f>
        <v>65141.2407464001</v>
      </c>
      <c r="H36" s="20" t="n">
        <f aca="false">IF(H$5&lt;=$B36,H17,MAX(0,G36*(1+H$16)+H$13))</f>
        <v>107750.88411978</v>
      </c>
      <c r="I36" s="20" t="n">
        <f aca="false">IF(I$5&lt;=$B36,I17,MAX(0,H36*(1+I$16)+I$13))</f>
        <v>163077.663566927</v>
      </c>
      <c r="J36" s="20" t="n">
        <f aca="false">IF(J$5&lt;=$B36,J17,MAX(0,I36*(1+J$16)+J$13))</f>
        <v>222967.143117726</v>
      </c>
      <c r="K36" s="20" t="n">
        <f aca="false">IF(K$5&lt;=$B36,K17,MAX(0,J36*(1+K$16)+K$13))</f>
        <v>309660.258375873</v>
      </c>
      <c r="L36" s="20" t="n">
        <f aca="false">IF(L$5&lt;=$B36,L17,MAX(0,K36*(1+L$16)+L$13))</f>
        <v>403432.431144909</v>
      </c>
      <c r="M36" s="20" t="n">
        <f aca="false">IF(M$5&lt;=$B36,M17,MAX(0,L36*(1+M$16)+M$13))</f>
        <v>504772.680263424</v>
      </c>
      <c r="N36" s="20" t="n">
        <f aca="false">IF(N$5&lt;=$B36,N17,MAX(0,M36*(1+N$16)+N$13))</f>
        <v>613445.22937613</v>
      </c>
      <c r="O36" s="20" t="n">
        <f aca="false">IF(O$5&lt;=$B36,O17,MAX(0,N36*(1+O$16)+O$13))</f>
        <v>728710.539347684</v>
      </c>
      <c r="P36" s="20" t="n">
        <f aca="false">IF(P$5&lt;=$B36,P17,MAX(0,O36*(1+P$16)+P$13))</f>
        <v>850326.30642636</v>
      </c>
      <c r="Q36" s="20" t="n">
        <f aca="false">IF(Q$5&lt;=$B36,Q17,MAX(0,P36*(1+Q$16)+Q$13))</f>
        <v>977978.299414104</v>
      </c>
      <c r="R36" s="20" t="n">
        <f aca="false">IF(R$5&lt;=$B36,R17,MAX(0,Q36*(1+R$16)+R$13))</f>
        <v>1058428.91820485</v>
      </c>
      <c r="S36" s="20" t="n">
        <f aca="false">IF(S$5&lt;=$B36,S17,MAX(0,R36*(1+S$16)+S$13))</f>
        <v>1140449.15183613</v>
      </c>
      <c r="T36" s="20" t="n">
        <f aca="false">IF(T$5&lt;=$B36,T17,MAX(0,S36*(1+T$16)+T$13))</f>
        <v>1223639.74796499</v>
      </c>
      <c r="U36" s="20" t="n">
        <f aca="false">IF(U$5&lt;=$B36,U17,MAX(0,T36*(1+U$16)+U$13))</f>
        <v>1307570.60016821</v>
      </c>
      <c r="V36" s="20" t="n">
        <f aca="false">IF(V$5&lt;=$B36,V17,MAX(0,U36*(1+V$16)+V$13))</f>
        <v>1427223.65123243</v>
      </c>
      <c r="W36" s="20" t="n">
        <f aca="false">IF(W$5&lt;=$B36,W17,MAX(0,V36*(1+W$16)+W$13))</f>
        <v>1548681.40710715</v>
      </c>
      <c r="X36" s="20" t="n">
        <f aca="false">IF(X$5&lt;=$B36,X17,MAX(0,W36*(1+X$16)+X$13))</f>
        <v>1671313.60870206</v>
      </c>
      <c r="Y36" s="20" t="n">
        <f aca="false">IF(Y$5&lt;=$B36,Y17,MAX(0,X36*(1+Y$16)+Y$13))</f>
        <v>1794455.07571343</v>
      </c>
      <c r="Z36" s="20" t="n">
        <f aca="false">IF(Z$5&lt;=$B36,Z17,MAX(0,Y36*(1+Z$16)+Z$13))</f>
        <v>1917412.32028042</v>
      </c>
      <c r="AA36" s="20" t="n">
        <f aca="false">IF(AA$5&lt;=$B36,AA17,MAX(0,Z36*(1+AA$16)+AA$13))</f>
        <v>2039470.84671187</v>
      </c>
      <c r="AB36" s="20" t="n">
        <f aca="false">IF(AB$5&lt;=$B36,AB17,MAX(0,AA36*(1+AB$16)+AB$13))</f>
        <v>2159903.03299244</v>
      </c>
      <c r="AC36" s="20" t="n">
        <f aca="false">IF(AC$5&lt;=$B36,AC17,MAX(0,AB36*(1+AC$16)+AC$13))</f>
        <v>2277976.47344059</v>
      </c>
      <c r="AD36" s="20" t="n">
        <f aca="false">IF(AD$5&lt;=$B36,AD17,MAX(0,AC36*(1+AD$16)+AD$13))</f>
        <v>2392962.64780347</v>
      </c>
      <c r="AE36" s="20" t="n">
        <f aca="false">IF(AE$5&lt;=$B36,AE17,MAX(0,AD36*(1+AE$16)+AE$13))</f>
        <v>2504145.77070605</v>
      </c>
      <c r="AF36" s="20" t="n">
        <f aca="false">IF(AF$5&lt;=$B36,AF17,MAX(0,AE36*(1+AF$16)+AF$13))</f>
        <v>2610831.6671289</v>
      </c>
    </row>
    <row r="37" customFormat="false" ht="15" hidden="false" customHeight="true" outlineLevel="0" collapsed="false">
      <c r="B37" s="67" t="n">
        <v>2041</v>
      </c>
      <c r="C37" s="20" t="n">
        <f aca="false">C17</f>
        <v>0</v>
      </c>
      <c r="D37" s="20" t="n">
        <f aca="false">IF(D$5&lt;=$B37,D17,MAX(0,C37*(1+D$16)+D$13))</f>
        <v>0</v>
      </c>
      <c r="E37" s="20" t="n">
        <f aca="false">IF(E$5&lt;=$B37,E17,MAX(0,D37*(1+E$16)+E$13))</f>
        <v>79.6480000000447</v>
      </c>
      <c r="F37" s="20" t="n">
        <f aca="false">IF(F$5&lt;=$B37,F17,MAX(0,E37*(1+F$16)+F$13))</f>
        <v>26004.4212800001</v>
      </c>
      <c r="G37" s="20" t="n">
        <f aca="false">IF(G$5&lt;=$B37,G17,MAX(0,F37*(1+G$16)+G$13))</f>
        <v>65141.2407464001</v>
      </c>
      <c r="H37" s="20" t="n">
        <f aca="false">IF(H$5&lt;=$B37,H17,MAX(0,G37*(1+H$16)+H$13))</f>
        <v>107750.88411978</v>
      </c>
      <c r="I37" s="20" t="n">
        <f aca="false">IF(I$5&lt;=$B37,I17,MAX(0,H37*(1+I$16)+I$13))</f>
        <v>163077.663566927</v>
      </c>
      <c r="J37" s="20" t="n">
        <f aca="false">IF(J$5&lt;=$B37,J17,MAX(0,I37*(1+J$16)+J$13))</f>
        <v>222967.143117726</v>
      </c>
      <c r="K37" s="20" t="n">
        <f aca="false">IF(K$5&lt;=$B37,K17,MAX(0,J37*(1+K$16)+K$13))</f>
        <v>309660.258375873</v>
      </c>
      <c r="L37" s="20" t="n">
        <f aca="false">IF(L$5&lt;=$B37,L17,MAX(0,K37*(1+L$16)+L$13))</f>
        <v>403432.431144909</v>
      </c>
      <c r="M37" s="20" t="n">
        <f aca="false">IF(M$5&lt;=$B37,M17,MAX(0,L37*(1+M$16)+M$13))</f>
        <v>504772.680263424</v>
      </c>
      <c r="N37" s="20" t="n">
        <f aca="false">IF(N$5&lt;=$B37,N17,MAX(0,M37*(1+N$16)+N$13))</f>
        <v>613445.22937613</v>
      </c>
      <c r="O37" s="20" t="n">
        <f aca="false">IF(O$5&lt;=$B37,O17,MAX(0,N37*(1+O$16)+O$13))</f>
        <v>728710.539347684</v>
      </c>
      <c r="P37" s="20" t="n">
        <f aca="false">IF(P$5&lt;=$B37,P17,MAX(0,O37*(1+P$16)+P$13))</f>
        <v>850326.30642636</v>
      </c>
      <c r="Q37" s="20" t="n">
        <f aca="false">IF(Q$5&lt;=$B37,Q17,MAX(0,P37*(1+Q$16)+Q$13))</f>
        <v>977978.299414104</v>
      </c>
      <c r="R37" s="20" t="n">
        <f aca="false">IF(R$5&lt;=$B37,R17,MAX(0,Q37*(1+R$16)+R$13))</f>
        <v>1111279.57530719</v>
      </c>
      <c r="S37" s="20" t="n">
        <f aca="false">IF(S$5&lt;=$B37,S17,MAX(0,R37*(1+S$16)+S$13))</f>
        <v>1195863.06580793</v>
      </c>
      <c r="T37" s="20" t="n">
        <f aca="false">IF(T$5&lt;=$B37,T17,MAX(0,S37*(1+T$16)+T$13))</f>
        <v>1281574.9950225</v>
      </c>
      <c r="U37" s="20" t="n">
        <f aca="false">IF(U$5&lt;=$B37,U17,MAX(0,T37*(1+U$16)+U$13))</f>
        <v>1367968.09522567</v>
      </c>
      <c r="V37" s="20" t="n">
        <f aca="false">IF(V$5&lt;=$B37,V17,MAX(0,U37*(1+V$16)+V$13))</f>
        <v>1490006.84734466</v>
      </c>
      <c r="W37" s="20" t="n">
        <f aca="false">IF(W$5&lt;=$B37,W17,MAX(0,V37*(1+W$16)+W$13))</f>
        <v>1613756.18987747</v>
      </c>
      <c r="X37" s="20" t="n">
        <f aca="false">IF(X$5&lt;=$B37,X17,MAX(0,W37*(1+X$16)+X$13))</f>
        <v>1738568.39669519</v>
      </c>
      <c r="Y37" s="20" t="n">
        <f aca="false">IF(Y$5&lt;=$B37,Y17,MAX(0,X37*(1+Y$16)+Y$13))</f>
        <v>1863761.13474035</v>
      </c>
      <c r="Z37" s="20" t="n">
        <f aca="false">IF(Z$5&lt;=$B37,Z17,MAX(0,Y37*(1+Z$16)+Z$13))</f>
        <v>1988624.29593058</v>
      </c>
      <c r="AA37" s="20" t="n">
        <f aca="false">IF(AA$5&lt;=$B37,AA17,MAX(0,Z37*(1+AA$16)+AA$13))</f>
        <v>2112427.51576546</v>
      </c>
      <c r="AB37" s="20" t="n">
        <f aca="false">IF(AB$5&lt;=$B37,AB17,MAX(0,AA37*(1+AB$16)+AB$13))</f>
        <v>2234428.27043068</v>
      </c>
      <c r="AC37" s="20" t="n">
        <f aca="false">IF(AC$5&lt;=$B37,AC17,MAX(0,AB37*(1+AC$16)+AC$13))</f>
        <v>2353880.42777144</v>
      </c>
      <c r="AD37" s="20" t="n">
        <f aca="false">IF(AD$5&lt;=$B37,AD17,MAX(0,AC37*(1+AD$16)+AD$13))</f>
        <v>2470043.11342645</v>
      </c>
      <c r="AE37" s="20" t="n">
        <f aca="false">IF(AE$5&lt;=$B37,AE17,MAX(0,AD37*(1+AE$16)+AE$13))</f>
        <v>2582189.74214932</v>
      </c>
      <c r="AF37" s="20" t="n">
        <f aca="false">IF(AF$5&lt;=$B37,AF17,MAX(0,AE37*(1+AF$16)+AF$13))</f>
        <v>2689617.05630088</v>
      </c>
    </row>
    <row r="38" customFormat="false" ht="15" hidden="false" customHeight="true" outlineLevel="0" collapsed="false">
      <c r="B38" s="67" t="n">
        <v>2042</v>
      </c>
      <c r="C38" s="20" t="n">
        <f aca="false">C17</f>
        <v>0</v>
      </c>
      <c r="D38" s="20" t="n">
        <f aca="false">IF(D$5&lt;=$B38,D17,MAX(0,C38*(1+D$16)+D$13))</f>
        <v>0</v>
      </c>
      <c r="E38" s="20" t="n">
        <f aca="false">IF(E$5&lt;=$B38,E17,MAX(0,D38*(1+E$16)+E$13))</f>
        <v>79.6480000000447</v>
      </c>
      <c r="F38" s="20" t="n">
        <f aca="false">IF(F$5&lt;=$B38,F17,MAX(0,E38*(1+F$16)+F$13))</f>
        <v>26004.4212800001</v>
      </c>
      <c r="G38" s="20" t="n">
        <f aca="false">IF(G$5&lt;=$B38,G17,MAX(0,F38*(1+G$16)+G$13))</f>
        <v>65141.2407464001</v>
      </c>
      <c r="H38" s="20" t="n">
        <f aca="false">IF(H$5&lt;=$B38,H17,MAX(0,G38*(1+H$16)+H$13))</f>
        <v>107750.88411978</v>
      </c>
      <c r="I38" s="20" t="n">
        <f aca="false">IF(I$5&lt;=$B38,I17,MAX(0,H38*(1+I$16)+I$13))</f>
        <v>163077.663566927</v>
      </c>
      <c r="J38" s="20" t="n">
        <f aca="false">IF(J$5&lt;=$B38,J17,MAX(0,I38*(1+J$16)+J$13))</f>
        <v>222967.143117726</v>
      </c>
      <c r="K38" s="20" t="n">
        <f aca="false">IF(K$5&lt;=$B38,K17,MAX(0,J38*(1+K$16)+K$13))</f>
        <v>309660.258375873</v>
      </c>
      <c r="L38" s="20" t="n">
        <f aca="false">IF(L$5&lt;=$B38,L17,MAX(0,K38*(1+L$16)+L$13))</f>
        <v>403432.431144909</v>
      </c>
      <c r="M38" s="20" t="n">
        <f aca="false">IF(M$5&lt;=$B38,M17,MAX(0,L38*(1+M$16)+M$13))</f>
        <v>504772.680263424</v>
      </c>
      <c r="N38" s="20" t="n">
        <f aca="false">IF(N$5&lt;=$B38,N17,MAX(0,M38*(1+N$16)+N$13))</f>
        <v>613445.22937613</v>
      </c>
      <c r="O38" s="20" t="n">
        <f aca="false">IF(O$5&lt;=$B38,O17,MAX(0,N38*(1+O$16)+O$13))</f>
        <v>728710.539347684</v>
      </c>
      <c r="P38" s="20" t="n">
        <f aca="false">IF(P$5&lt;=$B38,P17,MAX(0,O38*(1+P$16)+P$13))</f>
        <v>850326.30642636</v>
      </c>
      <c r="Q38" s="20" t="n">
        <f aca="false">IF(Q$5&lt;=$B38,Q17,MAX(0,P38*(1+Q$16)+Q$13))</f>
        <v>977978.299414104</v>
      </c>
      <c r="R38" s="20" t="n">
        <f aca="false">IF(R$5&lt;=$B38,R17,MAX(0,Q38*(1+R$16)+R$13))</f>
        <v>1111279.57530719</v>
      </c>
      <c r="S38" s="20" t="n">
        <f aca="false">IF(S$5&lt;=$B38,S17,MAX(0,R38*(1+S$16)+S$13))</f>
        <v>1249770.73605231</v>
      </c>
      <c r="T38" s="20" t="n">
        <f aca="false">IF(T$5&lt;=$B38,T17,MAX(0,S38*(1+T$16)+T$13))</f>
        <v>1337935.464263</v>
      </c>
      <c r="U38" s="20" t="n">
        <f aca="false">IF(U$5&lt;=$B38,U17,MAX(0,T38*(1+U$16)+U$13))</f>
        <v>1426723.88440889</v>
      </c>
      <c r="V38" s="20" t="n">
        <f aca="false">IF(V$5&lt;=$B38,V17,MAX(0,U38*(1+V$16)+V$13))</f>
        <v>1551083.49020062</v>
      </c>
      <c r="W38" s="20" t="n">
        <f aca="false">IF(W$5&lt;=$B38,W17,MAX(0,V38*(1+W$16)+W$13))</f>
        <v>1677062.13019767</v>
      </c>
      <c r="X38" s="20" t="n">
        <f aca="false">IF(X$5&lt;=$B38,X17,MAX(0,W38*(1+X$16)+X$13))</f>
        <v>1803995.08601611</v>
      </c>
      <c r="Y38" s="20" t="n">
        <f aca="false">IF(Y$5&lt;=$B38,Y17,MAX(0,X38*(1+Y$16)+Y$13))</f>
        <v>1931183.33808556</v>
      </c>
      <c r="Z38" s="20" t="n">
        <f aca="false">IF(Z$5&lt;=$B38,Z17,MAX(0,Y38*(1+Z$16)+Z$13))</f>
        <v>2057900.60986779</v>
      </c>
      <c r="AA38" s="20" t="n">
        <f aca="false">IF(AA$5&lt;=$B38,AA17,MAX(0,Z38*(1+AA$16)+AA$13))</f>
        <v>2183401.09939413</v>
      </c>
      <c r="AB38" s="20" t="n">
        <f aca="false">IF(AB$5&lt;=$B38,AB17,MAX(0,AA38*(1+AB$16)+AB$13))</f>
        <v>2306927.78610737</v>
      </c>
      <c r="AC38" s="20" t="n">
        <f aca="false">IF(AC$5&lt;=$B38,AC17,MAX(0,AB38*(1+AC$16)+AC$13))</f>
        <v>2427721.18448815</v>
      </c>
      <c r="AD38" s="20" t="n">
        <f aca="false">IF(AD$5&lt;=$B38,AD17,MAX(0,AC38*(1+AD$16)+AD$13))</f>
        <v>2545028.40187226</v>
      </c>
      <c r="AE38" s="20" t="n">
        <f aca="false">IF(AE$5&lt;=$B38,AE17,MAX(0,AD38*(1+AE$16)+AE$13))</f>
        <v>2658112.3467007</v>
      </c>
      <c r="AF38" s="20" t="n">
        <f aca="false">IF(AF$5&lt;=$B38,AF17,MAX(0,AE38*(1+AF$16)+AF$13))</f>
        <v>2766260.9255955</v>
      </c>
    </row>
    <row r="39" customFormat="false" ht="15" hidden="false" customHeight="true" outlineLevel="0" collapsed="false">
      <c r="B39" s="67" t="n">
        <v>2043</v>
      </c>
      <c r="C39" s="20" t="n">
        <f aca="false">C17</f>
        <v>0</v>
      </c>
      <c r="D39" s="20" t="n">
        <f aca="false">IF(D$5&lt;=$B39,D17,MAX(0,C39*(1+D$16)+D$13))</f>
        <v>0</v>
      </c>
      <c r="E39" s="20" t="n">
        <f aca="false">IF(E$5&lt;=$B39,E17,MAX(0,D39*(1+E$16)+E$13))</f>
        <v>79.6480000000447</v>
      </c>
      <c r="F39" s="20" t="n">
        <f aca="false">IF(F$5&lt;=$B39,F17,MAX(0,E39*(1+F$16)+F$13))</f>
        <v>26004.4212800001</v>
      </c>
      <c r="G39" s="20" t="n">
        <f aca="false">IF(G$5&lt;=$B39,G17,MAX(0,F39*(1+G$16)+G$13))</f>
        <v>65141.2407464001</v>
      </c>
      <c r="H39" s="20" t="n">
        <f aca="false">IF(H$5&lt;=$B39,H17,MAX(0,G39*(1+H$16)+H$13))</f>
        <v>107750.88411978</v>
      </c>
      <c r="I39" s="20" t="n">
        <f aca="false">IF(I$5&lt;=$B39,I17,MAX(0,H39*(1+I$16)+I$13))</f>
        <v>163077.663566927</v>
      </c>
      <c r="J39" s="20" t="n">
        <f aca="false">IF(J$5&lt;=$B39,J17,MAX(0,I39*(1+J$16)+J$13))</f>
        <v>222967.143117726</v>
      </c>
      <c r="K39" s="20" t="n">
        <f aca="false">IF(K$5&lt;=$B39,K17,MAX(0,J39*(1+K$16)+K$13))</f>
        <v>309660.258375873</v>
      </c>
      <c r="L39" s="20" t="n">
        <f aca="false">IF(L$5&lt;=$B39,L17,MAX(0,K39*(1+L$16)+L$13))</f>
        <v>403432.431144909</v>
      </c>
      <c r="M39" s="20" t="n">
        <f aca="false">IF(M$5&lt;=$B39,M17,MAX(0,L39*(1+M$16)+M$13))</f>
        <v>504772.680263424</v>
      </c>
      <c r="N39" s="20" t="n">
        <f aca="false">IF(N$5&lt;=$B39,N17,MAX(0,M39*(1+N$16)+N$13))</f>
        <v>613445.22937613</v>
      </c>
      <c r="O39" s="20" t="n">
        <f aca="false">IF(O$5&lt;=$B39,O17,MAX(0,N39*(1+O$16)+O$13))</f>
        <v>728710.539347684</v>
      </c>
      <c r="P39" s="20" t="n">
        <f aca="false">IF(P$5&lt;=$B39,P17,MAX(0,O39*(1+P$16)+P$13))</f>
        <v>850326.30642636</v>
      </c>
      <c r="Q39" s="20" t="n">
        <f aca="false">IF(Q$5&lt;=$B39,Q17,MAX(0,P39*(1+Q$16)+Q$13))</f>
        <v>977978.299414104</v>
      </c>
      <c r="R39" s="20" t="n">
        <f aca="false">IF(R$5&lt;=$B39,R17,MAX(0,Q39*(1+R$16)+R$13))</f>
        <v>1111279.57530719</v>
      </c>
      <c r="S39" s="20" t="n">
        <f aca="false">IF(S$5&lt;=$B39,S17,MAX(0,R39*(1+S$16)+S$13))</f>
        <v>1249770.73605231</v>
      </c>
      <c r="T39" s="20" t="n">
        <f aca="false">IF(T$5&lt;=$B39,T17,MAX(0,S39*(1+T$16)+T$13))</f>
        <v>1392921.28791227</v>
      </c>
      <c r="U39" s="20" t="n">
        <f aca="false">IF(U$5&lt;=$B39,U17,MAX(0,T39*(1+U$16)+U$13))</f>
        <v>1484046.60556325</v>
      </c>
      <c r="V39" s="20" t="n">
        <f aca="false">IF(V$5&lt;=$B39,V17,MAX(0,U39*(1+V$16)+V$13))</f>
        <v>1610670.45884058</v>
      </c>
      <c r="W39" s="20" t="n">
        <f aca="false">IF(W$5&lt;=$B39,W17,MAX(0,V39*(1+W$16)+W$13))</f>
        <v>1738824.02319299</v>
      </c>
      <c r="X39" s="20" t="n">
        <f aca="false">IF(X$5&lt;=$B39,X17,MAX(0,W39*(1+X$16)+X$13))</f>
        <v>1867826.00242677</v>
      </c>
      <c r="Y39" s="20" t="n">
        <f aca="false">IF(Y$5&lt;=$B39,Y17,MAX(0,X39*(1+Y$16)+Y$13))</f>
        <v>1996961.09744675</v>
      </c>
      <c r="Z39" s="20" t="n">
        <f aca="false">IF(Z$5&lt;=$B39,Z17,MAX(0,Y39*(1+Z$16)+Z$13))</f>
        <v>2125487.25761141</v>
      </c>
      <c r="AA39" s="20" t="n">
        <f aca="false">IF(AA$5&lt;=$B39,AA17,MAX(0,Z39*(1+AA$16)+AA$13))</f>
        <v>2252643.62000747</v>
      </c>
      <c r="AB39" s="20" t="n">
        <f aca="false">IF(AB$5&lt;=$B39,AB17,MAX(0,AA39*(1+AB$16)+AB$13))</f>
        <v>2377659.02091389</v>
      </c>
      <c r="AC39" s="20" t="n">
        <f aca="false">IF(AC$5&lt;=$B39,AC17,MAX(0,AB39*(1+AC$16)+AC$13))</f>
        <v>2499760.94713859</v>
      </c>
      <c r="AD39" s="20" t="n">
        <f aca="false">IF(AD$5&lt;=$B39,AD17,MAX(0,AC39*(1+AD$16)+AD$13))</f>
        <v>2618184.78084379</v>
      </c>
      <c r="AE39" s="20" t="n">
        <f aca="false">IF(AE$5&lt;=$B39,AE17,MAX(0,AD39*(1+AE$16)+AE$13))</f>
        <v>2732183.18040937</v>
      </c>
      <c r="AF39" s="20" t="n">
        <f aca="false">IF(AF$5&lt;=$B39,AF17,MAX(0,AE39*(1+AF$16)+AF$13))</f>
        <v>2841035.4322244</v>
      </c>
    </row>
    <row r="40" customFormat="false" ht="15" hidden="false" customHeight="true" outlineLevel="0" collapsed="false">
      <c r="B40" s="67" t="n">
        <v>2044</v>
      </c>
      <c r="C40" s="20" t="n">
        <f aca="false">C17</f>
        <v>0</v>
      </c>
      <c r="D40" s="20" t="n">
        <f aca="false">IF(D$5&lt;=$B40,D17,MAX(0,C40*(1+D$16)+D$13))</f>
        <v>0</v>
      </c>
      <c r="E40" s="20" t="n">
        <f aca="false">IF(E$5&lt;=$B40,E17,MAX(0,D40*(1+E$16)+E$13))</f>
        <v>79.6480000000447</v>
      </c>
      <c r="F40" s="20" t="n">
        <f aca="false">IF(F$5&lt;=$B40,F17,MAX(0,E40*(1+F$16)+F$13))</f>
        <v>26004.4212800001</v>
      </c>
      <c r="G40" s="20" t="n">
        <f aca="false">IF(G$5&lt;=$B40,G17,MAX(0,F40*(1+G$16)+G$13))</f>
        <v>65141.2407464001</v>
      </c>
      <c r="H40" s="20" t="n">
        <f aca="false">IF(H$5&lt;=$B40,H17,MAX(0,G40*(1+H$16)+H$13))</f>
        <v>107750.88411978</v>
      </c>
      <c r="I40" s="20" t="n">
        <f aca="false">IF(I$5&lt;=$B40,I17,MAX(0,H40*(1+I$16)+I$13))</f>
        <v>163077.663566927</v>
      </c>
      <c r="J40" s="20" t="n">
        <f aca="false">IF(J$5&lt;=$B40,J17,MAX(0,I40*(1+J$16)+J$13))</f>
        <v>222967.143117726</v>
      </c>
      <c r="K40" s="20" t="n">
        <f aca="false">IF(K$5&lt;=$B40,K17,MAX(0,J40*(1+K$16)+K$13))</f>
        <v>309660.258375873</v>
      </c>
      <c r="L40" s="20" t="n">
        <f aca="false">IF(L$5&lt;=$B40,L17,MAX(0,K40*(1+L$16)+L$13))</f>
        <v>403432.431144909</v>
      </c>
      <c r="M40" s="20" t="n">
        <f aca="false">IF(M$5&lt;=$B40,M17,MAX(0,L40*(1+M$16)+M$13))</f>
        <v>504772.680263424</v>
      </c>
      <c r="N40" s="20" t="n">
        <f aca="false">IF(N$5&lt;=$B40,N17,MAX(0,M40*(1+N$16)+N$13))</f>
        <v>613445.22937613</v>
      </c>
      <c r="O40" s="20" t="n">
        <f aca="false">IF(O$5&lt;=$B40,O17,MAX(0,N40*(1+O$16)+O$13))</f>
        <v>728710.539347684</v>
      </c>
      <c r="P40" s="20" t="n">
        <f aca="false">IF(P$5&lt;=$B40,P17,MAX(0,O40*(1+P$16)+P$13))</f>
        <v>850326.30642636</v>
      </c>
      <c r="Q40" s="20" t="n">
        <f aca="false">IF(Q$5&lt;=$B40,Q17,MAX(0,P40*(1+Q$16)+Q$13))</f>
        <v>977978.299414104</v>
      </c>
      <c r="R40" s="20" t="n">
        <f aca="false">IF(R$5&lt;=$B40,R17,MAX(0,Q40*(1+R$16)+R$13))</f>
        <v>1111279.57530719</v>
      </c>
      <c r="S40" s="20" t="n">
        <f aca="false">IF(S$5&lt;=$B40,S17,MAX(0,R40*(1+S$16)+S$13))</f>
        <v>1249770.73605231</v>
      </c>
      <c r="T40" s="20" t="n">
        <f aca="false">IF(T$5&lt;=$B40,T17,MAX(0,S40*(1+T$16)+T$13))</f>
        <v>1392921.28791227</v>
      </c>
      <c r="U40" s="20" t="n">
        <f aca="false">IF(U$5&lt;=$B40,U17,MAX(0,T40*(1+U$16)+U$13))</f>
        <v>1540132.14568551</v>
      </c>
      <c r="V40" s="20" t="n">
        <f aca="false">IF(V$5&lt;=$B40,V17,MAX(0,U40*(1+V$16)+V$13))</f>
        <v>1668971.37779766</v>
      </c>
      <c r="W40" s="20" t="n">
        <f aca="false">IF(W$5&lt;=$B40,W17,MAX(0,V40*(1+W$16)+W$13))</f>
        <v>1799252.925692</v>
      </c>
      <c r="X40" s="20" t="n">
        <f aca="false">IF(X$5&lt;=$B40,X17,MAX(0,W40*(1+X$16)+X$13))</f>
        <v>1930279.27315951</v>
      </c>
      <c r="Y40" s="20" t="n">
        <f aca="false">IF(Y$5&lt;=$B40,Y17,MAX(0,X40*(1+Y$16)+Y$13))</f>
        <v>2061319.19293683</v>
      </c>
      <c r="Z40" s="20" t="n">
        <f aca="false">IF(Z$5&lt;=$B40,Z17,MAX(0,Y40*(1+Z$16)+Z$13))</f>
        <v>2191615.20072747</v>
      </c>
      <c r="AA40" s="20" t="n">
        <f aca="false">IF(AA$5&lt;=$B40,AA17,MAX(0,Z40*(1+AA$16)+AA$13))</f>
        <v>2320391.69772987</v>
      </c>
      <c r="AB40" s="20" t="n">
        <f aca="false">IF(AB$5&lt;=$B40,AB17,MAX(0,AA40*(1+AB$16)+AB$13))</f>
        <v>2446863.68230733</v>
      </c>
      <c r="AC40" s="20" t="n">
        <f aca="false">IF(AC$5&lt;=$B40,AC17,MAX(0,AB40*(1+AC$16)+AC$13))</f>
        <v>2570245.8947678</v>
      </c>
      <c r="AD40" s="20" t="n">
        <f aca="false">IF(AD$5&lt;=$B40,AD17,MAX(0,AC40*(1+AD$16)+AD$13))</f>
        <v>2689762.24516125</v>
      </c>
      <c r="AE40" s="20" t="n">
        <f aca="false">IF(AE$5&lt;=$B40,AE17,MAX(0,AD40*(1+AE$16)+AE$13))</f>
        <v>2804655.36303081</v>
      </c>
      <c r="AF40" s="20" t="n">
        <f aca="false">IF(AF$5&lt;=$B40,AF17,MAX(0,AE40*(1+AF$16)+AF$13))</f>
        <v>2914196.10058074</v>
      </c>
    </row>
    <row r="41" customFormat="false" ht="15" hidden="false" customHeight="true" outlineLevel="0" collapsed="false">
      <c r="B41" s="67" t="n">
        <v>2045</v>
      </c>
      <c r="C41" s="20" t="n">
        <f aca="false">C17</f>
        <v>0</v>
      </c>
      <c r="D41" s="20" t="n">
        <f aca="false">IF(D$5&lt;=$B41,D17,MAX(0,C41*(1+D$16)+D$13))</f>
        <v>0</v>
      </c>
      <c r="E41" s="20" t="n">
        <f aca="false">IF(E$5&lt;=$B41,E17,MAX(0,D41*(1+E$16)+E$13))</f>
        <v>79.6480000000447</v>
      </c>
      <c r="F41" s="20" t="n">
        <f aca="false">IF(F$5&lt;=$B41,F17,MAX(0,E41*(1+F$16)+F$13))</f>
        <v>26004.4212800001</v>
      </c>
      <c r="G41" s="20" t="n">
        <f aca="false">IF(G$5&lt;=$B41,G17,MAX(0,F41*(1+G$16)+G$13))</f>
        <v>65141.2407464001</v>
      </c>
      <c r="H41" s="20" t="n">
        <f aca="false">IF(H$5&lt;=$B41,H17,MAX(0,G41*(1+H$16)+H$13))</f>
        <v>107750.88411978</v>
      </c>
      <c r="I41" s="20" t="n">
        <f aca="false">IF(I$5&lt;=$B41,I17,MAX(0,H41*(1+I$16)+I$13))</f>
        <v>163077.663566927</v>
      </c>
      <c r="J41" s="20" t="n">
        <f aca="false">IF(J$5&lt;=$B41,J17,MAX(0,I41*(1+J$16)+J$13))</f>
        <v>222967.143117726</v>
      </c>
      <c r="K41" s="20" t="n">
        <f aca="false">IF(K$5&lt;=$B41,K17,MAX(0,J41*(1+K$16)+K$13))</f>
        <v>309660.258375873</v>
      </c>
      <c r="L41" s="20" t="n">
        <f aca="false">IF(L$5&lt;=$B41,L17,MAX(0,K41*(1+L$16)+L$13))</f>
        <v>403432.431144909</v>
      </c>
      <c r="M41" s="20" t="n">
        <f aca="false">IF(M$5&lt;=$B41,M17,MAX(0,L41*(1+M$16)+M$13))</f>
        <v>504772.680263424</v>
      </c>
      <c r="N41" s="20" t="n">
        <f aca="false">IF(N$5&lt;=$B41,N17,MAX(0,M41*(1+N$16)+N$13))</f>
        <v>613445.22937613</v>
      </c>
      <c r="O41" s="20" t="n">
        <f aca="false">IF(O$5&lt;=$B41,O17,MAX(0,N41*(1+O$16)+O$13))</f>
        <v>728710.539347684</v>
      </c>
      <c r="P41" s="20" t="n">
        <f aca="false">IF(P$5&lt;=$B41,P17,MAX(0,O41*(1+P$16)+P$13))</f>
        <v>850326.30642636</v>
      </c>
      <c r="Q41" s="20" t="n">
        <f aca="false">IF(Q$5&lt;=$B41,Q17,MAX(0,P41*(1+Q$16)+Q$13))</f>
        <v>977978.299414104</v>
      </c>
      <c r="R41" s="20" t="n">
        <f aca="false">IF(R$5&lt;=$B41,R17,MAX(0,Q41*(1+R$16)+R$13))</f>
        <v>1111279.57530719</v>
      </c>
      <c r="S41" s="20" t="n">
        <f aca="false">IF(S$5&lt;=$B41,S17,MAX(0,R41*(1+S$16)+S$13))</f>
        <v>1249770.73605231</v>
      </c>
      <c r="T41" s="20" t="n">
        <f aca="false">IF(T$5&lt;=$B41,T17,MAX(0,S41*(1+T$16)+T$13))</f>
        <v>1392921.28791227</v>
      </c>
      <c r="U41" s="20" t="n">
        <f aca="false">IF(U$5&lt;=$B41,U17,MAX(0,T41*(1+U$16)+U$13))</f>
        <v>1540132.14568551</v>
      </c>
      <c r="V41" s="20" t="n">
        <f aca="false">IF(V$5&lt;=$B41,V17,MAX(0,U41*(1+V$16)+V$13))</f>
        <v>1726178.62872236</v>
      </c>
      <c r="W41" s="20" t="n">
        <f aca="false">IF(W$5&lt;=$B41,W17,MAX(0,V41*(1+W$16)+W$13))</f>
        <v>1858548.24127545</v>
      </c>
      <c r="X41" s="20" t="n">
        <f aca="false">IF(X$5&lt;=$B41,X17,MAX(0,W41*(1+X$16)+X$13))</f>
        <v>1991560.981815</v>
      </c>
      <c r="Y41" s="20" t="n">
        <f aca="false">IF(Y$5&lt;=$B41,Y17,MAX(0,X41*(1+Y$16)+Y$13))</f>
        <v>2124469.99370632</v>
      </c>
      <c r="Z41" s="20" t="n">
        <f aca="false">IF(Z$5&lt;=$B41,Z17,MAX(0,Y41*(1+Z$16)+Z$13))</f>
        <v>2256502.64851812</v>
      </c>
      <c r="AA41" s="20" t="n">
        <f aca="false">IF(AA$5&lt;=$B41,AA17,MAX(0,Z41*(1+AA$16)+AA$13))</f>
        <v>2386868.88799139</v>
      </c>
      <c r="AB41" s="20" t="n">
        <f aca="false">IF(AB$5&lt;=$B41,AB17,MAX(0,AA41*(1+AB$16)+AB$13))</f>
        <v>2514770.13215947</v>
      </c>
      <c r="AC41" s="20" t="n">
        <f aca="false">IF(AC$5&lt;=$B41,AC17,MAX(0,AB41*(1+AC$16)+AC$13))</f>
        <v>2639408.61394221</v>
      </c>
      <c r="AD41" s="20" t="n">
        <f aca="false">IF(AD$5&lt;=$B41,AD17,MAX(0,AC41*(1+AD$16)+AD$13))</f>
        <v>2759996.98648286</v>
      </c>
      <c r="AE41" s="20" t="n">
        <f aca="false">IF(AE$5&lt;=$B41,AE17,MAX(0,AD41*(1+AE$16)+AE$13))</f>
        <v>2875768.03861894</v>
      </c>
      <c r="AF41" s="20" t="n">
        <f aca="false">IF(AF$5&lt;=$B41,AF17,MAX(0,AE41*(1+AF$16)+AF$13))</f>
        <v>2985984.34658696</v>
      </c>
    </row>
    <row r="44" customFormat="false" ht="15" hidden="false" customHeight="true" outlineLevel="0" collapsed="false">
      <c r="A44" s="30" t="s">
        <v>495</v>
      </c>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customFormat="false" ht="15" hidden="false" customHeight="true" outlineLevel="0" collapsed="false">
      <c r="B45" s="16" t="s">
        <v>101</v>
      </c>
      <c r="C45" s="31" t="n">
        <v>2026</v>
      </c>
      <c r="D45" s="31" t="n">
        <v>2027</v>
      </c>
      <c r="E45" s="31" t="n">
        <v>2028</v>
      </c>
      <c r="F45" s="31" t="n">
        <v>2029</v>
      </c>
      <c r="G45" s="31" t="n">
        <v>2030</v>
      </c>
      <c r="H45" s="31" t="n">
        <v>2031</v>
      </c>
      <c r="I45" s="31" t="n">
        <v>2032</v>
      </c>
      <c r="J45" s="31" t="n">
        <v>2033</v>
      </c>
      <c r="K45" s="31" t="n">
        <v>2034</v>
      </c>
      <c r="L45" s="31" t="n">
        <v>2035</v>
      </c>
      <c r="M45" s="31" t="n">
        <v>2036</v>
      </c>
      <c r="N45" s="31" t="n">
        <v>2037</v>
      </c>
      <c r="O45" s="31" t="n">
        <v>2038</v>
      </c>
      <c r="P45" s="31" t="n">
        <v>2039</v>
      </c>
      <c r="Q45" s="31" t="n">
        <v>2040</v>
      </c>
      <c r="R45" s="31" t="n">
        <v>2041</v>
      </c>
      <c r="S45" s="31" t="n">
        <v>2042</v>
      </c>
      <c r="T45" s="31" t="n">
        <v>2043</v>
      </c>
      <c r="U45" s="31" t="n">
        <v>2044</v>
      </c>
      <c r="V45" s="31" t="n">
        <v>2045</v>
      </c>
      <c r="W45" s="31" t="n">
        <v>2046</v>
      </c>
      <c r="X45" s="31" t="n">
        <v>2047</v>
      </c>
      <c r="Y45" s="31" t="n">
        <v>2048</v>
      </c>
      <c r="Z45" s="31" t="n">
        <v>2049</v>
      </c>
      <c r="AA45" s="31" t="n">
        <v>2050</v>
      </c>
      <c r="AB45" s="31" t="n">
        <v>2051</v>
      </c>
      <c r="AC45" s="31" t="n">
        <v>2052</v>
      </c>
      <c r="AD45" s="31" t="n">
        <v>2053</v>
      </c>
      <c r="AE45" s="31" t="n">
        <v>2054</v>
      </c>
      <c r="AF45" s="31" t="n">
        <v>2055</v>
      </c>
    </row>
    <row r="46" customFormat="false" ht="15" hidden="false" customHeight="true" outlineLevel="0" collapsed="false">
      <c r="B46" s="67" t="n">
        <v>2026</v>
      </c>
      <c r="C46" s="20" t="n">
        <f aca="false">C18</f>
        <v>302223.8</v>
      </c>
      <c r="D46" s="20" t="n">
        <f aca="false">IF(D$5&lt;=$B46,D18,MAX(0,C46*(1+D$15)-MAX(0,-(C22*(1+D$16)+D$13))))</f>
        <v>279241.104</v>
      </c>
      <c r="E46" s="20" t="n">
        <f aca="false">IF(E$5&lt;=$B46,E18,MAX(0,D46*(1+E$15)-MAX(0,-(D22*(1+E$16)+E$13))))</f>
        <v>264463.19232</v>
      </c>
      <c r="F46" s="20" t="n">
        <f aca="false">IF(F$5&lt;=$B46,F18,MAX(0,E46*(1+F$15)-MAX(0,-(E22*(1+F$16)+F$13))))</f>
        <v>271714.7869056</v>
      </c>
      <c r="G46" s="20" t="n">
        <f aca="false">IF(G$5&lt;=$B46,G18,MAX(0,F46*(1+G$15)-MAX(0,-(F22*(1+G$16)+G$13))))</f>
        <v>288392.671842048</v>
      </c>
      <c r="H46" s="20" t="n">
        <f aca="false">IF(H$5&lt;=$B46,H18,MAX(0,G46*(1+H$15)-MAX(0,-(G22*(1+H$16)+H$13))))</f>
        <v>306483.601613092</v>
      </c>
      <c r="I46" s="20" t="n">
        <f aca="false">IF(I$5&lt;=$B46,I18,MAX(0,H46*(1+I$15)-MAX(0,-(H22*(1+I$16)+I$13))))</f>
        <v>331002.289742139</v>
      </c>
      <c r="J46" s="20" t="n">
        <f aca="false">IF(J$5&lt;=$B46,J18,MAX(0,I46*(1+J$15)-MAX(0,-(I22*(1+J$16)+J$13))))</f>
        <v>357482.472921511</v>
      </c>
      <c r="K46" s="20" t="n">
        <f aca="false">IF(K$5&lt;=$B46,K18,MAX(0,J46*(1+K$15)-MAX(0,-(J22*(1+K$16)+K$13))))</f>
        <v>386081.070755232</v>
      </c>
      <c r="L46" s="20" t="n">
        <f aca="false">IF(L$5&lt;=$B46,L18,MAX(0,K46*(1+L$15)-MAX(0,-(K22*(1+L$16)+L$13))))</f>
        <v>416967.55641565</v>
      </c>
      <c r="M46" s="20" t="n">
        <f aca="false">IF(M$5&lt;=$B46,M18,MAX(0,L46*(1+M$15)-MAX(0,-(L22*(1+M$16)+M$13))))</f>
        <v>450324.960928902</v>
      </c>
      <c r="N46" s="20" t="n">
        <f aca="false">IF(N$5&lt;=$B46,N18,MAX(0,M46*(1+N$15)-MAX(0,-(M22*(1+N$16)+N$13))))</f>
        <v>485675.470361821</v>
      </c>
      <c r="O46" s="20" t="n">
        <f aca="false">IF(O$5&lt;=$B46,O18,MAX(0,N46*(1+O$15)-MAX(0,-(N22*(1+O$16)+O$13))))</f>
        <v>522343.968374138</v>
      </c>
      <c r="P46" s="20" t="n">
        <f aca="false">IF(P$5&lt;=$B46,P18,MAX(0,O46*(1+P$15)-MAX(0,-(O22*(1+P$16)+P$13))))</f>
        <v>560213.906081263</v>
      </c>
      <c r="Q46" s="20" t="n">
        <f aca="false">IF(Q$5&lt;=$B46,Q18,MAX(0,P46*(1+Q$15)-MAX(0,-(P22*(1+Q$16)+Q$13))))</f>
        <v>599148.772553911</v>
      </c>
      <c r="R46" s="20" t="n">
        <f aca="false">IF(R$5&lt;=$B46,R18,MAX(0,Q46*(1+R$15)-MAX(0,-(Q22*(1+R$16)+R$13))))</f>
        <v>638992.165928746</v>
      </c>
      <c r="S46" s="20" t="n">
        <f aca="false">IF(S$5&lt;=$B46,S18,MAX(0,R46*(1+S$15)-MAX(0,-(R22*(1+S$16)+S$13))))</f>
        <v>679568.168465222</v>
      </c>
      <c r="T46" s="20" t="n">
        <f aca="false">IF(T$5&lt;=$B46,T18,MAX(0,S46*(1+T$15)-MAX(0,-(S22*(1+T$16)+T$13))))</f>
        <v>720682.042657367</v>
      </c>
      <c r="U46" s="20" t="n">
        <f aca="false">IF(U$5&lt;=$B46,U18,MAX(0,T46*(1+U$15)-MAX(0,-(T22*(1+U$16)+U$13))))</f>
        <v>762121.260110166</v>
      </c>
      <c r="V46" s="20" t="n">
        <f aca="false">IF(V$5&lt;=$B46,V18,MAX(0,U46*(1+V$15)-MAX(0,-(U22*(1+V$16)+V$13))))</f>
        <v>803656.86878617</v>
      </c>
      <c r="W46" s="20" t="n">
        <f aca="false">IF(W$5&lt;=$B46,W18,MAX(0,V46*(1+W$15)-MAX(0,-(V22*(1+W$16)+W$13))))</f>
        <v>845045.197528658</v>
      </c>
      <c r="X46" s="20" t="n">
        <f aca="false">IF(X$5&lt;=$B46,X18,MAX(0,W46*(1+X$15)-MAX(0,-(W22*(1+X$16)+X$13))))</f>
        <v>886029.889608798</v>
      </c>
      <c r="Y46" s="20" t="n">
        <f aca="false">IF(Y$5&lt;=$B46,Y18,MAX(0,X46*(1+Y$15)-MAX(0,-(X22*(1+Y$16)+Y$13))))</f>
        <v>926344.249585998</v>
      </c>
      <c r="Z46" s="20" t="n">
        <f aca="false">IF(Z$5&lt;=$B46,Z18,MAX(0,Y46*(1+Z$15)-MAX(0,-(Y22*(1+Z$16)+Z$13))))</f>
        <v>965713.880193403</v>
      </c>
      <c r="AA46" s="20" t="n">
        <f aca="false">IF(AA$5&lt;=$B46,AA18,MAX(0,Z46*(1+AA$15)-MAX(0,-(Z22*(1+AA$16)+AA$13))))</f>
        <v>1003859.57846104</v>
      </c>
      <c r="AB46" s="20" t="n">
        <f aca="false">IF(AB$5&lt;=$B46,AB18,MAX(0,AA46*(1+AB$15)-MAX(0,-(AA22*(1+AB$16)+AB$13))))</f>
        <v>1040500.45307487</v>
      </c>
      <c r="AC46" s="20" t="n">
        <f aca="false">IF(AC$5&lt;=$B46,AC18,MAX(0,AB46*(1+AC$15)-MAX(0,-(AB22*(1+AC$16)+AC$13))))</f>
        <v>1075357.21825288</v>
      </c>
      <c r="AD46" s="20" t="n">
        <f aca="false">IF(AD$5&lt;=$B46,AD18,MAX(0,AC46*(1+AD$15)-MAX(0,-(AC22*(1+AD$16)+AD$13))))</f>
        <v>1108155.61340959</v>
      </c>
      <c r="AE46" s="20" t="n">
        <f aca="false">IF(AE$5&lt;=$B46,AE18,MAX(0,AD46*(1+AE$15)-MAX(0,-(AD22*(1+AE$16)+AE$13))))</f>
        <v>1138629.89277836</v>
      </c>
      <c r="AF46" s="20" t="n">
        <f aca="false">IF(AF$5&lt;=$B46,AF18,MAX(0,AE46*(1+AF$15)-MAX(0,-(AE22*(1+AF$16)+AF$13))))</f>
        <v>1166526.32515143</v>
      </c>
    </row>
    <row r="47" customFormat="false" ht="15" hidden="false" customHeight="true" outlineLevel="0" collapsed="false">
      <c r="B47" s="67" t="n">
        <v>2027</v>
      </c>
      <c r="C47" s="20" t="n">
        <f aca="false">C18</f>
        <v>302223.8</v>
      </c>
      <c r="D47" s="20" t="n">
        <f aca="false">IF(D$5&lt;=$B47,D18,MAX(0,C47*(1+D$15)-MAX(0,-(C23*(1+D$16)+D$13))))</f>
        <v>351383.704</v>
      </c>
      <c r="E47" s="20" t="n">
        <f aca="false">IF(E$5&lt;=$B47,E18,MAX(0,D47*(1+E$15)-MAX(0,-(D23*(1+E$16)+E$13))))</f>
        <v>342377.20032</v>
      </c>
      <c r="F47" s="20" t="n">
        <f aca="false">IF(F$5&lt;=$B47,F18,MAX(0,E47*(1+F$15)-MAX(0,-(E23*(1+F$16)+F$13))))</f>
        <v>355861.9155456</v>
      </c>
      <c r="G47" s="20" t="n">
        <f aca="false">IF(G$5&lt;=$B47,G18,MAX(0,F47*(1+G$15)-MAX(0,-(F23*(1+G$16)+G$13))))</f>
        <v>379271.570773248</v>
      </c>
      <c r="H47" s="20" t="n">
        <f aca="false">IF(H$5&lt;=$B47,H18,MAX(0,G47*(1+H$15)-MAX(0,-(G23*(1+H$16)+H$13))))</f>
        <v>404632.812458788</v>
      </c>
      <c r="I47" s="20" t="n">
        <f aca="false">IF(I$5&lt;=$B47,I18,MAX(0,H47*(1+I$15)-MAX(0,-(H23*(1+I$16)+I$13))))</f>
        <v>437003.437455491</v>
      </c>
      <c r="J47" s="20" t="n">
        <f aca="false">IF(J$5&lt;=$B47,J18,MAX(0,I47*(1+J$15)-MAX(0,-(I23*(1+J$16)+J$13))))</f>
        <v>471963.71245193</v>
      </c>
      <c r="K47" s="20" t="n">
        <f aca="false">IF(K$5&lt;=$B47,K18,MAX(0,J47*(1+K$15)-MAX(0,-(J23*(1+K$16)+K$13))))</f>
        <v>509720.809448085</v>
      </c>
      <c r="L47" s="20" t="n">
        <f aca="false">IF(L$5&lt;=$B47,L18,MAX(0,K47*(1+L$15)-MAX(0,-(K23*(1+L$16)+L$13))))</f>
        <v>550498.474203931</v>
      </c>
      <c r="M47" s="20" t="n">
        <f aca="false">IF(M$5&lt;=$B47,M18,MAX(0,L47*(1+M$15)-MAX(0,-(L23*(1+M$16)+M$13))))</f>
        <v>594538.352140246</v>
      </c>
      <c r="N47" s="20" t="n">
        <f aca="false">IF(N$5&lt;=$B47,N18,MAX(0,M47*(1+N$15)-MAX(0,-(M23*(1+N$16)+N$13))))</f>
        <v>641209.612783255</v>
      </c>
      <c r="O47" s="20" t="n">
        <f aca="false">IF(O$5&lt;=$B47,O18,MAX(0,N47*(1+O$15)-MAX(0,-(N23*(1+O$16)+O$13))))</f>
        <v>689620.938548391</v>
      </c>
      <c r="P47" s="20" t="n">
        <f aca="false">IF(P$5&lt;=$B47,P18,MAX(0,O47*(1+P$15)-MAX(0,-(O23*(1+P$16)+P$13))))</f>
        <v>739618.456593149</v>
      </c>
      <c r="Q47" s="20" t="n">
        <f aca="false">IF(Q$5&lt;=$B47,Q18,MAX(0,P47*(1+Q$15)-MAX(0,-(P23*(1+Q$16)+Q$13))))</f>
        <v>791021.939326373</v>
      </c>
      <c r="R47" s="20" t="n">
        <f aca="false">IF(R$5&lt;=$B47,R18,MAX(0,Q47*(1+R$15)-MAX(0,-(Q23*(1+R$16)+R$13))))</f>
        <v>843624.898291577</v>
      </c>
      <c r="S47" s="20" t="n">
        <f aca="false">IF(S$5&lt;=$B47,S18,MAX(0,R47*(1+S$15)-MAX(0,-(R23*(1+S$16)+S$13))))</f>
        <v>897195.079333092</v>
      </c>
      <c r="T47" s="20" t="n">
        <f aca="false">IF(T$5&lt;=$B47,T18,MAX(0,S47*(1+T$15)-MAX(0,-(S23*(1+T$16)+T$13))))</f>
        <v>951475.381632744</v>
      </c>
      <c r="U47" s="20" t="n">
        <f aca="false">IF(U$5&lt;=$B47,U18,MAX(0,T47*(1+U$15)-MAX(0,-(T23*(1+U$16)+U$13))))</f>
        <v>1006185.21607663</v>
      </c>
      <c r="V47" s="20" t="n">
        <f aca="false">IF(V$5&lt;=$B47,V18,MAX(0,U47*(1+V$15)-MAX(0,-(U23*(1+V$16)+V$13))))</f>
        <v>1061022.3103528</v>
      </c>
      <c r="W47" s="20" t="n">
        <f aca="false">IF(W$5&lt;=$B47,W18,MAX(0,V47*(1+W$15)-MAX(0,-(V23*(1+W$16)+W$13))))</f>
        <v>1115664.95933597</v>
      </c>
      <c r="X47" s="20" t="n">
        <f aca="false">IF(X$5&lt;=$B47,X18,MAX(0,W47*(1+X$15)-MAX(0,-(W23*(1+X$16)+X$13))))</f>
        <v>1169774.70986377</v>
      </c>
      <c r="Y47" s="20" t="n">
        <f aca="false">IF(Y$5&lt;=$B47,Y18,MAX(0,X47*(1+Y$15)-MAX(0,-(X23*(1+Y$16)+Y$13))))</f>
        <v>1222999.45916257</v>
      </c>
      <c r="Z47" s="20" t="n">
        <f aca="false">IF(Z$5&lt;=$B47,Z18,MAX(0,Y47*(1+Z$15)-MAX(0,-(Y23*(1+Z$16)+Z$13))))</f>
        <v>1274976.93617698</v>
      </c>
      <c r="AA47" s="20" t="n">
        <f aca="false">IF(AA$5&lt;=$B47,AA18,MAX(0,Z47*(1+AA$15)-MAX(0,-(Z23*(1+AA$16)+AA$13))))</f>
        <v>1325338.52515597</v>
      </c>
      <c r="AB47" s="20" t="n">
        <f aca="false">IF(AB$5&lt;=$B47,AB18,MAX(0,AA47*(1+AB$15)-MAX(0,-(AA23*(1+AB$16)+AB$13))))</f>
        <v>1373713.38132416</v>
      </c>
      <c r="AC47" s="20" t="n">
        <f aca="false">IF(AC$5&lt;=$B47,AC18,MAX(0,AB47*(1+AC$15)-MAX(0,-(AB23*(1+AC$16)+AC$13))))</f>
        <v>1419732.77959852</v>
      </c>
      <c r="AD47" s="20" t="n">
        <f aca="false">IF(AD$5&lt;=$B47,AD18,MAX(0,AC47*(1+AD$15)-MAX(0,-(AC23*(1+AD$16)+AD$13))))</f>
        <v>1463034.62937628</v>
      </c>
      <c r="AE47" s="20" t="n">
        <f aca="false">IF(AE$5&lt;=$B47,AE18,MAX(0,AD47*(1+AE$15)-MAX(0,-(AD23*(1+AE$16)+AE$13))))</f>
        <v>1503268.08168412</v>
      </c>
      <c r="AF47" s="20" t="n">
        <f aca="false">IF(AF$5&lt;=$B47,AF18,MAX(0,AE47*(1+AF$15)-MAX(0,-(AE23*(1+AF$16)+AF$13))))</f>
        <v>1540098.14968539</v>
      </c>
    </row>
    <row r="48" customFormat="false" ht="15" hidden="false" customHeight="true" outlineLevel="0" collapsed="false">
      <c r="B48" s="67" t="n">
        <v>2028</v>
      </c>
      <c r="C48" s="20" t="n">
        <f aca="false">C18</f>
        <v>302223.8</v>
      </c>
      <c r="D48" s="20" t="n">
        <f aca="false">IF(D$5&lt;=$B48,D18,MAX(0,C48*(1+D$15)-MAX(0,-(C24*(1+D$16)+D$13))))</f>
        <v>351383.704</v>
      </c>
      <c r="E48" s="20" t="n">
        <f aca="false">IF(E$5&lt;=$B48,E18,MAX(0,D48*(1+E$15)-MAX(0,-(D24*(1+E$16)+E$13))))</f>
        <v>419494.40032</v>
      </c>
      <c r="F48" s="20" t="n">
        <f aca="false">IF(F$5&lt;=$B48,F18,MAX(0,E48*(1+F$15)-MAX(0,-(E24*(1+F$16)+F$13))))</f>
        <v>439233.3166656</v>
      </c>
      <c r="G48" s="20" t="n">
        <f aca="false">IF(G$5&lt;=$B48,G18,MAX(0,F48*(1+G$15)-MAX(0,-(F24*(1+G$16)+G$13))))</f>
        <v>469312.683982848</v>
      </c>
      <c r="H48" s="20" t="n">
        <f aca="false">IF(H$5&lt;=$B48,H18,MAX(0,G48*(1+H$15)-MAX(0,-(G24*(1+H$16)+H$13))))</f>
        <v>501877.214725156</v>
      </c>
      <c r="I48" s="20" t="n">
        <f aca="false">IF(I$5&lt;=$B48,I18,MAX(0,H48*(1+I$15)-MAX(0,-(H24*(1+I$16)+I$13))))</f>
        <v>542027.391903168</v>
      </c>
      <c r="J48" s="20" t="n">
        <f aca="false">IF(J$5&lt;=$B48,J18,MAX(0,I48*(1+J$15)-MAX(0,-(I24*(1+J$16)+J$13))))</f>
        <v>585389.583255422</v>
      </c>
      <c r="K48" s="20" t="n">
        <f aca="false">IF(K$5&lt;=$B48,K18,MAX(0,J48*(1+K$15)-MAX(0,-(J24*(1+K$16)+K$13))))</f>
        <v>632220.749915856</v>
      </c>
      <c r="L48" s="20" t="n">
        <f aca="false">IF(L$5&lt;=$B48,L18,MAX(0,K48*(1+L$15)-MAX(0,-(K24*(1+L$16)+L$13))))</f>
        <v>682798.409909124</v>
      </c>
      <c r="M48" s="20" t="n">
        <f aca="false">IF(M$5&lt;=$B48,M18,MAX(0,L48*(1+M$15)-MAX(0,-(L24*(1+M$16)+M$13))))</f>
        <v>737422.282701854</v>
      </c>
      <c r="N48" s="20" t="n">
        <f aca="false">IF(N$5&lt;=$B48,N18,MAX(0,M48*(1+N$15)-MAX(0,-(M24*(1+N$16)+N$13))))</f>
        <v>795309.93189395</v>
      </c>
      <c r="O48" s="20" t="n">
        <f aca="false">IF(O$5&lt;=$B48,O18,MAX(0,N48*(1+O$15)-MAX(0,-(N24*(1+O$16)+O$13))))</f>
        <v>855355.831751943</v>
      </c>
      <c r="P48" s="20" t="n">
        <f aca="false">IF(P$5&lt;=$B48,P18,MAX(0,O48*(1+P$15)-MAX(0,-(O24*(1+P$16)+P$13))))</f>
        <v>917369.129553959</v>
      </c>
      <c r="Q48" s="20" t="n">
        <f aca="false">IF(Q$5&lt;=$B48,Q18,MAX(0,P48*(1+Q$15)-MAX(0,-(P24*(1+Q$16)+Q$13))))</f>
        <v>981126.284057959</v>
      </c>
      <c r="R48" s="20" t="n">
        <f aca="false">IF(R$5&lt;=$B48,R18,MAX(0,Q48*(1+R$15)-MAX(0,-(Q24*(1+R$16)+R$13))))</f>
        <v>1046371.18194781</v>
      </c>
      <c r="S48" s="20" t="n">
        <f aca="false">IF(S$5&lt;=$B48,S18,MAX(0,R48*(1+S$15)-MAX(0,-(R24*(1+S$16)+S$13))))</f>
        <v>1112815.7520015</v>
      </c>
      <c r="T48" s="20" t="n">
        <f aca="false">IF(T$5&lt;=$B48,T18,MAX(0,S48*(1+T$15)-MAX(0,-(S24*(1+T$16)+T$13))))</f>
        <v>1180141.10499759</v>
      </c>
      <c r="U48" s="20" t="n">
        <f aca="false">IF(U$5&lt;=$B48,U18,MAX(0,T48*(1+U$15)-MAX(0,-(T24*(1+U$16)+U$13))))</f>
        <v>1247999.21853495</v>
      </c>
      <c r="V48" s="20" t="n">
        <f aca="false">IF(V$5&lt;=$B48,V18,MAX(0,U48*(1+V$15)-MAX(0,-(U24*(1+V$16)+V$13))))</f>
        <v>1316015.17594511</v>
      </c>
      <c r="W48" s="20" t="n">
        <f aca="false">IF(W$5&lt;=$B48,W18,MAX(0,V48*(1+W$15)-MAX(0,-(V24*(1+W$16)+W$13))))</f>
        <v>1383789.95750628</v>
      </c>
      <c r="X48" s="20" t="n">
        <f aca="false">IF(X$5&lt;=$B48,X18,MAX(0,W48*(1+X$15)-MAX(0,-(W24*(1+X$16)+X$13))))</f>
        <v>1450903.77044533</v>
      </c>
      <c r="Y48" s="20" t="n">
        <f aca="false">IF(Y$5&lt;=$B48,Y18,MAX(0,X48*(1+Y$15)-MAX(0,-(X24*(1+Y$16)+Y$13))))</f>
        <v>1516919.8920006</v>
      </c>
      <c r="Z48" s="20" t="n">
        <f aca="false">IF(Z$5&lt;=$B48,Z18,MAX(0,Y48*(1+Z$15)-MAX(0,-(Y24*(1+Z$16)+Z$13))))</f>
        <v>1581388.98741062</v>
      </c>
      <c r="AA48" s="20" t="n">
        <f aca="false">IF(AA$5&lt;=$B48,AA18,MAX(0,Z48*(1+AA$15)-MAX(0,-(Z24*(1+AA$16)+AA$13))))</f>
        <v>1643853.85241334</v>
      </c>
      <c r="AB48" s="20" t="n">
        <f aca="false">IF(AB$5&lt;=$B48,AB18,MAX(0,AA48*(1+AB$15)-MAX(0,-(AA24*(1+AB$16)+AB$13))))</f>
        <v>1703854.51802643</v>
      </c>
      <c r="AC48" s="20" t="n">
        <f aca="false">IF(AC$5&lt;=$B48,AC18,MAX(0,AB48*(1+AC$15)-MAX(0,-(AB24*(1+AC$16)+AC$13))))</f>
        <v>1760933.64438031</v>
      </c>
      <c r="AD48" s="20" t="n">
        <f aca="false">IF(AD$5&lt;=$B48,AD18,MAX(0,AC48*(1+AD$15)-MAX(0,-(AC24*(1+AD$16)+AD$13))))</f>
        <v>1814642.12053391</v>
      </c>
      <c r="AE48" s="20" t="n">
        <f aca="false">IF(AE$5&lt;=$B48,AE18,MAX(0,AD48*(1+AE$15)-MAX(0,-(AD24*(1+AE$16)+AE$13))))</f>
        <v>1864544.7788486</v>
      </c>
      <c r="AF48" s="20" t="n">
        <f aca="false">IF(AF$5&lt;=$B48,AF18,MAX(0,AE48*(1+AF$15)-MAX(0,-(AE24*(1+AF$16)+AF$13))))</f>
        <v>1910226.12593039</v>
      </c>
    </row>
    <row r="49" customFormat="false" ht="15" hidden="false" customHeight="true" outlineLevel="0" collapsed="false">
      <c r="B49" s="67" t="n">
        <v>2029</v>
      </c>
      <c r="C49" s="20" t="n">
        <f aca="false">C18</f>
        <v>302223.8</v>
      </c>
      <c r="D49" s="20" t="n">
        <f aca="false">IF(D$5&lt;=$B49,D18,MAX(0,C49*(1+D$15)-MAX(0,-(C25*(1+D$16)+D$13))))</f>
        <v>351383.704</v>
      </c>
      <c r="E49" s="20" t="n">
        <f aca="false">IF(E$5&lt;=$B49,E18,MAX(0,D49*(1+E$15)-MAX(0,-(D25*(1+E$16)+E$13))))</f>
        <v>419494.40032</v>
      </c>
      <c r="F49" s="20" t="n">
        <f aca="false">IF(F$5&lt;=$B49,F18,MAX(0,E49*(1+F$15)-MAX(0,-(E25*(1+F$16)+F$13))))</f>
        <v>493053.9523456</v>
      </c>
      <c r="G49" s="20" t="n">
        <f aca="false">IF(G$5&lt;=$B49,G18,MAX(0,F49*(1+G$15)-MAX(0,-(F25*(1+G$16)+G$13))))</f>
        <v>532498.268533248</v>
      </c>
      <c r="H49" s="20" t="n">
        <f aca="false">IF(H$5&lt;=$B49,H18,MAX(0,G49*(1+H$15)-MAX(0,-(G25*(1+H$16)+H$13))))</f>
        <v>575098.130015908</v>
      </c>
      <c r="I49" s="20" t="n">
        <f aca="false">IF(I$5&lt;=$B49,I18,MAX(0,H49*(1+I$15)-MAX(0,-(H25*(1+I$16)+I$13))))</f>
        <v>621105.98041718</v>
      </c>
      <c r="J49" s="20" t="n">
        <f aca="false">IF(J$5&lt;=$B49,J18,MAX(0,I49*(1+J$15)-MAX(0,-(I25*(1+J$16)+J$13))))</f>
        <v>670794.458850555</v>
      </c>
      <c r="K49" s="20" t="n">
        <f aca="false">IF(K$5&lt;=$B49,K18,MAX(0,J49*(1+K$15)-MAX(0,-(J25*(1+K$16)+K$13))))</f>
        <v>724458.015558599</v>
      </c>
      <c r="L49" s="20" t="n">
        <f aca="false">IF(L$5&lt;=$B49,L18,MAX(0,K49*(1+L$15)-MAX(0,-(K25*(1+L$16)+L$13))))</f>
        <v>782414.656803287</v>
      </c>
      <c r="M49" s="20" t="n">
        <f aca="false">IF(M$5&lt;=$B49,M18,MAX(0,L49*(1+M$15)-MAX(0,-(L25*(1+M$16)+M$13))))</f>
        <v>845007.82934755</v>
      </c>
      <c r="N49" s="20" t="n">
        <f aca="false">IF(N$5&lt;=$B49,N18,MAX(0,M49*(1+N$15)-MAX(0,-(M25*(1+N$16)+N$13))))</f>
        <v>911340.943951333</v>
      </c>
      <c r="O49" s="20" t="n">
        <f aca="false">IF(O$5&lt;=$B49,O18,MAX(0,N49*(1+O$15)-MAX(0,-(N25*(1+O$16)+O$13))))</f>
        <v>980147.185219658</v>
      </c>
      <c r="P49" s="20" t="n">
        <f aca="false">IF(P$5&lt;=$B49,P18,MAX(0,O49*(1+P$15)-MAX(0,-(O25*(1+P$16)+P$13))))</f>
        <v>1051207.85614808</v>
      </c>
      <c r="Q49" s="20" t="n">
        <f aca="false">IF(Q$5&lt;=$B49,Q18,MAX(0,P49*(1+Q$15)-MAX(0,-(P25*(1+Q$16)+Q$13))))</f>
        <v>1124266.80215038</v>
      </c>
      <c r="R49" s="20" t="n">
        <f aca="false">IF(R$5&lt;=$B49,R18,MAX(0,Q49*(1+R$15)-MAX(0,-(Q25*(1+R$16)+R$13))))</f>
        <v>1199030.54449338</v>
      </c>
      <c r="S49" s="20" t="n">
        <f aca="false">IF(S$5&lt;=$B49,S18,MAX(0,R49*(1+S$15)-MAX(0,-(R25*(1+S$16)+S$13))))</f>
        <v>1275168.9840687</v>
      </c>
      <c r="T49" s="20" t="n">
        <f aca="false">IF(T$5&lt;=$B49,T18,MAX(0,S49*(1+T$15)-MAX(0,-(S25*(1+T$16)+T$13))))</f>
        <v>1352316.70760486</v>
      </c>
      <c r="U49" s="20" t="n">
        <f aca="false">IF(U$5&lt;=$B49,U18,MAX(0,T49*(1+U$15)-MAX(0,-(T25*(1+U$16)+U$13))))</f>
        <v>1430074.91829214</v>
      </c>
      <c r="V49" s="20" t="n">
        <f aca="false">IF(V$5&lt;=$B49,V18,MAX(0,U49*(1+V$15)-MAX(0,-(U25*(1+V$16)+V$13))))</f>
        <v>1508014.00133906</v>
      </c>
      <c r="W49" s="20" t="n">
        <f aca="false">IF(W$5&lt;=$B49,W18,MAX(0,V49*(1+W$15)-MAX(0,-(V25*(1+W$16)+W$13))))</f>
        <v>1585676.72240802</v>
      </c>
      <c r="X49" s="20" t="n">
        <f aca="false">IF(X$5&lt;=$B49,X18,MAX(0,W49*(1+X$15)-MAX(0,-(W25*(1+X$16)+X$13))))</f>
        <v>1662582.04344481</v>
      </c>
      <c r="Y49" s="20" t="n">
        <f aca="false">IF(Y$5&lt;=$B49,Y18,MAX(0,X49*(1+Y$15)-MAX(0,-(X25*(1+Y$16)+Y$13))))</f>
        <v>1738229.52642155</v>
      </c>
      <c r="Z49" s="20" t="n">
        <f aca="false">IF(Z$5&lt;=$B49,Z18,MAX(0,Y49*(1+Z$15)-MAX(0,-(Y25*(1+Z$16)+Z$13))))</f>
        <v>1812104.28129447</v>
      </c>
      <c r="AA49" s="20" t="n">
        <f aca="false">IF(AA$5&lt;=$B49,AA18,MAX(0,Z49*(1+AA$15)-MAX(0,-(Z25*(1+AA$16)+AA$13))))</f>
        <v>1883682.4004056</v>
      </c>
      <c r="AB49" s="20" t="n">
        <f aca="false">IF(AB$5&lt;=$B49,AB18,MAX(0,AA49*(1+AB$15)-MAX(0,-(AA25*(1+AB$16)+AB$13))))</f>
        <v>1952436.8080204</v>
      </c>
      <c r="AC49" s="20" t="n">
        <f aca="false">IF(AC$5&lt;=$B49,AC18,MAX(0,AB49*(1+AC$15)-MAX(0,-(AB25*(1+AC$16)+AC$13))))</f>
        <v>2017843.44108909</v>
      </c>
      <c r="AD49" s="20" t="n">
        <f aca="false">IF(AD$5&lt;=$B49,AD18,MAX(0,AC49*(1+AD$15)-MAX(0,-(AC25*(1+AD$16)+AD$13))))</f>
        <v>2079387.66604231</v>
      </c>
      <c r="AE49" s="20" t="n">
        <f aca="false">IF(AE$5&lt;=$B49,AE18,MAX(0,AD49*(1+AE$15)-MAX(0,-(AD25*(1+AE$16)+AE$13))))</f>
        <v>2136570.82685847</v>
      </c>
      <c r="AF49" s="20" t="n">
        <f aca="false">IF(AF$5&lt;=$B49,AF18,MAX(0,AE49*(1+AF$15)-MAX(0,-(AE25*(1+AF$16)+AF$13))))</f>
        <v>2188916.8121165</v>
      </c>
    </row>
    <row r="50" customFormat="false" ht="15" hidden="false" customHeight="true" outlineLevel="0" collapsed="false">
      <c r="B50" s="67" t="n">
        <v>2030</v>
      </c>
      <c r="C50" s="20" t="n">
        <f aca="false">C18</f>
        <v>302223.8</v>
      </c>
      <c r="D50" s="20" t="n">
        <f aca="false">IF(D$5&lt;=$B50,D18,MAX(0,C50*(1+D$15)-MAX(0,-(C26*(1+D$16)+D$13))))</f>
        <v>351383.704</v>
      </c>
      <c r="E50" s="20" t="n">
        <f aca="false">IF(E$5&lt;=$B50,E18,MAX(0,D50*(1+E$15)-MAX(0,-(D26*(1+E$16)+E$13))))</f>
        <v>419494.40032</v>
      </c>
      <c r="F50" s="20" t="n">
        <f aca="false">IF(F$5&lt;=$B50,F18,MAX(0,E50*(1+F$15)-MAX(0,-(E26*(1+F$16)+F$13))))</f>
        <v>493053.9523456</v>
      </c>
      <c r="G50" s="20" t="n">
        <f aca="false">IF(G$5&lt;=$B50,G18,MAX(0,F50*(1+G$15)-MAX(0,-(F26*(1+G$16)+G$13))))</f>
        <v>572498.268533248</v>
      </c>
      <c r="H50" s="20" t="n">
        <f aca="false">IF(H$5&lt;=$B50,H18,MAX(0,G50*(1+H$15)-MAX(0,-(G26*(1+H$16)+H$13))))</f>
        <v>618298.130015908</v>
      </c>
      <c r="I50" s="20" t="n">
        <f aca="false">IF(I$5&lt;=$B50,I18,MAX(0,H50*(1+I$15)-MAX(0,-(H26*(1+I$16)+I$13))))</f>
        <v>667761.98041718</v>
      </c>
      <c r="J50" s="20" t="n">
        <f aca="false">IF(J$5&lt;=$B50,J18,MAX(0,I50*(1+J$15)-MAX(0,-(I26*(1+J$16)+J$13))))</f>
        <v>721182.938850555</v>
      </c>
      <c r="K50" s="20" t="n">
        <f aca="false">IF(K$5&lt;=$B50,K18,MAX(0,J50*(1+K$15)-MAX(0,-(J26*(1+K$16)+K$13))))</f>
        <v>778877.573958599</v>
      </c>
      <c r="L50" s="20" t="n">
        <f aca="false">IF(L$5&lt;=$B50,L18,MAX(0,K50*(1+L$15)-MAX(0,-(K26*(1+L$16)+L$13))))</f>
        <v>841187.779875287</v>
      </c>
      <c r="M50" s="20" t="n">
        <f aca="false">IF(M$5&lt;=$B50,M18,MAX(0,L50*(1+M$15)-MAX(0,-(L26*(1+M$16)+M$13))))</f>
        <v>908482.80226531</v>
      </c>
      <c r="N50" s="20" t="n">
        <f aca="false">IF(N$5&lt;=$B50,N18,MAX(0,M50*(1+N$15)-MAX(0,-(M26*(1+N$16)+N$13))))</f>
        <v>979798.702243137</v>
      </c>
      <c r="O50" s="20" t="n">
        <f aca="false">IF(O$5&lt;=$B50,O18,MAX(0,N50*(1+O$15)-MAX(0,-(N26*(1+O$16)+O$13))))</f>
        <v>1053773.50426249</v>
      </c>
      <c r="P50" s="20" t="n">
        <f aca="false">IF(P$5&lt;=$B50,P18,MAX(0,O50*(1+P$15)-MAX(0,-(O26*(1+P$16)+P$13))))</f>
        <v>1130172.08332152</v>
      </c>
      <c r="Q50" s="20" t="n">
        <f aca="false">IF(Q$5&lt;=$B50,Q18,MAX(0,P50*(1+Q$15)-MAX(0,-(P26*(1+Q$16)+Q$13))))</f>
        <v>1208719.04311237</v>
      </c>
      <c r="R50" s="20" t="n">
        <f aca="false">IF(R$5&lt;=$B50,R18,MAX(0,Q50*(1+R$15)-MAX(0,-(Q26*(1+R$16)+R$13))))</f>
        <v>1289098.85947934</v>
      </c>
      <c r="S50" s="20" t="n">
        <f aca="false">IF(S$5&lt;=$B50,S18,MAX(0,R50*(1+S$15)-MAX(0,-(R26*(1+S$16)+S$13))))</f>
        <v>1370956.63705628</v>
      </c>
      <c r="T50" s="20" t="n">
        <f aca="false">IF(T$5&lt;=$B50,T18,MAX(0,S50*(1+T$15)-MAX(0,-(S26*(1+T$16)+T$13))))</f>
        <v>1453899.51359819</v>
      </c>
      <c r="U50" s="20" t="n">
        <f aca="false">IF(U$5&lt;=$B50,U18,MAX(0,T50*(1+U$15)-MAX(0,-(T26*(1+U$16)+U$13))))</f>
        <v>1537498.73563008</v>
      </c>
      <c r="V50" s="20" t="n">
        <f aca="false">IF(V$5&lt;=$B50,V18,MAX(0,U50*(1+V$15)-MAX(0,-(U26*(1+V$16)+V$13))))</f>
        <v>1621292.41672192</v>
      </c>
      <c r="W50" s="20" t="n">
        <f aca="false">IF(W$5&lt;=$B50,W18,MAX(0,V50*(1+W$15)-MAX(0,-(V26*(1+W$16)+W$13))))</f>
        <v>1704788.9761831</v>
      </c>
      <c r="X50" s="20" t="n">
        <f aca="false">IF(X$5&lt;=$B50,X18,MAX(0,W50*(1+X$15)-MAX(0,-(W26*(1+X$16)+X$13))))</f>
        <v>1787471.24152798</v>
      </c>
      <c r="Y50" s="20" t="n">
        <f aca="false">IF(Y$5&lt;=$B50,Y18,MAX(0,X50*(1+Y$15)-MAX(0,-(X26*(1+Y$16)+Y$13))))</f>
        <v>1868801.18301751</v>
      </c>
      <c r="Z50" s="20" t="n">
        <f aca="false">IF(Z$5&lt;=$B50,Z18,MAX(0,Y50*(1+Z$15)-MAX(0,-(Y26*(1+Z$16)+Z$13))))</f>
        <v>1948225.23329575</v>
      </c>
      <c r="AA50" s="20" t="n">
        <f aca="false">IF(AA$5&lt;=$B50,AA18,MAX(0,Z50*(1+AA$15)-MAX(0,-(Z26*(1+AA$16)+AA$13))))</f>
        <v>2025180.13001093</v>
      </c>
      <c r="AB50" s="20" t="n">
        <f aca="false">IF(AB$5&lt;=$B50,AB18,MAX(0,AA50*(1+AB$15)-MAX(0,-(AA26*(1+AB$16)+AB$13))))</f>
        <v>2099099.20475633</v>
      </c>
      <c r="AC50" s="20" t="n">
        <f aca="false">IF(AC$5&lt;=$B50,AC18,MAX(0,AB50*(1+AC$15)-MAX(0,-(AB26*(1+AC$16)+AC$13))))</f>
        <v>2169419.02811567</v>
      </c>
      <c r="AD50" s="20" t="n">
        <f aca="false">IF(AD$5&lt;=$B50,AD18,MAX(0,AC50*(1+AD$15)-MAX(0,-(AC26*(1+AD$16)+AD$13))))</f>
        <v>2235586.3084732</v>
      </c>
      <c r="AE50" s="20" t="n">
        <f aca="false">IF(AE$5&lt;=$B50,AE18,MAX(0,AD50*(1+AE$15)-MAX(0,-(AD26*(1+AE$16)+AE$13))))</f>
        <v>2297064.93195621</v>
      </c>
      <c r="AF50" s="20" t="n">
        <f aca="false">IF(AF$5&lt;=$B50,AF18,MAX(0,AE50*(1+AF$15)-MAX(0,-(AE26*(1+AF$16)+AF$13))))</f>
        <v>2353343.02278914</v>
      </c>
    </row>
    <row r="51" customFormat="false" ht="15" hidden="false" customHeight="true" outlineLevel="0" collapsed="false">
      <c r="B51" s="67" t="n">
        <v>2031</v>
      </c>
      <c r="C51" s="20" t="n">
        <f aca="false">C18</f>
        <v>302223.8</v>
      </c>
      <c r="D51" s="20" t="n">
        <f aca="false">IF(D$5&lt;=$B51,D18,MAX(0,C51*(1+D$15)-MAX(0,-(C27*(1+D$16)+D$13))))</f>
        <v>351383.704</v>
      </c>
      <c r="E51" s="20" t="n">
        <f aca="false">IF(E$5&lt;=$B51,E18,MAX(0,D51*(1+E$15)-MAX(0,-(D27*(1+E$16)+E$13))))</f>
        <v>419494.40032</v>
      </c>
      <c r="F51" s="20" t="n">
        <f aca="false">IF(F$5&lt;=$B51,F18,MAX(0,E51*(1+F$15)-MAX(0,-(E27*(1+F$16)+F$13))))</f>
        <v>493053.9523456</v>
      </c>
      <c r="G51" s="20" t="n">
        <f aca="false">IF(G$5&lt;=$B51,G18,MAX(0,F51*(1+G$15)-MAX(0,-(F27*(1+G$16)+G$13))))</f>
        <v>572498.268533248</v>
      </c>
      <c r="H51" s="20" t="n">
        <f aca="false">IF(H$5&lt;=$B51,H18,MAX(0,G51*(1+H$15)-MAX(0,-(G27*(1+H$16)+H$13))))</f>
        <v>659098.130015908</v>
      </c>
      <c r="I51" s="20" t="n">
        <f aca="false">IF(I$5&lt;=$B51,I18,MAX(0,H51*(1+I$15)-MAX(0,-(H27*(1+I$16)+I$13))))</f>
        <v>711825.98041718</v>
      </c>
      <c r="J51" s="20" t="n">
        <f aca="false">IF(J$5&lt;=$B51,J18,MAX(0,I51*(1+J$15)-MAX(0,-(I27*(1+J$16)+J$13))))</f>
        <v>768772.058850555</v>
      </c>
      <c r="K51" s="20" t="n">
        <f aca="false">IF(K$5&lt;=$B51,K18,MAX(0,J51*(1+K$15)-MAX(0,-(J27*(1+K$16)+K$13))))</f>
        <v>830273.823558599</v>
      </c>
      <c r="L51" s="20" t="n">
        <f aca="false">IF(L$5&lt;=$B51,L18,MAX(0,K51*(1+L$15)-MAX(0,-(K27*(1+L$16)+L$13))))</f>
        <v>896695.729443287</v>
      </c>
      <c r="M51" s="20" t="n">
        <f aca="false">IF(M$5&lt;=$B51,M18,MAX(0,L51*(1+M$15)-MAX(0,-(L27*(1+M$16)+M$13))))</f>
        <v>968431.38779875</v>
      </c>
      <c r="N51" s="20" t="n">
        <f aca="false">IF(N$5&lt;=$B51,N18,MAX(0,M51*(1+N$15)-MAX(0,-(M27*(1+N$16)+N$13))))</f>
        <v>1044453.25174095</v>
      </c>
      <c r="O51" s="20" t="n">
        <f aca="false">IF(O$5&lt;=$B51,O18,MAX(0,N51*(1+O$15)-MAX(0,-(N27*(1+O$16)+O$13))))</f>
        <v>1123309.47224739</v>
      </c>
      <c r="P51" s="20" t="n">
        <f aca="false">IF(P$5&lt;=$B51,P18,MAX(0,O51*(1+P$15)-MAX(0,-(O27*(1+P$16)+P$13))))</f>
        <v>1204749.40898533</v>
      </c>
      <c r="Q51" s="20" t="n">
        <f aca="false">IF(Q$5&lt;=$B51,Q18,MAX(0,P51*(1+Q$15)-MAX(0,-(P27*(1+Q$16)+Q$13))))</f>
        <v>1288479.49290981</v>
      </c>
      <c r="R51" s="20" t="n">
        <f aca="false">IF(R$5&lt;=$B51,R18,MAX(0,Q51*(1+R$15)-MAX(0,-(Q27*(1+R$16)+R$13))))</f>
        <v>1374163.37918831</v>
      </c>
      <c r="S51" s="20" t="n">
        <f aca="false">IF(S$5&lt;=$B51,S18,MAX(0,R51*(1+S$15)-MAX(0,-(R27*(1+S$16)+S$13))))</f>
        <v>1461422.75376677</v>
      </c>
      <c r="T51" s="20" t="n">
        <f aca="false">IF(T$5&lt;=$B51,T18,MAX(0,S51*(1+T$15)-MAX(0,-(S27*(1+T$16)+T$13))))</f>
        <v>1549838.83036966</v>
      </c>
      <c r="U51" s="20" t="n">
        <f aca="false">IF(U$5&lt;=$B51,U18,MAX(0,T51*(1+U$15)-MAX(0,-(T27*(1+U$16)+U$13))))</f>
        <v>1638954.56311592</v>
      </c>
      <c r="V51" s="20" t="n">
        <f aca="false">IF(V$5&lt;=$B51,V18,MAX(0,U51*(1+V$15)-MAX(0,-(U27*(1+V$16)+V$13))))</f>
        <v>1728277.58680573</v>
      </c>
      <c r="W51" s="20" t="n">
        <f aca="false">IF(W$5&lt;=$B51,W18,MAX(0,V51*(1+W$15)-MAX(0,-(V27*(1+W$16)+W$13))))</f>
        <v>1817283.88252623</v>
      </c>
      <c r="X51" s="20" t="n">
        <f aca="false">IF(X$5&lt;=$B51,X18,MAX(0,W51*(1+X$15)-MAX(0,-(W27*(1+X$16)+X$13))))</f>
        <v>1905422.15082875</v>
      </c>
      <c r="Y51" s="20" t="n">
        <f aca="false">IF(Y$5&lt;=$B51,Y18,MAX(0,X51*(1+Y$15)-MAX(0,-(X27*(1+Y$16)+Y$13))))</f>
        <v>1992118.85869146</v>
      </c>
      <c r="Z51" s="20" t="n">
        <f aca="false">IF(Z$5&lt;=$B51,Z18,MAX(0,Y51*(1+Z$15)-MAX(0,-(Y27*(1+Z$16)+Z$13))))</f>
        <v>2076783.91018585</v>
      </c>
      <c r="AA51" s="20" t="n">
        <f aca="false">IF(AA$5&lt;=$B51,AA18,MAX(0,Z51*(1+AA$15)-MAX(0,-(Z27*(1+AA$16)+AA$13))))</f>
        <v>2158816.87463819</v>
      </c>
      <c r="AB51" s="20" t="n">
        <f aca="false">IF(AB$5&lt;=$B51,AB18,MAX(0,AA51*(1+AB$15)-MAX(0,-(AA27*(1+AB$16)+AB$13))))</f>
        <v>2237613.69056248</v>
      </c>
      <c r="AC51" s="20" t="n">
        <f aca="false">IF(AC$5&lt;=$B51,AC18,MAX(0,AB51*(1+AC$15)-MAX(0,-(AB27*(1+AC$16)+AC$13))))</f>
        <v>2312573.74919633</v>
      </c>
      <c r="AD51" s="20" t="n">
        <f aca="false">IF(AD$5&lt;=$B51,AD18,MAX(0,AC51*(1+AD$15)-MAX(0,-(AC27*(1+AD$16)+AD$13))))</f>
        <v>2383107.24854681</v>
      </c>
      <c r="AE51" s="20" t="n">
        <f aca="false">IF(AE$5&lt;=$B51,AE18,MAX(0,AD51*(1+AE$15)-MAX(0,-(AD27*(1+AE$16)+AE$13))))</f>
        <v>2448642.69788185</v>
      </c>
      <c r="AF51" s="20" t="n">
        <f aca="false">IF(AF$5&lt;=$B51,AF18,MAX(0,AE51*(1+AF$15)-MAX(0,-(AE27*(1+AF$16)+AF$13))))</f>
        <v>2508634.44397996</v>
      </c>
    </row>
    <row r="52" customFormat="false" ht="15" hidden="false" customHeight="true" outlineLevel="0" collapsed="false">
      <c r="B52" s="67" t="n">
        <v>2032</v>
      </c>
      <c r="C52" s="20" t="n">
        <f aca="false">C18</f>
        <v>302223.8</v>
      </c>
      <c r="D52" s="20" t="n">
        <f aca="false">IF(D$5&lt;=$B52,D18,MAX(0,C52*(1+D$15)-MAX(0,-(C28*(1+D$16)+D$13))))</f>
        <v>351383.704</v>
      </c>
      <c r="E52" s="20" t="n">
        <f aca="false">IF(E$5&lt;=$B52,E18,MAX(0,D52*(1+E$15)-MAX(0,-(D28*(1+E$16)+E$13))))</f>
        <v>419494.40032</v>
      </c>
      <c r="F52" s="20" t="n">
        <f aca="false">IF(F$5&lt;=$B52,F18,MAX(0,E52*(1+F$15)-MAX(0,-(E28*(1+F$16)+F$13))))</f>
        <v>493053.9523456</v>
      </c>
      <c r="G52" s="20" t="n">
        <f aca="false">IF(G$5&lt;=$B52,G18,MAX(0,F52*(1+G$15)-MAX(0,-(F28*(1+G$16)+G$13))))</f>
        <v>572498.268533248</v>
      </c>
      <c r="H52" s="20" t="n">
        <f aca="false">IF(H$5&lt;=$B52,H18,MAX(0,G52*(1+H$15)-MAX(0,-(G28*(1+H$16)+H$13))))</f>
        <v>659098.130015908</v>
      </c>
      <c r="I52" s="20" t="n">
        <f aca="false">IF(I$5&lt;=$B52,I18,MAX(0,H52*(1+I$15)-MAX(0,-(H28*(1+I$16)+I$13))))</f>
        <v>753441.98041718</v>
      </c>
      <c r="J52" s="20" t="n">
        <f aca="false">IF(J$5&lt;=$B52,J18,MAX(0,I52*(1+J$15)-MAX(0,-(I28*(1+J$16)+J$13))))</f>
        <v>813717.338850555</v>
      </c>
      <c r="K52" s="20" t="n">
        <f aca="false">IF(K$5&lt;=$B52,K18,MAX(0,J52*(1+K$15)-MAX(0,-(J28*(1+K$16)+K$13))))</f>
        <v>878814.725958599</v>
      </c>
      <c r="L52" s="20" t="n">
        <f aca="false">IF(L$5&lt;=$B52,L18,MAX(0,K52*(1+L$15)-MAX(0,-(K28*(1+L$16)+L$13))))</f>
        <v>949119.904035287</v>
      </c>
      <c r="M52" s="20" t="n">
        <f aca="false">IF(M$5&lt;=$B52,M18,MAX(0,L52*(1+M$15)-MAX(0,-(L28*(1+M$16)+M$13))))</f>
        <v>1025049.49635811</v>
      </c>
      <c r="N52" s="20" t="n">
        <f aca="false">IF(N$5&lt;=$B52,N18,MAX(0,M52*(1+N$15)-MAX(0,-(M28*(1+N$16)+N$13))))</f>
        <v>1105515.88182222</v>
      </c>
      <c r="O52" s="20" t="n">
        <f aca="false">IF(O$5&lt;=$B52,O18,MAX(0,N52*(1+O$15)-MAX(0,-(N28*(1+O$16)+O$13))))</f>
        <v>1188982.3308998</v>
      </c>
      <c r="P52" s="20" t="n">
        <f aca="false">IF(P$5&lt;=$B52,P18,MAX(0,O52*(1+P$15)-MAX(0,-(O28*(1+P$16)+P$13))))</f>
        <v>1275183.54989003</v>
      </c>
      <c r="Q52" s="20" t="n">
        <f aca="false">IF(Q$5&lt;=$B52,Q18,MAX(0,P52*(1+Q$15)-MAX(0,-(P28*(1+Q$16)+Q$13))))</f>
        <v>1363808.80660739</v>
      </c>
      <c r="R52" s="20" t="n">
        <f aca="false">IF(R$5&lt;=$B52,R18,MAX(0,Q52*(1+R$15)-MAX(0,-(Q28*(1+R$16)+R$13))))</f>
        <v>1454502.09224678</v>
      </c>
      <c r="S52" s="20" t="n">
        <f aca="false">IF(S$5&lt;=$B52,S18,MAX(0,R52*(1+S$15)-MAX(0,-(R28*(1+S$16)+S$13))))</f>
        <v>1546862.97510445</v>
      </c>
      <c r="T52" s="20" t="n">
        <f aca="false">IF(T$5&lt;=$B52,T18,MAX(0,S52*(1+T$15)-MAX(0,-(S28*(1+T$16)+T$13))))</f>
        <v>1640448.18509827</v>
      </c>
      <c r="U52" s="20" t="n">
        <f aca="false">IF(U$5&lt;=$B52,U18,MAX(0,T52*(1+U$15)-MAX(0,-(T28*(1+U$16)+U$13))))</f>
        <v>1734773.95574142</v>
      </c>
      <c r="V52" s="20" t="n">
        <f aca="false">IF(V$5&lt;=$B52,V18,MAX(0,U52*(1+V$15)-MAX(0,-(U28*(1+V$16)+V$13))))</f>
        <v>1829319.13632933</v>
      </c>
      <c r="W52" s="20" t="n">
        <f aca="false">IF(W$5&lt;=$B52,W18,MAX(0,V52*(1+W$15)-MAX(0,-(V28*(1+W$16)+W$13))))</f>
        <v>1923529.07185029</v>
      </c>
      <c r="X52" s="20" t="n">
        <f aca="false">IF(X$5&lt;=$B52,X18,MAX(0,W52*(1+X$15)-MAX(0,-(W28*(1+X$16)+X$13))))</f>
        <v>2016820.23183503</v>
      </c>
      <c r="Y52" s="20" t="n">
        <f aca="false">IF(Y$5&lt;=$B52,Y18,MAX(0,X52*(1+Y$15)-MAX(0,-(X28*(1+Y$16)+Y$13))))</f>
        <v>2108585.55238353</v>
      </c>
      <c r="Z52" s="20" t="n">
        <f aca="false">IF(Z$5&lt;=$B52,Z18,MAX(0,Y52*(1+Z$15)-MAX(0,-(Y28*(1+Z$16)+Z$13))))</f>
        <v>2198200.43835983</v>
      </c>
      <c r="AA52" s="20" t="n">
        <f aca="false">IF(AA$5&lt;=$B52,AA18,MAX(0,Z52*(1+AA$15)-MAX(0,-(Z28*(1+AA$16)+AA$13))))</f>
        <v>2285029.35567504</v>
      </c>
      <c r="AB52" s="20" t="n">
        <f aca="false">IF(AB$5&lt;=$B52,AB18,MAX(0,AA52*(1+AB$15)-MAX(0,-(AA28*(1+AB$16)+AB$13))))</f>
        <v>2368432.92715718</v>
      </c>
      <c r="AC52" s="20" t="n">
        <f aca="false">IF(AC$5&lt;=$B52,AC18,MAX(0,AB52*(1+AC$15)-MAX(0,-(AB28*(1+AC$16)+AC$13))))</f>
        <v>2447775.43021694</v>
      </c>
      <c r="AD52" s="20" t="n">
        <f aca="false">IF(AD$5&lt;=$B52,AD18,MAX(0,AC52*(1+AD$15)-MAX(0,-(AC28*(1+AD$16)+AD$13))))</f>
        <v>2522432.58083856</v>
      </c>
      <c r="AE52" s="20" t="n">
        <f aca="false">IF(AE$5&lt;=$B52,AE18,MAX(0,AD52*(1+AE$15)-MAX(0,-(AD28*(1+AE$16)+AE$13))))</f>
        <v>2591799.47681162</v>
      </c>
      <c r="AF52" s="20" t="n">
        <f aca="false">IF(AF$5&lt;=$B52,AF18,MAX(0,AE52*(1+AF$15)-MAX(0,-(AE28*(1+AF$16)+AF$13))))</f>
        <v>2655298.56399351</v>
      </c>
    </row>
    <row r="53" customFormat="false" ht="15" hidden="false" customHeight="true" outlineLevel="0" collapsed="false">
      <c r="B53" s="67" t="n">
        <v>2033</v>
      </c>
      <c r="C53" s="20" t="n">
        <f aca="false">C18</f>
        <v>302223.8</v>
      </c>
      <c r="D53" s="20" t="n">
        <f aca="false">IF(D$5&lt;=$B53,D18,MAX(0,C53*(1+D$15)-MAX(0,-(C29*(1+D$16)+D$13))))</f>
        <v>351383.704</v>
      </c>
      <c r="E53" s="20" t="n">
        <f aca="false">IF(E$5&lt;=$B53,E18,MAX(0,D53*(1+E$15)-MAX(0,-(D29*(1+E$16)+E$13))))</f>
        <v>419494.40032</v>
      </c>
      <c r="F53" s="20" t="n">
        <f aca="false">IF(F$5&lt;=$B53,F18,MAX(0,E53*(1+F$15)-MAX(0,-(E29*(1+F$16)+F$13))))</f>
        <v>493053.9523456</v>
      </c>
      <c r="G53" s="20" t="n">
        <f aca="false">IF(G$5&lt;=$B53,G18,MAX(0,F53*(1+G$15)-MAX(0,-(F29*(1+G$16)+G$13))))</f>
        <v>572498.268533248</v>
      </c>
      <c r="H53" s="20" t="n">
        <f aca="false">IF(H$5&lt;=$B53,H18,MAX(0,G53*(1+H$15)-MAX(0,-(G29*(1+H$16)+H$13))))</f>
        <v>659098.130015908</v>
      </c>
      <c r="I53" s="20" t="n">
        <f aca="false">IF(I$5&lt;=$B53,I18,MAX(0,H53*(1+I$15)-MAX(0,-(H29*(1+I$16)+I$13))))</f>
        <v>753441.98041718</v>
      </c>
      <c r="J53" s="20" t="n">
        <f aca="false">IF(J$5&lt;=$B53,J18,MAX(0,I53*(1+J$15)-MAX(0,-(I29*(1+J$16)+J$13))))</f>
        <v>856165.658850555</v>
      </c>
      <c r="K53" s="20" t="n">
        <f aca="false">IF(K$5&lt;=$B53,K18,MAX(0,J53*(1+K$15)-MAX(0,-(J29*(1+K$16)+K$13))))</f>
        <v>924658.911558599</v>
      </c>
      <c r="L53" s="20" t="n">
        <f aca="false">IF(L$5&lt;=$B53,L18,MAX(0,K53*(1+L$15)-MAX(0,-(K29*(1+L$16)+L$13))))</f>
        <v>998631.624483287</v>
      </c>
      <c r="M53" s="20" t="n">
        <f aca="false">IF(M$5&lt;=$B53,M18,MAX(0,L53*(1+M$15)-MAX(0,-(L29*(1+M$16)+M$13))))</f>
        <v>1078522.15444195</v>
      </c>
      <c r="N53" s="20" t="n">
        <f aca="false">IF(N$5&lt;=$B53,N18,MAX(0,M53*(1+N$15)-MAX(0,-(M29*(1+N$16)+N$13))))</f>
        <v>1163186.14356564</v>
      </c>
      <c r="O53" s="20" t="n">
        <f aca="false">IF(O$5&lt;=$B53,O18,MAX(0,N53*(1+O$15)-MAX(0,-(N29*(1+O$16)+O$13))))</f>
        <v>1251006.69740485</v>
      </c>
      <c r="P53" s="20" t="n">
        <f aca="false">IF(P$5&lt;=$B53,P18,MAX(0,O53*(1+P$15)-MAX(0,-(O29*(1+P$16)+P$13))))</f>
        <v>1341704.6829667</v>
      </c>
      <c r="Q53" s="20" t="n">
        <f aca="false">IF(Q$5&lt;=$B53,Q18,MAX(0,P53*(1+Q$15)-MAX(0,-(P29*(1+Q$16)+Q$13))))</f>
        <v>1434953.15843289</v>
      </c>
      <c r="R53" s="20" t="n">
        <f aca="false">IF(R$5&lt;=$B53,R18,MAX(0,Q53*(1+R$15)-MAX(0,-(Q29*(1+R$16)+R$13))))</f>
        <v>1530377.54346867</v>
      </c>
      <c r="S53" s="20" t="n">
        <f aca="false">IF(S$5&lt;=$B53,S18,MAX(0,R53*(1+S$15)-MAX(0,-(R29*(1+S$16)+S$13))))</f>
        <v>1627556.51747893</v>
      </c>
      <c r="T53" s="20" t="n">
        <f aca="false">IF(T$5&lt;=$B53,T18,MAX(0,S53*(1+T$15)-MAX(0,-(S29*(1+T$16)+T$13))))</f>
        <v>1726023.68678641</v>
      </c>
      <c r="U53" s="20" t="n">
        <f aca="false">IF(U$5&lt;=$B53,U18,MAX(0,T53*(1+U$15)-MAX(0,-(T29*(1+U$16)+U$13))))</f>
        <v>1825270.04877663</v>
      </c>
      <c r="V53" s="20" t="n">
        <f aca="false">IF(V$5&lt;=$B53,V18,MAX(0,U53*(1+V$15)-MAX(0,-(U29*(1+V$16)+V$13))))</f>
        <v>1924747.26643496</v>
      </c>
      <c r="W53" s="20" t="n">
        <f aca="false">IF(W$5&lt;=$B53,W18,MAX(0,V53*(1+W$15)-MAX(0,-(V29*(1+W$16)+W$13))))</f>
        <v>2023871.75065636</v>
      </c>
      <c r="X53" s="20" t="n">
        <f aca="false">IF(X$5&lt;=$B53,X18,MAX(0,W53*(1+X$15)-MAX(0,-(W29*(1+X$16)+X$13))))</f>
        <v>2122029.53056319</v>
      </c>
      <c r="Y53" s="20" t="n">
        <f aca="false">IF(Y$5&lt;=$B53,Y18,MAX(0,X53*(1+Y$15)-MAX(0,-(X29*(1+Y$16)+Y$13))))</f>
        <v>2218581.87420381</v>
      </c>
      <c r="Z53" s="20" t="n">
        <f aca="false">IF(Z$5&lt;=$B53,Z18,MAX(0,Y53*(1+Z$15)-MAX(0,-(Y29*(1+Z$16)+Z$13))))</f>
        <v>2312871.60385748</v>
      </c>
      <c r="AA53" s="20" t="n">
        <f aca="false">IF(AA$5&lt;=$B53,AA18,MAX(0,Z53*(1+AA$15)-MAX(0,-(Z29*(1+AA$16)+AA$13))))</f>
        <v>2404230.03220985</v>
      </c>
      <c r="AB53" s="20" t="n">
        <f aca="false">IF(AB$5&lt;=$B53,AB18,MAX(0,AA53*(1+AB$15)-MAX(0,-(AA29*(1+AB$16)+AB$13))))</f>
        <v>2491984.42838551</v>
      </c>
      <c r="AC53" s="20" t="n">
        <f aca="false">IF(AC$5&lt;=$B53,AC18,MAX(0,AB53*(1+AC$15)-MAX(0,-(AB29*(1+AC$16)+AC$13))))</f>
        <v>2575465.90673642</v>
      </c>
      <c r="AD53" s="20" t="n">
        <f aca="false">IF(AD$5&lt;=$B53,AD18,MAX(0,AC53*(1+AD$15)-MAX(0,-(AC29*(1+AD$16)+AD$13))))</f>
        <v>2654017.61689188</v>
      </c>
      <c r="AE53" s="20" t="n">
        <f aca="false">IF(AE$5&lt;=$B53,AE18,MAX(0,AD53*(1+AE$15)-MAX(0,-(AD29*(1+AE$16)+AE$13))))</f>
        <v>2727003.10135641</v>
      </c>
      <c r="AF53" s="20" t="n">
        <f aca="false">IF(AF$5&lt;=$B53,AF18,MAX(0,AE53*(1+AF$15)-MAX(0,-(AE29*(1+AF$16)+AF$13))))</f>
        <v>2793814.67733964</v>
      </c>
    </row>
    <row r="54" customFormat="false" ht="15" hidden="false" customHeight="true" outlineLevel="0" collapsed="false">
      <c r="B54" s="67" t="n">
        <v>2034</v>
      </c>
      <c r="C54" s="20" t="n">
        <f aca="false">C18</f>
        <v>302223.8</v>
      </c>
      <c r="D54" s="20" t="n">
        <f aca="false">IF(D$5&lt;=$B54,D18,MAX(0,C54*(1+D$15)-MAX(0,-(C30*(1+D$16)+D$13))))</f>
        <v>351383.704</v>
      </c>
      <c r="E54" s="20" t="n">
        <f aca="false">IF(E$5&lt;=$B54,E18,MAX(0,D54*(1+E$15)-MAX(0,-(D30*(1+E$16)+E$13))))</f>
        <v>419494.40032</v>
      </c>
      <c r="F54" s="20" t="n">
        <f aca="false">IF(F$5&lt;=$B54,F18,MAX(0,E54*(1+F$15)-MAX(0,-(E30*(1+F$16)+F$13))))</f>
        <v>493053.9523456</v>
      </c>
      <c r="G54" s="20" t="n">
        <f aca="false">IF(G$5&lt;=$B54,G18,MAX(0,F54*(1+G$15)-MAX(0,-(F30*(1+G$16)+G$13))))</f>
        <v>572498.268533248</v>
      </c>
      <c r="H54" s="20" t="n">
        <f aca="false">IF(H$5&lt;=$B54,H18,MAX(0,G54*(1+H$15)-MAX(0,-(G30*(1+H$16)+H$13))))</f>
        <v>659098.130015908</v>
      </c>
      <c r="I54" s="20" t="n">
        <f aca="false">IF(I$5&lt;=$B54,I18,MAX(0,H54*(1+I$15)-MAX(0,-(H30*(1+I$16)+I$13))))</f>
        <v>753441.98041718</v>
      </c>
      <c r="J54" s="20" t="n">
        <f aca="false">IF(J$5&lt;=$B54,J18,MAX(0,I54*(1+J$15)-MAX(0,-(I30*(1+J$16)+J$13))))</f>
        <v>856165.658850555</v>
      </c>
      <c r="K54" s="20" t="n">
        <f aca="false">IF(K$5&lt;=$B54,K18,MAX(0,J54*(1+K$15)-MAX(0,-(J30*(1+K$16)+K$13))))</f>
        <v>967956.197958599</v>
      </c>
      <c r="L54" s="20" t="n">
        <f aca="false">IF(L$5&lt;=$B54,L18,MAX(0,K54*(1+L$15)-MAX(0,-(K30*(1+L$16)+L$13))))</f>
        <v>1045392.69379529</v>
      </c>
      <c r="M54" s="20" t="n">
        <f aca="false">IF(M$5&lt;=$B54,M18,MAX(0,L54*(1+M$15)-MAX(0,-(L30*(1+M$16)+M$13))))</f>
        <v>1129024.10929891</v>
      </c>
      <c r="N54" s="20" t="n">
        <f aca="false">IF(N$5&lt;=$B54,N18,MAX(0,M54*(1+N$15)-MAX(0,-(M30*(1+N$16)+N$13))))</f>
        <v>1217652.50187887</v>
      </c>
      <c r="O54" s="20" t="n">
        <f aca="false">IF(O$5&lt;=$B54,O18,MAX(0,N54*(1+O$15)-MAX(0,-(N30*(1+O$16)+O$13))))</f>
        <v>1309585.26577073</v>
      </c>
      <c r="P54" s="20" t="n">
        <f aca="false">IF(P$5&lt;=$B54,P18,MAX(0,O54*(1+P$15)-MAX(0,-(O30*(1+P$16)+P$13))))</f>
        <v>1404530.19753911</v>
      </c>
      <c r="Q54" s="20" t="n">
        <f aca="false">IF(Q$5&lt;=$B54,Q18,MAX(0,P54*(1+Q$15)-MAX(0,-(P30*(1+Q$16)+Q$13))))</f>
        <v>1502145.04626808</v>
      </c>
      <c r="R54" s="20" t="n">
        <f aca="false">IF(R$5&lt;=$B54,R18,MAX(0,Q54*(1+R$15)-MAX(0,-(Q30*(1+R$16)+R$13))))</f>
        <v>1602037.6918449</v>
      </c>
      <c r="S54" s="20" t="n">
        <f aca="false">IF(S$5&lt;=$B54,S18,MAX(0,R54*(1+S$15)-MAX(0,-(R30*(1+S$16)+S$13))))</f>
        <v>1703767.08527705</v>
      </c>
      <c r="T54" s="20" t="n">
        <f aca="false">IF(T$5&lt;=$B54,T18,MAX(0,S54*(1+T$15)-MAX(0,-(S30*(1+T$16)+T$13))))</f>
        <v>1806844.99393631</v>
      </c>
      <c r="U54" s="20" t="n">
        <f aca="false">IF(U$5&lt;=$B54,U18,MAX(0,T54*(1+U$15)-MAX(0,-(T30*(1+U$16)+U$13))))</f>
        <v>1910738.58108765</v>
      </c>
      <c r="V54" s="20" t="n">
        <f aca="false">IF(V$5&lt;=$B54,V18,MAX(0,U54*(1+V$15)-MAX(0,-(U30*(1+V$16)+V$13))))</f>
        <v>2014873.83375693</v>
      </c>
      <c r="W54" s="20" t="n">
        <f aca="false">IF(W$5&lt;=$B54,W18,MAX(0,V54*(1+W$15)-MAX(0,-(V30*(1+W$16)+W$13))))</f>
        <v>2118639.83619541</v>
      </c>
      <c r="X54" s="20" t="n">
        <f aca="false">IF(X$5&lt;=$B54,X18,MAX(0,W54*(1+X$15)-MAX(0,-(W30*(1+X$16)+X$13))))</f>
        <v>2221393.86825089</v>
      </c>
      <c r="Y54" s="20" t="n">
        <f aca="false">IF(Y$5&lt;=$B54,Y18,MAX(0,X54*(1+Y$15)-MAX(0,-(X30*(1+Y$16)+Y$13))))</f>
        <v>2322467.28925631</v>
      </c>
      <c r="Z54" s="20" t="n">
        <f aca="false">IF(Z$5&lt;=$B54,Z18,MAX(0,Y54*(1+Z$15)-MAX(0,-(Y30*(1+Z$16)+Z$13))))</f>
        <v>2421172.1490497</v>
      </c>
      <c r="AA54" s="20" t="n">
        <f aca="false">IF(AA$5&lt;=$B54,AA18,MAX(0,Z54*(1+AA$15)-MAX(0,-(Z30*(1+AA$16)+AA$13))))</f>
        <v>2516808.44893716</v>
      </c>
      <c r="AB54" s="20" t="n">
        <f aca="false">IF(AB$5&lt;=$B54,AB18,MAX(0,AA54*(1+AB$15)-MAX(0,-(AA30*(1+AB$16)+AB$13))))</f>
        <v>2608671.95732337</v>
      </c>
      <c r="AC54" s="20" t="n">
        <f aca="false">IF(AC$5&lt;=$B54,AC18,MAX(0,AB54*(1+AC$15)-MAX(0,-(AB30*(1+AC$16)+AC$13))))</f>
        <v>2696062.4678937</v>
      </c>
      <c r="AD54" s="20" t="n">
        <f aca="false">IF(AD$5&lt;=$B54,AD18,MAX(0,AC54*(1+AD$15)-MAX(0,-(AC30*(1+AD$16)+AD$13))))</f>
        <v>2778292.37316446</v>
      </c>
      <c r="AE54" s="20" t="n">
        <f aca="false">IF(AE$5&lt;=$B54,AE18,MAX(0,AD54*(1+AE$15)-MAX(0,-(AD30*(1+AE$16)+AE$13))))</f>
        <v>2854695.41342648</v>
      </c>
      <c r="AF54" s="20" t="n">
        <f aca="false">IF(AF$5&lt;=$B54,AF18,MAX(0,AE54*(1+AF$15)-MAX(0,-(AE30*(1+AF$16)+AF$13))))</f>
        <v>2924635.45105543</v>
      </c>
    </row>
    <row r="55" customFormat="false" ht="15" hidden="false" customHeight="true" outlineLevel="0" collapsed="false">
      <c r="B55" s="67" t="n">
        <v>2035</v>
      </c>
      <c r="C55" s="20" t="n">
        <f aca="false">C18</f>
        <v>302223.8</v>
      </c>
      <c r="D55" s="20" t="n">
        <f aca="false">IF(D$5&lt;=$B55,D18,MAX(0,C55*(1+D$15)-MAX(0,-(C31*(1+D$16)+D$13))))</f>
        <v>351383.704</v>
      </c>
      <c r="E55" s="20" t="n">
        <f aca="false">IF(E$5&lt;=$B55,E18,MAX(0,D55*(1+E$15)-MAX(0,-(D31*(1+E$16)+E$13))))</f>
        <v>419494.40032</v>
      </c>
      <c r="F55" s="20" t="n">
        <f aca="false">IF(F$5&lt;=$B55,F18,MAX(0,E55*(1+F$15)-MAX(0,-(E31*(1+F$16)+F$13))))</f>
        <v>493053.9523456</v>
      </c>
      <c r="G55" s="20" t="n">
        <f aca="false">IF(G$5&lt;=$B55,G18,MAX(0,F55*(1+G$15)-MAX(0,-(F31*(1+G$16)+G$13))))</f>
        <v>572498.268533248</v>
      </c>
      <c r="H55" s="20" t="n">
        <f aca="false">IF(H$5&lt;=$B55,H18,MAX(0,G55*(1+H$15)-MAX(0,-(G31*(1+H$16)+H$13))))</f>
        <v>659098.130015908</v>
      </c>
      <c r="I55" s="20" t="n">
        <f aca="false">IF(I$5&lt;=$B55,I18,MAX(0,H55*(1+I$15)-MAX(0,-(H31*(1+I$16)+I$13))))</f>
        <v>753441.98041718</v>
      </c>
      <c r="J55" s="20" t="n">
        <f aca="false">IF(J$5&lt;=$B55,J18,MAX(0,I55*(1+J$15)-MAX(0,-(I31*(1+J$16)+J$13))))</f>
        <v>856165.658850555</v>
      </c>
      <c r="K55" s="20" t="n">
        <f aca="false">IF(K$5&lt;=$B55,K18,MAX(0,J55*(1+K$15)-MAX(0,-(J31*(1+K$16)+K$13))))</f>
        <v>967956.197958599</v>
      </c>
      <c r="L55" s="20" t="n">
        <f aca="false">IF(L$5&lt;=$B55,L18,MAX(0,K55*(1+L$15)-MAX(0,-(K31*(1+L$16)+L$13))))</f>
        <v>1089555.92592329</v>
      </c>
      <c r="M55" s="20" t="n">
        <f aca="false">IF(M$5&lt;=$B55,M18,MAX(0,L55*(1+M$15)-MAX(0,-(L31*(1+M$16)+M$13))))</f>
        <v>1176720.39999715</v>
      </c>
      <c r="N55" s="20" t="n">
        <f aca="false">IF(N$5&lt;=$B55,N18,MAX(0,M55*(1+N$15)-MAX(0,-(M31*(1+N$16)+N$13))))</f>
        <v>1269092.95139693</v>
      </c>
      <c r="O55" s="20" t="n">
        <f aca="false">IF(O$5&lt;=$B55,O18,MAX(0,N55*(1+O$15)-MAX(0,-(N31*(1+O$16)+O$13))))</f>
        <v>1364909.46922739</v>
      </c>
      <c r="P55" s="20" t="n">
        <f aca="false">IF(P$5&lt;=$B55,P18,MAX(0,O55*(1+P$15)-MAX(0,-(O31*(1+P$16)+P$13))))</f>
        <v>1463865.40574638</v>
      </c>
      <c r="Q55" s="20" t="n">
        <f aca="false">IF(Q$5&lt;=$B55,Q18,MAX(0,P55*(1+Q$15)-MAX(0,-(P31*(1+Q$16)+Q$13))))</f>
        <v>1565604.05144575</v>
      </c>
      <c r="R55" s="20" t="n">
        <f aca="false">IF(R$5&lt;=$B55,R18,MAX(0,Q55*(1+R$15)-MAX(0,-(Q31*(1+R$16)+R$13))))</f>
        <v>1669716.7208669</v>
      </c>
      <c r="S55" s="20" t="n">
        <f aca="false">IF(S$5&lt;=$B55,S18,MAX(0,R55*(1+S$15)-MAX(0,-(R31*(1+S$16)+S$13))))</f>
        <v>1775743.73264194</v>
      </c>
      <c r="T55" s="20" t="n">
        <f aca="false">IF(T$5&lt;=$B55,T18,MAX(0,S55*(1+T$15)-MAX(0,-(S31*(1+T$16)+T$13))))</f>
        <v>1883176.22846678</v>
      </c>
      <c r="U55" s="20" t="n">
        <f aca="false">IF(U$5&lt;=$B55,U18,MAX(0,T55*(1+U$15)-MAX(0,-(T31*(1+U$16)+U$13))))</f>
        <v>1991458.86160362</v>
      </c>
      <c r="V55" s="20" t="n">
        <f aca="false">IF(V$5&lt;=$B55,V18,MAX(0,U55*(1+V$15)-MAX(0,-(U31*(1+V$16)+V$13))))</f>
        <v>2099993.36956102</v>
      </c>
      <c r="W55" s="20" t="n">
        <f aca="false">IF(W$5&lt;=$B55,W18,MAX(0,V55*(1+W$15)-MAX(0,-(V31*(1+W$16)+W$13))))</f>
        <v>2208143.02809341</v>
      </c>
      <c r="X55" s="20" t="n">
        <f aca="false">IF(X$5&lt;=$B55,X18,MAX(0,W55*(1+X$15)-MAX(0,-(W31*(1+X$16)+X$13))))</f>
        <v>2315237.96495594</v>
      </c>
      <c r="Y55" s="20" t="n">
        <f aca="false">IF(Y$5&lt;=$B55,Y18,MAX(0,X55*(1+Y$15)-MAX(0,-(X31*(1+Y$16)+Y$13))))</f>
        <v>2420581.29236144</v>
      </c>
      <c r="Z55" s="20" t="n">
        <f aca="false">IF(Z$5&lt;=$B55,Z18,MAX(0,Y55*(1+Z$15)-MAX(0,-(Y31*(1+Z$16)+Z$13))))</f>
        <v>2523455.9972868</v>
      </c>
      <c r="AA55" s="20" t="n">
        <f aca="false">IF(AA$5&lt;=$B55,AA18,MAX(0,Z55*(1+AA$15)-MAX(0,-(Z31*(1+AA$16)+AA$13))))</f>
        <v>2623132.50917963</v>
      </c>
      <c r="AB55" s="20" t="n">
        <f aca="false">IF(AB$5&lt;=$B55,AB18,MAX(0,AA55*(1+AB$15)-MAX(0,-(AA31*(1+AB$16)+AB$13))))</f>
        <v>2718876.84576468</v>
      </c>
      <c r="AC55" s="20" t="n">
        <f aca="false">IF(AC$5&lt;=$B55,AC18,MAX(0,AB55*(1+AC$15)-MAX(0,-(AB31*(1+AC$16)+AC$13))))</f>
        <v>2809959.2200978</v>
      </c>
      <c r="AD55" s="20" t="n">
        <f aca="false">IF(AD$5&lt;=$B55,AD18,MAX(0,AC55*(1+AD$15)-MAX(0,-(AC31*(1+AD$16)+AD$13))))</f>
        <v>2895662.97631078</v>
      </c>
      <c r="AE55" s="20" t="n">
        <f aca="false">IF(AE$5&lt;=$B55,AE18,MAX(0,AD55*(1+AE$15)-MAX(0,-(AD31*(1+AE$16)+AE$13))))</f>
        <v>2975293.70815933</v>
      </c>
      <c r="AF55" s="20" t="n">
        <f aca="false">IF(AF$5&lt;=$B55,AF18,MAX(0,AE55*(1+AF$15)-MAX(0,-(AE31*(1+AF$16)+AF$13))))</f>
        <v>3048188.40400923</v>
      </c>
    </row>
    <row r="56" customFormat="false" ht="15" hidden="false" customHeight="true" outlineLevel="0" collapsed="false">
      <c r="B56" s="67" t="n">
        <v>2036</v>
      </c>
      <c r="C56" s="20" t="n">
        <f aca="false">C18</f>
        <v>302223.8</v>
      </c>
      <c r="D56" s="20" t="n">
        <f aca="false">IF(D$5&lt;=$B56,D18,MAX(0,C56*(1+D$15)-MAX(0,-(C32*(1+D$16)+D$13))))</f>
        <v>351383.704</v>
      </c>
      <c r="E56" s="20" t="n">
        <f aca="false">IF(E$5&lt;=$B56,E18,MAX(0,D56*(1+E$15)-MAX(0,-(D32*(1+E$16)+E$13))))</f>
        <v>419494.40032</v>
      </c>
      <c r="F56" s="20" t="n">
        <f aca="false">IF(F$5&lt;=$B56,F18,MAX(0,E56*(1+F$15)-MAX(0,-(E32*(1+F$16)+F$13))))</f>
        <v>493053.9523456</v>
      </c>
      <c r="G56" s="20" t="n">
        <f aca="false">IF(G$5&lt;=$B56,G18,MAX(0,F56*(1+G$15)-MAX(0,-(F32*(1+G$16)+G$13))))</f>
        <v>572498.268533248</v>
      </c>
      <c r="H56" s="20" t="n">
        <f aca="false">IF(H$5&lt;=$B56,H18,MAX(0,G56*(1+H$15)-MAX(0,-(G32*(1+H$16)+H$13))))</f>
        <v>659098.130015908</v>
      </c>
      <c r="I56" s="20" t="n">
        <f aca="false">IF(I$5&lt;=$B56,I18,MAX(0,H56*(1+I$15)-MAX(0,-(H32*(1+I$16)+I$13))))</f>
        <v>753441.98041718</v>
      </c>
      <c r="J56" s="20" t="n">
        <f aca="false">IF(J$5&lt;=$B56,J18,MAX(0,I56*(1+J$15)-MAX(0,-(I32*(1+J$16)+J$13))))</f>
        <v>856165.658850555</v>
      </c>
      <c r="K56" s="20" t="n">
        <f aca="false">IF(K$5&lt;=$B56,K18,MAX(0,J56*(1+K$15)-MAX(0,-(J32*(1+K$16)+K$13))))</f>
        <v>967956.197958599</v>
      </c>
      <c r="L56" s="20" t="n">
        <f aca="false">IF(L$5&lt;=$B56,L18,MAX(0,K56*(1+L$15)-MAX(0,-(K32*(1+L$16)+L$13))))</f>
        <v>1089555.92592329</v>
      </c>
      <c r="M56" s="20" t="n">
        <f aca="false">IF(M$5&lt;=$B56,M18,MAX(0,L56*(1+M$15)-MAX(0,-(L32*(1+M$16)+M$13))))</f>
        <v>1221766.89676771</v>
      </c>
      <c r="N56" s="20" t="n">
        <f aca="false">IF(N$5&lt;=$B56,N18,MAX(0,M56*(1+N$15)-MAX(0,-(M32*(1+N$16)+N$13))))</f>
        <v>1317675.59816398</v>
      </c>
      <c r="O56" s="20" t="n">
        <f aca="false">IF(O$5&lt;=$B56,O18,MAX(0,N56*(1+O$15)-MAX(0,-(N32*(1+O$16)+O$13))))</f>
        <v>1417160.10582536</v>
      </c>
      <c r="P56" s="20" t="n">
        <f aca="false">IF(P$5&lt;=$B56,P18,MAX(0,O56*(1+P$15)-MAX(0,-(O32*(1+P$16)+P$13))))</f>
        <v>1519904.21349769</v>
      </c>
      <c r="Q56" s="20" t="n">
        <f aca="false">IF(Q$5&lt;=$B56,Q18,MAX(0,P56*(1+Q$15)-MAX(0,-(P32*(1+Q$16)+Q$13))))</f>
        <v>1625537.55633578</v>
      </c>
      <c r="R56" s="20" t="n">
        <f aca="false">IF(R$5&lt;=$B56,R18,MAX(0,Q56*(1+R$15)-MAX(0,-(Q32*(1+R$16)+R$13))))</f>
        <v>1733635.80383211</v>
      </c>
      <c r="S56" s="20" t="n">
        <f aca="false">IF(S$5&lt;=$B56,S18,MAX(0,R56*(1+S$15)-MAX(0,-(R32*(1+S$16)+S$13))))</f>
        <v>1843721.67737545</v>
      </c>
      <c r="T56" s="20" t="n">
        <f aca="false">IF(T$5&lt;=$B56,T18,MAX(0,S56*(1+T$15)-MAX(0,-(S32*(1+T$16)+T$13))))</f>
        <v>1955266.83885667</v>
      </c>
      <c r="U56" s="20" t="n">
        <f aca="false">IF(U$5&lt;=$B56,U18,MAX(0,T56*(1+U$15)-MAX(0,-(T32*(1+U$16)+U$13))))</f>
        <v>2067694.68209093</v>
      </c>
      <c r="V56" s="20" t="n">
        <f aca="false">IF(V$5&lt;=$B56,V18,MAX(0,U56*(1+V$15)-MAX(0,-(U32*(1+V$16)+V$13))))</f>
        <v>2180384.04226488</v>
      </c>
      <c r="W56" s="20" t="n">
        <f aca="false">IF(W$5&lt;=$B56,W18,MAX(0,V56*(1+W$15)-MAX(0,-(V32*(1+W$16)+W$13))))</f>
        <v>2292673.82044152</v>
      </c>
      <c r="X56" s="20" t="n">
        <f aca="false">IF(X$5&lt;=$B56,X18,MAX(0,W56*(1+X$15)-MAX(0,-(W32*(1+X$16)+X$13))))</f>
        <v>2403868.50073294</v>
      </c>
      <c r="Y56" s="20" t="n">
        <f aca="false">IF(Y$5&lt;=$B56,Y18,MAX(0,X56*(1+Y$15)-MAX(0,-(X32*(1+Y$16)+Y$13))))</f>
        <v>2513244.51751629</v>
      </c>
      <c r="Z56" s="20" t="n">
        <f aca="false">IF(Z$5&lt;=$B56,Z18,MAX(0,Y56*(1+Z$15)-MAX(0,-(Y32*(1+Z$16)+Z$13))))</f>
        <v>2620057.40951073</v>
      </c>
      <c r="AA56" s="20" t="n">
        <f aca="false">IF(AA$5&lt;=$B56,AA18,MAX(0,Z56*(1+AA$15)-MAX(0,-(Z32*(1+AA$16)+AA$13))))</f>
        <v>2723549.6771864</v>
      </c>
      <c r="AB56" s="20" t="n">
        <f aca="false">IF(AB$5&lt;=$B56,AB18,MAX(0,AA56*(1+AB$15)-MAX(0,-(AA32*(1+AB$16)+AB$13))))</f>
        <v>2822959.24040371</v>
      </c>
      <c r="AC56" s="20" t="n">
        <f aca="false">IF(AC$5&lt;=$B56,AC18,MAX(0,AB56*(1+AC$15)-MAX(0,-(AB32*(1+AC$16)+AC$13))))</f>
        <v>2917528.37495723</v>
      </c>
      <c r="AD56" s="20" t="n">
        <f aca="false">IF(AD$5&lt;=$B56,AD18,MAX(0,AC56*(1+AD$15)-MAX(0,-(AC32*(1+AD$16)+AD$13))))</f>
        <v>3006512.99039342</v>
      </c>
      <c r="AE56" s="20" t="n">
        <f aca="false">IF(AE$5&lt;=$B56,AE18,MAX(0,AD56*(1+AE$15)-MAX(0,-(AD32*(1+AE$16)+AE$13))))</f>
        <v>3089192.09762924</v>
      </c>
      <c r="AF56" s="20" t="n">
        <f aca="false">IF(AF$5&lt;=$B56,AF18,MAX(0,AE56*(1+AF$15)-MAX(0,-(AE32*(1+AF$16)+AF$13))))</f>
        <v>3164877.30402116</v>
      </c>
    </row>
    <row r="57" customFormat="false" ht="15" hidden="false" customHeight="true" outlineLevel="0" collapsed="false">
      <c r="B57" s="67" t="n">
        <v>2037</v>
      </c>
      <c r="C57" s="20" t="n">
        <f aca="false">C18</f>
        <v>302223.8</v>
      </c>
      <c r="D57" s="20" t="n">
        <f aca="false">IF(D$5&lt;=$B57,D18,MAX(0,C57*(1+D$15)-MAX(0,-(C33*(1+D$16)+D$13))))</f>
        <v>351383.704</v>
      </c>
      <c r="E57" s="20" t="n">
        <f aca="false">IF(E$5&lt;=$B57,E18,MAX(0,D57*(1+E$15)-MAX(0,-(D33*(1+E$16)+E$13))))</f>
        <v>419494.40032</v>
      </c>
      <c r="F57" s="20" t="n">
        <f aca="false">IF(F$5&lt;=$B57,F18,MAX(0,E57*(1+F$15)-MAX(0,-(E33*(1+F$16)+F$13))))</f>
        <v>493053.9523456</v>
      </c>
      <c r="G57" s="20" t="n">
        <f aca="false">IF(G$5&lt;=$B57,G18,MAX(0,F57*(1+G$15)-MAX(0,-(F33*(1+G$16)+G$13))))</f>
        <v>572498.268533248</v>
      </c>
      <c r="H57" s="20" t="n">
        <f aca="false">IF(H$5&lt;=$B57,H18,MAX(0,G57*(1+H$15)-MAX(0,-(G33*(1+H$16)+H$13))))</f>
        <v>659098.130015908</v>
      </c>
      <c r="I57" s="20" t="n">
        <f aca="false">IF(I$5&lt;=$B57,I18,MAX(0,H57*(1+I$15)-MAX(0,-(H33*(1+I$16)+I$13))))</f>
        <v>753441.98041718</v>
      </c>
      <c r="J57" s="20" t="n">
        <f aca="false">IF(J$5&lt;=$B57,J18,MAX(0,I57*(1+J$15)-MAX(0,-(I33*(1+J$16)+J$13))))</f>
        <v>856165.658850555</v>
      </c>
      <c r="K57" s="20" t="n">
        <f aca="false">IF(K$5&lt;=$B57,K18,MAX(0,J57*(1+K$15)-MAX(0,-(J33*(1+K$16)+K$13))))</f>
        <v>967956.197958599</v>
      </c>
      <c r="L57" s="20" t="n">
        <f aca="false">IF(L$5&lt;=$B57,L18,MAX(0,K57*(1+L$15)-MAX(0,-(K33*(1+L$16)+L$13))))</f>
        <v>1089555.92592329</v>
      </c>
      <c r="M57" s="20" t="n">
        <f aca="false">IF(M$5&lt;=$B57,M18,MAX(0,L57*(1+M$15)-MAX(0,-(L33*(1+M$16)+M$13))))</f>
        <v>1221766.89676771</v>
      </c>
      <c r="N57" s="20" t="n">
        <f aca="false">IF(N$5&lt;=$B57,N18,MAX(0,M57*(1+N$15)-MAX(0,-(M33*(1+N$16)+N$13))))</f>
        <v>1363623.02486995</v>
      </c>
      <c r="O57" s="20" t="n">
        <f aca="false">IF(O$5&lt;=$B57,O18,MAX(0,N57*(1+O$15)-MAX(0,-(N33*(1+O$16)+O$13))))</f>
        <v>1466576.56324763</v>
      </c>
      <c r="P57" s="20" t="n">
        <f aca="false">IF(P$5&lt;=$B57,P18,MAX(0,O57*(1+P$15)-MAX(0,-(O33*(1+P$16)+P$13))))</f>
        <v>1572903.36408308</v>
      </c>
      <c r="Q57" s="20" t="n">
        <f aca="false">IF(Q$5&lt;=$B57,Q18,MAX(0,P57*(1+Q$15)-MAX(0,-(P33*(1+Q$16)+Q$13))))</f>
        <v>1682220.14788685</v>
      </c>
      <c r="R57" s="20" t="n">
        <f aca="false">IF(R$5&lt;=$B57,R18,MAX(0,Q57*(1+R$15)-MAX(0,-(Q33*(1+R$16)+R$13))))</f>
        <v>1794087.78772133</v>
      </c>
      <c r="S57" s="20" t="n">
        <f aca="false">IF(S$5&lt;=$B57,S18,MAX(0,R57*(1+S$15)-MAX(0,-(R33*(1+S$16)+S$13))))</f>
        <v>1908012.36224163</v>
      </c>
      <c r="T57" s="20" t="n">
        <f aca="false">IF(T$5&lt;=$B57,T18,MAX(0,S57*(1+T$15)-MAX(0,-(S33*(1+T$16)+T$13))))</f>
        <v>2023447.11015725</v>
      </c>
      <c r="U57" s="20" t="n">
        <f aca="false">IF(U$5&lt;=$B57,U18,MAX(0,T57*(1+U$15)-MAX(0,-(T33*(1+U$16)+U$13))))</f>
        <v>2139795.3189913</v>
      </c>
      <c r="V57" s="20" t="n">
        <f aca="false">IF(V$5&lt;=$B57,V18,MAX(0,U57*(1+V$15)-MAX(0,-(U33*(1+V$16)+V$13))))</f>
        <v>2256414.16387632</v>
      </c>
      <c r="W57" s="20" t="n">
        <f aca="false">IF(W$5&lt;=$B57,W18,MAX(0,V57*(1+W$15)-MAX(0,-(V33*(1+W$16)+W$13))))</f>
        <v>2372619.49331595</v>
      </c>
      <c r="X57" s="20" t="n">
        <f aca="false">IF(X$5&lt;=$B57,X18,MAX(0,W57*(1+X$15)-MAX(0,-(W33*(1+X$16)+X$13))))</f>
        <v>2487691.53874178</v>
      </c>
      <c r="Y57" s="20" t="n">
        <f aca="false">IF(Y$5&lt;=$B57,Y18,MAX(0,X57*(1+Y$15)-MAX(0,-(X33*(1+Y$16)+Y$13))))</f>
        <v>2600881.50375453</v>
      </c>
      <c r="Z57" s="20" t="n">
        <f aca="false">IF(Z$5&lt;=$B57,Z18,MAX(0,Y57*(1+Z$15)-MAX(0,-(Y33*(1+Z$16)+Z$13))))</f>
        <v>2711418.96766409</v>
      </c>
      <c r="AA57" s="20" t="n">
        <f aca="false">IF(AA$5&lt;=$B57,AA18,MAX(0,Z57*(1+AA$15)-MAX(0,-(Z33*(1+AA$16)+AA$13))))</f>
        <v>2818520.01688683</v>
      </c>
      <c r="AB57" s="20" t="n">
        <f aca="false">IF(AB$5&lt;=$B57,AB18,MAX(0,AA57*(1+AB$15)-MAX(0,-(AA33*(1+AB$16)+AB$13))))</f>
        <v>2921395.9975032</v>
      </c>
      <c r="AC57" s="20" t="n">
        <f aca="false">IF(AC$5&lt;=$B57,AC18,MAX(0,AB57*(1+AC$15)-MAX(0,-(AB33*(1+AC$16)+AC$13))))</f>
        <v>3019262.76341955</v>
      </c>
      <c r="AD57" s="20" t="n">
        <f aca="false">IF(AD$5&lt;=$B57,AD18,MAX(0,AC57*(1+AD$15)-MAX(0,-(AC33*(1+AD$16)+AD$13))))</f>
        <v>3111350.27770385</v>
      </c>
      <c r="AE57" s="20" t="n">
        <f aca="false">IF(AE$5&lt;=$B57,AE18,MAX(0,AD57*(1+AE$15)-MAX(0,-(AD33*(1+AE$16)+AE$13))))</f>
        <v>3196912.41034071</v>
      </c>
      <c r="AF57" s="20" t="n">
        <f aca="false">IF(AF$5&lt;=$B57,AF18,MAX(0,AE57*(1+AF$15)-MAX(0,-(AE33*(1+AF$16)+AF$13))))</f>
        <v>3275236.76439405</v>
      </c>
    </row>
    <row r="58" customFormat="false" ht="15" hidden="false" customHeight="true" outlineLevel="0" collapsed="false">
      <c r="B58" s="67" t="n">
        <v>2038</v>
      </c>
      <c r="C58" s="20" t="n">
        <f aca="false">C18</f>
        <v>302223.8</v>
      </c>
      <c r="D58" s="20" t="n">
        <f aca="false">IF(D$5&lt;=$B58,D18,MAX(0,C58*(1+D$15)-MAX(0,-(C34*(1+D$16)+D$13))))</f>
        <v>351383.704</v>
      </c>
      <c r="E58" s="20" t="n">
        <f aca="false">IF(E$5&lt;=$B58,E18,MAX(0,D58*(1+E$15)-MAX(0,-(D34*(1+E$16)+E$13))))</f>
        <v>419494.40032</v>
      </c>
      <c r="F58" s="20" t="n">
        <f aca="false">IF(F$5&lt;=$B58,F18,MAX(0,E58*(1+F$15)-MAX(0,-(E34*(1+F$16)+F$13))))</f>
        <v>493053.9523456</v>
      </c>
      <c r="G58" s="20" t="n">
        <f aca="false">IF(G$5&lt;=$B58,G18,MAX(0,F58*(1+G$15)-MAX(0,-(F34*(1+G$16)+G$13))))</f>
        <v>572498.268533248</v>
      </c>
      <c r="H58" s="20" t="n">
        <f aca="false">IF(H$5&lt;=$B58,H18,MAX(0,G58*(1+H$15)-MAX(0,-(G34*(1+H$16)+H$13))))</f>
        <v>659098.130015908</v>
      </c>
      <c r="I58" s="20" t="n">
        <f aca="false">IF(I$5&lt;=$B58,I18,MAX(0,H58*(1+I$15)-MAX(0,-(H34*(1+I$16)+I$13))))</f>
        <v>753441.98041718</v>
      </c>
      <c r="J58" s="20" t="n">
        <f aca="false">IF(J$5&lt;=$B58,J18,MAX(0,I58*(1+J$15)-MAX(0,-(I34*(1+J$16)+J$13))))</f>
        <v>856165.658850555</v>
      </c>
      <c r="K58" s="20" t="n">
        <f aca="false">IF(K$5&lt;=$B58,K18,MAX(0,J58*(1+K$15)-MAX(0,-(J34*(1+K$16)+K$13))))</f>
        <v>967956.197958599</v>
      </c>
      <c r="L58" s="20" t="n">
        <f aca="false">IF(L$5&lt;=$B58,L18,MAX(0,K58*(1+L$15)-MAX(0,-(K34*(1+L$16)+L$13))))</f>
        <v>1089555.92592329</v>
      </c>
      <c r="M58" s="20" t="n">
        <f aca="false">IF(M$5&lt;=$B58,M18,MAX(0,L58*(1+M$15)-MAX(0,-(L34*(1+M$16)+M$13))))</f>
        <v>1221766.89676771</v>
      </c>
      <c r="N58" s="20" t="n">
        <f aca="false">IF(N$5&lt;=$B58,N18,MAX(0,M58*(1+N$15)-MAX(0,-(M34*(1+N$16)+N$13))))</f>
        <v>1363623.02486995</v>
      </c>
      <c r="O58" s="20" t="n">
        <f aca="false">IF(O$5&lt;=$B58,O18,MAX(0,N58*(1+O$15)-MAX(0,-(N34*(1+O$16)+O$13))))</f>
        <v>1513442.93848772</v>
      </c>
      <c r="P58" s="20" t="n">
        <f aca="false">IF(P$5&lt;=$B58,P18,MAX(0,O58*(1+P$15)-MAX(0,-(O34*(1+P$16)+P$13))))</f>
        <v>1623167.55152808</v>
      </c>
      <c r="Q58" s="20" t="n">
        <f aca="false">IF(Q$5&lt;=$B58,Q18,MAX(0,P58*(1+Q$15)-MAX(0,-(P34*(1+Q$16)+Q$13))))</f>
        <v>1735977.69635928</v>
      </c>
      <c r="R58" s="20" t="n">
        <f aca="false">IF(R$5&lt;=$B58,R18,MAX(0,Q58*(1+R$15)-MAX(0,-(Q34*(1+R$16)+R$13))))</f>
        <v>1851420.21316717</v>
      </c>
      <c r="S58" s="20" t="n">
        <f aca="false">IF(S$5&lt;=$B58,S18,MAX(0,R58*(1+S$15)-MAX(0,-(R34*(1+S$16)+S$13))))</f>
        <v>1968985.39670329</v>
      </c>
      <c r="T58" s="20" t="n">
        <f aca="false">IF(T$5&lt;=$B58,T18,MAX(0,S58*(1+T$15)-MAX(0,-(S34*(1+T$16)+T$13))))</f>
        <v>2088109.01320383</v>
      </c>
      <c r="U58" s="20" t="n">
        <f aca="false">IF(U$5&lt;=$B58,U18,MAX(0,T58*(1+U$15)-MAX(0,-(T34*(1+U$16)+U$13))))</f>
        <v>2208175.28146306</v>
      </c>
      <c r="V58" s="20" t="n">
        <f aca="false">IF(V$5&lt;=$B58,V18,MAX(0,U58*(1+V$15)-MAX(0,-(U34*(1+V$16)+V$13))))</f>
        <v>2328520.83430279</v>
      </c>
      <c r="W58" s="20" t="n">
        <f aca="false">IF(W$5&lt;=$B58,W18,MAX(0,V58*(1+W$15)-MAX(0,-(V34*(1+W$16)+W$13))))</f>
        <v>2448439.65726939</v>
      </c>
      <c r="X58" s="20" t="n">
        <f aca="false">IF(X$5&lt;=$B58,X18,MAX(0,W58*(1+X$15)-MAX(0,-(W34*(1+X$16)+X$13))))</f>
        <v>2567188.98064695</v>
      </c>
      <c r="Y58" s="20" t="n">
        <f aca="false">IF(Y$5&lt;=$B58,Y18,MAX(0,X58*(1+Y$15)-MAX(0,-(X34*(1+Y$16)+Y$13))))</f>
        <v>2683996.07926639</v>
      </c>
      <c r="Z58" s="20" t="n">
        <f aca="false">IF(Z$5&lt;=$B58,Z18,MAX(0,Y58*(1+Z$15)-MAX(0,-(Y34*(1+Z$16)+Z$13))))</f>
        <v>2798065.91263521</v>
      </c>
      <c r="AA58" s="20" t="n">
        <f aca="false">IF(AA$5&lt;=$B58,AA18,MAX(0,Z58*(1+AA$15)-MAX(0,-(Z34*(1+AA$16)+AA$13))))</f>
        <v>2908589.5161843</v>
      </c>
      <c r="AB58" s="20" t="n">
        <f aca="false">IF(AB$5&lt;=$B58,AB18,MAX(0,AA58*(1+AB$15)-MAX(0,-(AA34*(1+AB$16)+AB$13))))</f>
        <v>3014753.03352503</v>
      </c>
      <c r="AC58" s="20" t="n">
        <f aca="false">IF(AC$5&lt;=$B58,AC18,MAX(0,AB58*(1+AC$15)-MAX(0,-(AB34*(1+AC$16)+AC$13))))</f>
        <v>3115747.26014812</v>
      </c>
      <c r="AD58" s="20" t="n">
        <f aca="false">IF(AD$5&lt;=$B58,AD18,MAX(0,AC58*(1+AD$15)-MAX(0,-(AC34*(1+AD$16)+AD$13))))</f>
        <v>3210777.55158263</v>
      </c>
      <c r="AE58" s="20" t="n">
        <f aca="false">IF(AE$5&lt;=$B58,AE18,MAX(0,AD58*(1+AE$15)-MAX(0,-(AD34*(1+AE$16)+AE$13))))</f>
        <v>3299073.93425116</v>
      </c>
      <c r="AF58" s="20" t="n">
        <f aca="false">IF(AF$5&lt;=$B58,AF18,MAX(0,AE58*(1+AF$15)-MAX(0,-(AE34*(1+AF$16)+AF$13))))</f>
        <v>3379901.24564031</v>
      </c>
    </row>
    <row r="59" customFormat="false" ht="15" hidden="false" customHeight="true" outlineLevel="0" collapsed="false">
      <c r="B59" s="67" t="n">
        <v>2039</v>
      </c>
      <c r="C59" s="20" t="n">
        <f aca="false">C18</f>
        <v>302223.8</v>
      </c>
      <c r="D59" s="20" t="n">
        <f aca="false">IF(D$5&lt;=$B59,D18,MAX(0,C59*(1+D$15)-MAX(0,-(C35*(1+D$16)+D$13))))</f>
        <v>351383.704</v>
      </c>
      <c r="E59" s="20" t="n">
        <f aca="false">IF(E$5&lt;=$B59,E18,MAX(0,D59*(1+E$15)-MAX(0,-(D35*(1+E$16)+E$13))))</f>
        <v>419494.40032</v>
      </c>
      <c r="F59" s="20" t="n">
        <f aca="false">IF(F$5&lt;=$B59,F18,MAX(0,E59*(1+F$15)-MAX(0,-(E35*(1+F$16)+F$13))))</f>
        <v>493053.9523456</v>
      </c>
      <c r="G59" s="20" t="n">
        <f aca="false">IF(G$5&lt;=$B59,G18,MAX(0,F59*(1+G$15)-MAX(0,-(F35*(1+G$16)+G$13))))</f>
        <v>572498.268533248</v>
      </c>
      <c r="H59" s="20" t="n">
        <f aca="false">IF(H$5&lt;=$B59,H18,MAX(0,G59*(1+H$15)-MAX(0,-(G35*(1+H$16)+H$13))))</f>
        <v>659098.130015908</v>
      </c>
      <c r="I59" s="20" t="n">
        <f aca="false">IF(I$5&lt;=$B59,I18,MAX(0,H59*(1+I$15)-MAX(0,-(H35*(1+I$16)+I$13))))</f>
        <v>753441.98041718</v>
      </c>
      <c r="J59" s="20" t="n">
        <f aca="false">IF(J$5&lt;=$B59,J18,MAX(0,I59*(1+J$15)-MAX(0,-(I35*(1+J$16)+J$13))))</f>
        <v>856165.658850555</v>
      </c>
      <c r="K59" s="20" t="n">
        <f aca="false">IF(K$5&lt;=$B59,K18,MAX(0,J59*(1+K$15)-MAX(0,-(J35*(1+K$16)+K$13))))</f>
        <v>967956.197958599</v>
      </c>
      <c r="L59" s="20" t="n">
        <f aca="false">IF(L$5&lt;=$B59,L18,MAX(0,K59*(1+L$15)-MAX(0,-(K35*(1+L$16)+L$13))))</f>
        <v>1089555.92592329</v>
      </c>
      <c r="M59" s="20" t="n">
        <f aca="false">IF(M$5&lt;=$B59,M18,MAX(0,L59*(1+M$15)-MAX(0,-(L35*(1+M$16)+M$13))))</f>
        <v>1221766.89676771</v>
      </c>
      <c r="N59" s="20" t="n">
        <f aca="false">IF(N$5&lt;=$B59,N18,MAX(0,M59*(1+N$15)-MAX(0,-(M35*(1+N$16)+N$13))))</f>
        <v>1363623.02486995</v>
      </c>
      <c r="O59" s="20" t="n">
        <f aca="false">IF(O$5&lt;=$B59,O18,MAX(0,N59*(1+O$15)-MAX(0,-(N35*(1+O$16)+O$13))))</f>
        <v>1513442.93848772</v>
      </c>
      <c r="P59" s="20" t="n">
        <f aca="false">IF(P$5&lt;=$B59,P18,MAX(0,O59*(1+P$15)-MAX(0,-(O35*(1+P$16)+P$13))))</f>
        <v>1670971.25427297</v>
      </c>
      <c r="Q59" s="20" t="n">
        <f aca="false">IF(Q$5&lt;=$B59,Q18,MAX(0,P59*(1+Q$15)-MAX(0,-(P35*(1+Q$16)+Q$13))))</f>
        <v>1787103.75644494</v>
      </c>
      <c r="R59" s="20" t="n">
        <f aca="false">IF(R$5&lt;=$B59,R18,MAX(0,Q59*(1+R$15)-MAX(0,-(Q35*(1+R$16)+R$13))))</f>
        <v>1905946.15624853</v>
      </c>
      <c r="S59" s="20" t="n">
        <f aca="false">IF(S$5&lt;=$B59,S18,MAX(0,R59*(1+S$15)-MAX(0,-(R35*(1+S$16)+S$13))))</f>
        <v>2026973.73717031</v>
      </c>
      <c r="T59" s="20" t="n">
        <f aca="false">IF(T$5&lt;=$B59,T18,MAX(0,S59*(1+T$15)-MAX(0,-(S35*(1+T$16)+T$13))))</f>
        <v>2149605.64826912</v>
      </c>
      <c r="U59" s="20" t="n">
        <f aca="false">IF(U$5&lt;=$B59,U18,MAX(0,T59*(1+U$15)-MAX(0,-(T35*(1+U$16)+U$13))))</f>
        <v>2273207.97304459</v>
      </c>
      <c r="V59" s="20" t="n">
        <f aca="false">IF(V$5&lt;=$B59,V18,MAX(0,U59*(1+V$15)-MAX(0,-(U35*(1+V$16)+V$13))))</f>
        <v>2397097.80757552</v>
      </c>
      <c r="W59" s="20" t="n">
        <f aca="false">IF(W$5&lt;=$B59,W18,MAX(0,V59*(1+W$15)-MAX(0,-(V35*(1+W$16)+W$13))))</f>
        <v>2520548.34466566</v>
      </c>
      <c r="X59" s="20" t="n">
        <f aca="false">IF(X$5&lt;=$B59,X18,MAX(0,W59*(1+X$15)-MAX(0,-(W35*(1+X$16)+X$13))))</f>
        <v>2642794.93938194</v>
      </c>
      <c r="Y59" s="20" t="n">
        <f aca="false">IF(Y$5&lt;=$B59,Y18,MAX(0,X59*(1+Y$15)-MAX(0,-(X35*(1+Y$16)+Y$13))))</f>
        <v>2763042.10912382</v>
      </c>
      <c r="Z59" s="20" t="n">
        <f aca="false">IF(Z$5&lt;=$B59,Z18,MAX(0,Y59*(1+Z$15)-MAX(0,-(Y35*(1+Z$16)+Z$13))))</f>
        <v>2880471.39876158</v>
      </c>
      <c r="AA59" s="20" t="n">
        <f aca="false">IF(AA$5&lt;=$B59,AA18,MAX(0,Z59*(1+AA$15)-MAX(0,-(Z35*(1+AA$16)+AA$13))))</f>
        <v>2994250.01901267</v>
      </c>
      <c r="AB59" s="20" t="n">
        <f aca="false">IF(AB$5&lt;=$B59,AB18,MAX(0,AA59*(1+AB$15)-MAX(0,-(AA35*(1+AB$16)+AB$13))))</f>
        <v>3103540.14470663</v>
      </c>
      <c r="AC59" s="20" t="n">
        <f aca="false">IF(AC$5&lt;=$B59,AC18,MAX(0,AB59*(1+AC$15)-MAX(0,-(AB35*(1+AC$16)+AC$13))))</f>
        <v>3207508.7395543</v>
      </c>
      <c r="AD59" s="20" t="n">
        <f aca="false">IF(AD$5&lt;=$B59,AD18,MAX(0,AC59*(1+AD$15)-MAX(0,-(AC35*(1+AD$16)+AD$13))))</f>
        <v>3305337.75611071</v>
      </c>
      <c r="AE59" s="20" t="n">
        <f aca="false">IF(AE$5&lt;=$B59,AE18,MAX(0,AD59*(1+AE$15)-MAX(0,-(AD35*(1+AE$16)+AE$13))))</f>
        <v>3396234.54440375</v>
      </c>
      <c r="AF59" s="20" t="n">
        <f aca="false">IF(AF$5&lt;=$B59,AF18,MAX(0,AE59*(1+AF$15)-MAX(0,-(AE35*(1+AF$16)+AF$13))))</f>
        <v>3479442.29074164</v>
      </c>
    </row>
    <row r="60" customFormat="false" ht="15" hidden="false" customHeight="true" outlineLevel="0" collapsed="false">
      <c r="B60" s="67" t="n">
        <v>2040</v>
      </c>
      <c r="C60" s="20" t="n">
        <f aca="false">C18</f>
        <v>302223.8</v>
      </c>
      <c r="D60" s="20" t="n">
        <f aca="false">IF(D$5&lt;=$B60,D18,MAX(0,C60*(1+D$15)-MAX(0,-(C36*(1+D$16)+D$13))))</f>
        <v>351383.704</v>
      </c>
      <c r="E60" s="20" t="n">
        <f aca="false">IF(E$5&lt;=$B60,E18,MAX(0,D60*(1+E$15)-MAX(0,-(D36*(1+E$16)+E$13))))</f>
        <v>419494.40032</v>
      </c>
      <c r="F60" s="20" t="n">
        <f aca="false">IF(F$5&lt;=$B60,F18,MAX(0,E60*(1+F$15)-MAX(0,-(E36*(1+F$16)+F$13))))</f>
        <v>493053.9523456</v>
      </c>
      <c r="G60" s="20" t="n">
        <f aca="false">IF(G$5&lt;=$B60,G18,MAX(0,F60*(1+G$15)-MAX(0,-(F36*(1+G$16)+G$13))))</f>
        <v>572498.268533248</v>
      </c>
      <c r="H60" s="20" t="n">
        <f aca="false">IF(H$5&lt;=$B60,H18,MAX(0,G60*(1+H$15)-MAX(0,-(G36*(1+H$16)+H$13))))</f>
        <v>659098.130015908</v>
      </c>
      <c r="I60" s="20" t="n">
        <f aca="false">IF(I$5&lt;=$B60,I18,MAX(0,H60*(1+I$15)-MAX(0,-(H36*(1+I$16)+I$13))))</f>
        <v>753441.98041718</v>
      </c>
      <c r="J60" s="20" t="n">
        <f aca="false">IF(J$5&lt;=$B60,J18,MAX(0,I60*(1+J$15)-MAX(0,-(I36*(1+J$16)+J$13))))</f>
        <v>856165.658850555</v>
      </c>
      <c r="K60" s="20" t="n">
        <f aca="false">IF(K$5&lt;=$B60,K18,MAX(0,J60*(1+K$15)-MAX(0,-(J36*(1+K$16)+K$13))))</f>
        <v>967956.197958599</v>
      </c>
      <c r="L60" s="20" t="n">
        <f aca="false">IF(L$5&lt;=$B60,L18,MAX(0,K60*(1+L$15)-MAX(0,-(K36*(1+L$16)+L$13))))</f>
        <v>1089555.92592329</v>
      </c>
      <c r="M60" s="20" t="n">
        <f aca="false">IF(M$5&lt;=$B60,M18,MAX(0,L60*(1+M$15)-MAX(0,-(L36*(1+M$16)+M$13))))</f>
        <v>1221766.89676771</v>
      </c>
      <c r="N60" s="20" t="n">
        <f aca="false">IF(N$5&lt;=$B60,N18,MAX(0,M60*(1+N$15)-MAX(0,-(M36*(1+N$16)+N$13))))</f>
        <v>1363623.02486995</v>
      </c>
      <c r="O60" s="20" t="n">
        <f aca="false">IF(O$5&lt;=$B60,O18,MAX(0,N60*(1+O$15)-MAX(0,-(N36*(1+O$16)+O$13))))</f>
        <v>1513442.93848772</v>
      </c>
      <c r="P60" s="20" t="n">
        <f aca="false">IF(P$5&lt;=$B60,P18,MAX(0,O60*(1+P$15)-MAX(0,-(O36*(1+P$16)+P$13))))</f>
        <v>1670971.25427297</v>
      </c>
      <c r="Q60" s="20" t="n">
        <f aca="false">IF(Q$5&lt;=$B60,Q18,MAX(0,P60*(1+Q$15)-MAX(0,-(P36*(1+Q$16)+Q$13))))</f>
        <v>1835863.53324473</v>
      </c>
      <c r="R60" s="20" t="n">
        <f aca="false">IF(R$5&lt;=$B60,R18,MAX(0,Q60*(1+R$15)-MAX(0,-(Q36*(1+R$16)+R$13))))</f>
        <v>1957948.45820551</v>
      </c>
      <c r="S60" s="20" t="n">
        <f aca="false">IF(S$5&lt;=$B60,S18,MAX(0,R60*(1+S$15)-MAX(0,-(R36*(1+S$16)+S$13))))</f>
        <v>2082278.18530156</v>
      </c>
      <c r="T60" s="20" t="n">
        <f aca="false">IF(T$5&lt;=$B60,T18,MAX(0,S60*(1+T$15)-MAX(0,-(S36*(1+T$16)+T$13))))</f>
        <v>2208256.0155123</v>
      </c>
      <c r="U60" s="20" t="n">
        <f aca="false">IF(U$5&lt;=$B60,U18,MAX(0,T60*(1+U$15)-MAX(0,-(T36*(1+U$16)+U$13))))</f>
        <v>2335230.73640426</v>
      </c>
      <c r="V60" s="20" t="n">
        <f aca="false">IF(V$5&lt;=$B60,V18,MAX(0,U60*(1+V$15)-MAX(0,-(U36*(1+V$16)+V$13))))</f>
        <v>2462500.81153829</v>
      </c>
      <c r="W60" s="20" t="n">
        <f aca="false">IF(W$5&lt;=$B60,W18,MAX(0,V60*(1+W$15)-MAX(0,-(V36*(1+W$16)+W$13))))</f>
        <v>2589319.60333251</v>
      </c>
      <c r="X60" s="20" t="n">
        <f aca="false">IF(X$5&lt;=$B60,X18,MAX(0,W60*(1+X$15)-MAX(0,-(W36*(1+X$16)+X$13))))</f>
        <v>2714901.60409414</v>
      </c>
      <c r="Y60" s="20" t="n">
        <f aca="false">IF(Y$5&lt;=$B60,Y18,MAX(0,X60*(1+Y$15)-MAX(0,-(X36*(1+Y$16)+Y$13))))</f>
        <v>2838429.62708042</v>
      </c>
      <c r="Z60" s="20" t="n">
        <f aca="false">IF(Z$5&lt;=$B60,Z18,MAX(0,Y60*(1+Z$15)-MAX(0,-(Y36*(1+Z$16)+Z$13))))</f>
        <v>2959062.88623134</v>
      </c>
      <c r="AA60" s="20" t="n">
        <f aca="false">IF(AA$5&lt;=$B60,AA18,MAX(0,Z60*(1+AA$15)-MAX(0,-(Z36*(1+AA$16)+AA$13))))</f>
        <v>3075945.87023748</v>
      </c>
      <c r="AB60" s="20" t="n">
        <f aca="false">IF(AB$5&lt;=$B60,AB18,MAX(0,AA60*(1+AB$15)-MAX(0,-(AA36*(1+AB$16)+AB$13))))</f>
        <v>3188217.89450115</v>
      </c>
      <c r="AC60" s="20" t="n">
        <f aca="false">IF(AC$5&lt;=$B60,AC18,MAX(0,AB60*(1+AC$15)-MAX(0,-(AB36*(1+AC$16)+AC$13))))</f>
        <v>3295023.19396693</v>
      </c>
      <c r="AD60" s="20" t="n">
        <f aca="false">IF(AD$5&lt;=$B60,AD18,MAX(0,AC60*(1+AD$15)-MAX(0,-(AC36*(1+AD$16)+AD$13))))</f>
        <v>3395521.40138293</v>
      </c>
      <c r="AE60" s="20" t="n">
        <f aca="false">IF(AE$5&lt;=$B60,AE18,MAX(0,AD60*(1+AE$15)-MAX(0,-(AD36*(1+AE$16)+AE$13))))</f>
        <v>3488898.23992096</v>
      </c>
      <c r="AF60" s="20" t="n">
        <f aca="false">IF(AF$5&lt;=$B60,AF18,MAX(0,AE60*(1+AF$15)-MAX(0,-(AE36*(1+AF$16)+AF$13))))</f>
        <v>3574376.24679902</v>
      </c>
    </row>
    <row r="61" customFormat="false" ht="15" hidden="false" customHeight="true" outlineLevel="0" collapsed="false">
      <c r="B61" s="67" t="n">
        <v>2041</v>
      </c>
      <c r="C61" s="20" t="n">
        <f aca="false">C18</f>
        <v>302223.8</v>
      </c>
      <c r="D61" s="20" t="n">
        <f aca="false">IF(D$5&lt;=$B61,D18,MAX(0,C61*(1+D$15)-MAX(0,-(C37*(1+D$16)+D$13))))</f>
        <v>351383.704</v>
      </c>
      <c r="E61" s="20" t="n">
        <f aca="false">IF(E$5&lt;=$B61,E18,MAX(0,D61*(1+E$15)-MAX(0,-(D37*(1+E$16)+E$13))))</f>
        <v>419494.40032</v>
      </c>
      <c r="F61" s="20" t="n">
        <f aca="false">IF(F$5&lt;=$B61,F18,MAX(0,E61*(1+F$15)-MAX(0,-(E37*(1+F$16)+F$13))))</f>
        <v>493053.9523456</v>
      </c>
      <c r="G61" s="20" t="n">
        <f aca="false">IF(G$5&lt;=$B61,G18,MAX(0,F61*(1+G$15)-MAX(0,-(F37*(1+G$16)+G$13))))</f>
        <v>572498.268533248</v>
      </c>
      <c r="H61" s="20" t="n">
        <f aca="false">IF(H$5&lt;=$B61,H18,MAX(0,G61*(1+H$15)-MAX(0,-(G37*(1+H$16)+H$13))))</f>
        <v>659098.130015908</v>
      </c>
      <c r="I61" s="20" t="n">
        <f aca="false">IF(I$5&lt;=$B61,I18,MAX(0,H61*(1+I$15)-MAX(0,-(H37*(1+I$16)+I$13))))</f>
        <v>753441.98041718</v>
      </c>
      <c r="J61" s="20" t="n">
        <f aca="false">IF(J$5&lt;=$B61,J18,MAX(0,I61*(1+J$15)-MAX(0,-(I37*(1+J$16)+J$13))))</f>
        <v>856165.658850555</v>
      </c>
      <c r="K61" s="20" t="n">
        <f aca="false">IF(K$5&lt;=$B61,K18,MAX(0,J61*(1+K$15)-MAX(0,-(J37*(1+K$16)+K$13))))</f>
        <v>967956.197958599</v>
      </c>
      <c r="L61" s="20" t="n">
        <f aca="false">IF(L$5&lt;=$B61,L18,MAX(0,K61*(1+L$15)-MAX(0,-(K37*(1+L$16)+L$13))))</f>
        <v>1089555.92592329</v>
      </c>
      <c r="M61" s="20" t="n">
        <f aca="false">IF(M$5&lt;=$B61,M18,MAX(0,L61*(1+M$15)-MAX(0,-(L37*(1+M$16)+M$13))))</f>
        <v>1221766.89676771</v>
      </c>
      <c r="N61" s="20" t="n">
        <f aca="false">IF(N$5&lt;=$B61,N18,MAX(0,M61*(1+N$15)-MAX(0,-(M37*(1+N$16)+N$13))))</f>
        <v>1363623.02486995</v>
      </c>
      <c r="O61" s="20" t="n">
        <f aca="false">IF(O$5&lt;=$B61,O18,MAX(0,N61*(1+O$15)-MAX(0,-(N37*(1+O$16)+O$13))))</f>
        <v>1513442.93848772</v>
      </c>
      <c r="P61" s="20" t="n">
        <f aca="false">IF(P$5&lt;=$B61,P18,MAX(0,O61*(1+P$15)-MAX(0,-(O37*(1+P$16)+P$13))))</f>
        <v>1670971.25427297</v>
      </c>
      <c r="Q61" s="20" t="n">
        <f aca="false">IF(Q$5&lt;=$B61,Q18,MAX(0,P61*(1+Q$15)-MAX(0,-(P37*(1+Q$16)+Q$13))))</f>
        <v>1835863.53324473</v>
      </c>
      <c r="R61" s="20" t="n">
        <f aca="false">IF(R$5&lt;=$B61,R18,MAX(0,Q61*(1+R$15)-MAX(0,-(Q37*(1+R$16)+R$13))))</f>
        <v>2007683.43054129</v>
      </c>
      <c r="S61" s="20" t="n">
        <f aca="false">IF(S$5&lt;=$B61,S18,MAX(0,R61*(1+S$15)-MAX(0,-(R37*(1+S$16)+S$13))))</f>
        <v>2135171.32838066</v>
      </c>
      <c r="T61" s="20" t="n">
        <f aca="false">IF(T$5&lt;=$B61,T18,MAX(0,S61*(1+T$15)-MAX(0,-(S37*(1+T$16)+T$13))))</f>
        <v>2264349.19374769</v>
      </c>
      <c r="U61" s="20" t="n">
        <f aca="false">IF(U$5&lt;=$B61,U18,MAX(0,T61*(1+U$15)-MAX(0,-(T37*(1+U$16)+U$13))))</f>
        <v>2394549.27238819</v>
      </c>
      <c r="V61" s="20" t="n">
        <f aca="false">IF(V$5&lt;=$B61,V18,MAX(0,U61*(1+V$15)-MAX(0,-(U37*(1+V$16)+V$13))))</f>
        <v>2525052.20773334</v>
      </c>
      <c r="W61" s="20" t="n">
        <f aca="false">IF(W$5&lt;=$B61,W18,MAX(0,V61*(1+W$15)-MAX(0,-(V37*(1+W$16)+W$13))))</f>
        <v>2655092.39643161</v>
      </c>
      <c r="X61" s="20" t="n">
        <f aca="false">IF(X$5&lt;=$B61,X18,MAX(0,W61*(1+X$15)-MAX(0,-(W37*(1+X$16)+X$13))))</f>
        <v>2783864.37765854</v>
      </c>
      <c r="Y61" s="20" t="n">
        <f aca="false">IF(Y$5&lt;=$B61,Y18,MAX(0,X61*(1+Y$15)-MAX(0,-(X37*(1+Y$16)+Y$13))))</f>
        <v>2910530.20684201</v>
      </c>
      <c r="Z61" s="20" t="n">
        <f aca="false">IF(Z$5&lt;=$B61,Z18,MAX(0,Y61*(1+Z$15)-MAX(0,-(Y37*(1+Z$16)+Z$13))))</f>
        <v>3034227.74063279</v>
      </c>
      <c r="AA61" s="20" t="n">
        <f aca="false">IF(AA$5&lt;=$B61,AA18,MAX(0,Z61*(1+AA$15)-MAX(0,-(Z37*(1+AA$16)+AA$13))))</f>
        <v>3154079.73638779</v>
      </c>
      <c r="AB61" s="20" t="n">
        <f aca="false">IF(AB$5&lt;=$B61,AB18,MAX(0,AA61*(1+AB$15)-MAX(0,-(AA37*(1+AB$16)+AB$13))))</f>
        <v>3269203.64676594</v>
      </c>
      <c r="AC61" s="20" t="n">
        <f aca="false">IF(AC$5&lt;=$B61,AC18,MAX(0,AB61*(1+AC$15)-MAX(0,-(AB37*(1+AC$16)+AC$13))))</f>
        <v>3378721.9689326</v>
      </c>
      <c r="AD61" s="20" t="n">
        <f aca="false">IF(AD$5&lt;=$B61,AD18,MAX(0,AC61*(1+AD$15)-MAX(0,-(AC37*(1+AD$16)+AD$13))))</f>
        <v>3481772.98898505</v>
      </c>
      <c r="AE61" s="20" t="n">
        <f aca="false">IF(AE$5&lt;=$B61,AE18,MAX(0,AD61*(1+AE$15)-MAX(0,-(AD37*(1+AE$16)+AE$13))))</f>
        <v>3577521.74618214</v>
      </c>
      <c r="AF61" s="20" t="n">
        <f aca="false">IF(AF$5&lt;=$B61,AF18,MAX(0,AE61*(1+AF$15)-MAX(0,-(AE37*(1+AF$16)+AF$13))))</f>
        <v>3665171.0289636</v>
      </c>
    </row>
    <row r="62" customFormat="false" ht="15" hidden="false" customHeight="true" outlineLevel="0" collapsed="false">
      <c r="B62" s="67" t="n">
        <v>2042</v>
      </c>
      <c r="C62" s="20" t="n">
        <f aca="false">C18</f>
        <v>302223.8</v>
      </c>
      <c r="D62" s="20" t="n">
        <f aca="false">IF(D$5&lt;=$B62,D18,MAX(0,C62*(1+D$15)-MAX(0,-(C38*(1+D$16)+D$13))))</f>
        <v>351383.704</v>
      </c>
      <c r="E62" s="20" t="n">
        <f aca="false">IF(E$5&lt;=$B62,E18,MAX(0,D62*(1+E$15)-MAX(0,-(D38*(1+E$16)+E$13))))</f>
        <v>419494.40032</v>
      </c>
      <c r="F62" s="20" t="n">
        <f aca="false">IF(F$5&lt;=$B62,F18,MAX(0,E62*(1+F$15)-MAX(0,-(E38*(1+F$16)+F$13))))</f>
        <v>493053.9523456</v>
      </c>
      <c r="G62" s="20" t="n">
        <f aca="false">IF(G$5&lt;=$B62,G18,MAX(0,F62*(1+G$15)-MAX(0,-(F38*(1+G$16)+G$13))))</f>
        <v>572498.268533248</v>
      </c>
      <c r="H62" s="20" t="n">
        <f aca="false">IF(H$5&lt;=$B62,H18,MAX(0,G62*(1+H$15)-MAX(0,-(G38*(1+H$16)+H$13))))</f>
        <v>659098.130015908</v>
      </c>
      <c r="I62" s="20" t="n">
        <f aca="false">IF(I$5&lt;=$B62,I18,MAX(0,H62*(1+I$15)-MAX(0,-(H38*(1+I$16)+I$13))))</f>
        <v>753441.98041718</v>
      </c>
      <c r="J62" s="20" t="n">
        <f aca="false">IF(J$5&lt;=$B62,J18,MAX(0,I62*(1+J$15)-MAX(0,-(I38*(1+J$16)+J$13))))</f>
        <v>856165.658850555</v>
      </c>
      <c r="K62" s="20" t="n">
        <f aca="false">IF(K$5&lt;=$B62,K18,MAX(0,J62*(1+K$15)-MAX(0,-(J38*(1+K$16)+K$13))))</f>
        <v>967956.197958599</v>
      </c>
      <c r="L62" s="20" t="n">
        <f aca="false">IF(L$5&lt;=$B62,L18,MAX(0,K62*(1+L$15)-MAX(0,-(K38*(1+L$16)+L$13))))</f>
        <v>1089555.92592329</v>
      </c>
      <c r="M62" s="20" t="n">
        <f aca="false">IF(M$5&lt;=$B62,M18,MAX(0,L62*(1+M$15)-MAX(0,-(L38*(1+M$16)+M$13))))</f>
        <v>1221766.89676771</v>
      </c>
      <c r="N62" s="20" t="n">
        <f aca="false">IF(N$5&lt;=$B62,N18,MAX(0,M62*(1+N$15)-MAX(0,-(M38*(1+N$16)+N$13))))</f>
        <v>1363623.02486995</v>
      </c>
      <c r="O62" s="20" t="n">
        <f aca="false">IF(O$5&lt;=$B62,O18,MAX(0,N62*(1+O$15)-MAX(0,-(N38*(1+O$16)+O$13))))</f>
        <v>1513442.93848772</v>
      </c>
      <c r="P62" s="20" t="n">
        <f aca="false">IF(P$5&lt;=$B62,P18,MAX(0,O62*(1+P$15)-MAX(0,-(O38*(1+P$16)+P$13))))</f>
        <v>1670971.25427297</v>
      </c>
      <c r="Q62" s="20" t="n">
        <f aca="false">IF(Q$5&lt;=$B62,Q18,MAX(0,P62*(1+Q$15)-MAX(0,-(P38*(1+Q$16)+Q$13))))</f>
        <v>1835863.53324473</v>
      </c>
      <c r="R62" s="20" t="n">
        <f aca="false">IF(R$5&lt;=$B62,R18,MAX(0,Q62*(1+R$15)-MAX(0,-(Q38*(1+R$16)+R$13))))</f>
        <v>2007683.43054129</v>
      </c>
      <c r="S62" s="20" t="n">
        <f aca="false">IF(S$5&lt;=$B62,S18,MAX(0,R62*(1+S$15)-MAX(0,-(R38*(1+S$16)+S$13))))</f>
        <v>2185901.00016317</v>
      </c>
      <c r="T62" s="20" t="n">
        <f aca="false">IF(T$5&lt;=$B62,T18,MAX(0,S62*(1+T$15)-MAX(0,-(S38*(1+T$16)+T$13))))</f>
        <v>2318148.01067304</v>
      </c>
      <c r="U62" s="20" t="n">
        <f aca="false">IF(U$5&lt;=$B62,U18,MAX(0,T62*(1+U$15)-MAX(0,-(T38*(1+U$16)+U$13))))</f>
        <v>2451441.52128674</v>
      </c>
      <c r="V62" s="20" t="n">
        <f aca="false">IF(V$5&lt;=$B62,V18,MAX(0,U62*(1+V$15)-MAX(0,-(U38*(1+V$16)+V$13))))</f>
        <v>2585045.08419686</v>
      </c>
      <c r="W62" s="20" t="n">
        <f aca="false">IF(W$5&lt;=$B62,W18,MAX(0,V62*(1+W$15)-MAX(0,-(V38*(1+W$16)+W$13))))</f>
        <v>2718174.906033</v>
      </c>
      <c r="X62" s="20" t="n">
        <f aca="false">IF(X$5&lt;=$B62,X18,MAX(0,W62*(1+X$15)-MAX(0,-(W38*(1+X$16)+X$13))))</f>
        <v>2850006.3889756</v>
      </c>
      <c r="Y62" s="20" t="n">
        <f aca="false">IF(Y$5&lt;=$B62,Y18,MAX(0,X62*(1+Y$15)-MAX(0,-(X38*(1+Y$16)+Y$13))))</f>
        <v>2979681.67967399</v>
      </c>
      <c r="Z62" s="20" t="n">
        <f aca="false">IF(Z$5&lt;=$B62,Z18,MAX(0,Y62*(1+Z$15)-MAX(0,-(Y38*(1+Z$16)+Z$13))))</f>
        <v>3106318.15106014</v>
      </c>
      <c r="AA62" s="20" t="n">
        <f aca="false">IF(AA$5&lt;=$B62,AA18,MAX(0,Z62*(1+AA$15)-MAX(0,-(Z38*(1+AA$16)+AA$13))))</f>
        <v>3229017.71802701</v>
      </c>
      <c r="AB62" s="20" t="n">
        <f aca="false">IF(AB$5&lt;=$B62,AB18,MAX(0,AA62*(1+AB$15)-MAX(0,-(AA38*(1+AB$16)+AB$13))))</f>
        <v>3346876.864735</v>
      </c>
      <c r="AC62" s="20" t="n">
        <f aca="false">IF(AC$5&lt;=$B62,AC18,MAX(0,AB62*(1+AC$15)-MAX(0,-(AB38*(1+AC$16)+AC$13))))</f>
        <v>3458997.23970362</v>
      </c>
      <c r="AD62" s="20" t="n">
        <f aca="false">IF(AD$5&lt;=$B62,AD18,MAX(0,AC62*(1+AD$15)-MAX(0,-(AC38*(1+AD$16)+AD$13))))</f>
        <v>3564496.65551458</v>
      </c>
      <c r="AE62" s="20" t="n">
        <f aca="false">IF(AE$5&lt;=$B62,AE18,MAX(0,AD62*(1+AE$15)-MAX(0,-(AD38*(1+AE$16)+AE$13))))</f>
        <v>3662520.31354124</v>
      </c>
      <c r="AF62" s="20" t="n">
        <f aca="false">IF(AF$5&lt;=$B62,AF18,MAX(0,AE62*(1+AF$15)-MAX(0,-(AE38*(1+AF$16)+AF$13))))</f>
        <v>3752252.061223</v>
      </c>
    </row>
    <row r="63" customFormat="false" ht="15" hidden="false" customHeight="true" outlineLevel="0" collapsed="false">
      <c r="B63" s="67" t="n">
        <v>2043</v>
      </c>
      <c r="C63" s="20" t="n">
        <f aca="false">C18</f>
        <v>302223.8</v>
      </c>
      <c r="D63" s="20" t="n">
        <f aca="false">IF(D$5&lt;=$B63,D18,MAX(0,C63*(1+D$15)-MAX(0,-(C39*(1+D$16)+D$13))))</f>
        <v>351383.704</v>
      </c>
      <c r="E63" s="20" t="n">
        <f aca="false">IF(E$5&lt;=$B63,E18,MAX(0,D63*(1+E$15)-MAX(0,-(D39*(1+E$16)+E$13))))</f>
        <v>419494.40032</v>
      </c>
      <c r="F63" s="20" t="n">
        <f aca="false">IF(F$5&lt;=$B63,F18,MAX(0,E63*(1+F$15)-MAX(0,-(E39*(1+F$16)+F$13))))</f>
        <v>493053.9523456</v>
      </c>
      <c r="G63" s="20" t="n">
        <f aca="false">IF(G$5&lt;=$B63,G18,MAX(0,F63*(1+G$15)-MAX(0,-(F39*(1+G$16)+G$13))))</f>
        <v>572498.268533248</v>
      </c>
      <c r="H63" s="20" t="n">
        <f aca="false">IF(H$5&lt;=$B63,H18,MAX(0,G63*(1+H$15)-MAX(0,-(G39*(1+H$16)+H$13))))</f>
        <v>659098.130015908</v>
      </c>
      <c r="I63" s="20" t="n">
        <f aca="false">IF(I$5&lt;=$B63,I18,MAX(0,H63*(1+I$15)-MAX(0,-(H39*(1+I$16)+I$13))))</f>
        <v>753441.98041718</v>
      </c>
      <c r="J63" s="20" t="n">
        <f aca="false">IF(J$5&lt;=$B63,J18,MAX(0,I63*(1+J$15)-MAX(0,-(I39*(1+J$16)+J$13))))</f>
        <v>856165.658850555</v>
      </c>
      <c r="K63" s="20" t="n">
        <f aca="false">IF(K$5&lt;=$B63,K18,MAX(0,J63*(1+K$15)-MAX(0,-(J39*(1+K$16)+K$13))))</f>
        <v>967956.197958599</v>
      </c>
      <c r="L63" s="20" t="n">
        <f aca="false">IF(L$5&lt;=$B63,L18,MAX(0,K63*(1+L$15)-MAX(0,-(K39*(1+L$16)+L$13))))</f>
        <v>1089555.92592329</v>
      </c>
      <c r="M63" s="20" t="n">
        <f aca="false">IF(M$5&lt;=$B63,M18,MAX(0,L63*(1+M$15)-MAX(0,-(L39*(1+M$16)+M$13))))</f>
        <v>1221766.89676771</v>
      </c>
      <c r="N63" s="20" t="n">
        <f aca="false">IF(N$5&lt;=$B63,N18,MAX(0,M63*(1+N$15)-MAX(0,-(M39*(1+N$16)+N$13))))</f>
        <v>1363623.02486995</v>
      </c>
      <c r="O63" s="20" t="n">
        <f aca="false">IF(O$5&lt;=$B63,O18,MAX(0,N63*(1+O$15)-MAX(0,-(N39*(1+O$16)+O$13))))</f>
        <v>1513442.93848772</v>
      </c>
      <c r="P63" s="20" t="n">
        <f aca="false">IF(P$5&lt;=$B63,P18,MAX(0,O63*(1+P$15)-MAX(0,-(O39*(1+P$16)+P$13))))</f>
        <v>1670971.25427297</v>
      </c>
      <c r="Q63" s="20" t="n">
        <f aca="false">IF(Q$5&lt;=$B63,Q18,MAX(0,P63*(1+Q$15)-MAX(0,-(P39*(1+Q$16)+Q$13))))</f>
        <v>1835863.53324473</v>
      </c>
      <c r="R63" s="20" t="n">
        <f aca="false">IF(R$5&lt;=$B63,R18,MAX(0,Q63*(1+R$15)-MAX(0,-(Q39*(1+R$16)+R$13))))</f>
        <v>2007683.43054129</v>
      </c>
      <c r="S63" s="20" t="n">
        <f aca="false">IF(S$5&lt;=$B63,S18,MAX(0,R63*(1+S$15)-MAX(0,-(R39*(1+S$16)+S$13))))</f>
        <v>2185901.00016317</v>
      </c>
      <c r="T63" s="20" t="n">
        <f aca="false">IF(T$5&lt;=$B63,T18,MAX(0,S63*(1+T$15)-MAX(0,-(S39*(1+T$16)+T$13))))</f>
        <v>2369892.27589119</v>
      </c>
      <c r="U63" s="20" t="n">
        <f aca="false">IF(U$5&lt;=$B63,U18,MAX(0,T63*(1+U$15)-MAX(0,-(T39*(1+U$16)+U$13))))</f>
        <v>2506161.08175493</v>
      </c>
      <c r="V63" s="20" t="n">
        <f aca="false">IF(V$5&lt;=$B63,V18,MAX(0,U63*(1+V$15)-MAX(0,-(U39*(1+V$16)+V$13))))</f>
        <v>2642746.86071058</v>
      </c>
      <c r="W63" s="20" t="n">
        <f aca="false">IF(W$5&lt;=$B63,W18,MAX(0,V63*(1+W$15)-MAX(0,-(V39*(1+W$16)+W$13))))</f>
        <v>2778848.32403717</v>
      </c>
      <c r="X63" s="20" t="n">
        <f aca="false">IF(X$5&lt;=$B63,X18,MAX(0,W63*(1+X$15)-MAX(0,-(W39*(1+X$16)+X$13))))</f>
        <v>2913622.46775297</v>
      </c>
      <c r="Y63" s="20" t="n">
        <f aca="false">IF(Y$5&lt;=$B63,Y18,MAX(0,X63*(1+Y$15)-MAX(0,-(X39*(1+Y$16)+Y$13))))</f>
        <v>3046192.29003573</v>
      </c>
      <c r="Z63" s="20" t="n">
        <f aca="false">IF(Z$5&lt;=$B63,Z18,MAX(0,Y63*(1+Z$15)-MAX(0,-(Y39*(1+Z$16)+Z$13))))</f>
        <v>3175655.46236225</v>
      </c>
      <c r="AA63" s="20" t="n">
        <f aca="false">IF(AA$5&lt;=$B63,AA18,MAX(0,Z63*(1+AA$15)-MAX(0,-(Z39*(1+AA$16)+AA$13))))</f>
        <v>3301093.85312556</v>
      </c>
      <c r="AB63" s="20" t="n">
        <f aca="false">IF(AB$5&lt;=$B63,AB18,MAX(0,AA63*(1+AB$15)-MAX(0,-(AA39*(1+AB$16)+AB$13))))</f>
        <v>3421583.77876465</v>
      </c>
      <c r="AC63" s="20" t="n">
        <f aca="false">IF(AC$5&lt;=$B63,AC18,MAX(0,AB63*(1+AC$15)-MAX(0,-(AB39*(1+AC$16)+AC$13))))</f>
        <v>3536206.83535326</v>
      </c>
      <c r="AD63" s="20" t="n">
        <f aca="false">IF(AD$5&lt;=$B63,AD18,MAX(0,AC63*(1+AD$15)-MAX(0,-(AC39*(1+AD$16)+AD$13))))</f>
        <v>3644061.14383154</v>
      </c>
      <c r="AE63" s="20" t="n">
        <f aca="false">IF(AE$5&lt;=$B63,AE18,MAX(0,AD63*(1+AE$15)-MAX(0,-(AD39*(1+AE$16)+AE$13))))</f>
        <v>3744272.8252869</v>
      </c>
      <c r="AF63" s="20" t="n">
        <f aca="false">IF(AF$5&lt;=$B63,AF18,MAX(0,AE63*(1+AF$15)-MAX(0,-(AE39*(1+AF$16)+AF$13))))</f>
        <v>3836007.50950643</v>
      </c>
    </row>
    <row r="64" customFormat="false" ht="15" hidden="false" customHeight="true" outlineLevel="0" collapsed="false">
      <c r="B64" s="67" t="n">
        <v>2044</v>
      </c>
      <c r="C64" s="20" t="n">
        <f aca="false">C18</f>
        <v>302223.8</v>
      </c>
      <c r="D64" s="20" t="n">
        <f aca="false">IF(D$5&lt;=$B64,D18,MAX(0,C64*(1+D$15)-MAX(0,-(C40*(1+D$16)+D$13))))</f>
        <v>351383.704</v>
      </c>
      <c r="E64" s="20" t="n">
        <f aca="false">IF(E$5&lt;=$B64,E18,MAX(0,D64*(1+E$15)-MAX(0,-(D40*(1+E$16)+E$13))))</f>
        <v>419494.40032</v>
      </c>
      <c r="F64" s="20" t="n">
        <f aca="false">IF(F$5&lt;=$B64,F18,MAX(0,E64*(1+F$15)-MAX(0,-(E40*(1+F$16)+F$13))))</f>
        <v>493053.9523456</v>
      </c>
      <c r="G64" s="20" t="n">
        <f aca="false">IF(G$5&lt;=$B64,G18,MAX(0,F64*(1+G$15)-MAX(0,-(F40*(1+G$16)+G$13))))</f>
        <v>572498.268533248</v>
      </c>
      <c r="H64" s="20" t="n">
        <f aca="false">IF(H$5&lt;=$B64,H18,MAX(0,G64*(1+H$15)-MAX(0,-(G40*(1+H$16)+H$13))))</f>
        <v>659098.130015908</v>
      </c>
      <c r="I64" s="20" t="n">
        <f aca="false">IF(I$5&lt;=$B64,I18,MAX(0,H64*(1+I$15)-MAX(0,-(H40*(1+I$16)+I$13))))</f>
        <v>753441.98041718</v>
      </c>
      <c r="J64" s="20" t="n">
        <f aca="false">IF(J$5&lt;=$B64,J18,MAX(0,I64*(1+J$15)-MAX(0,-(I40*(1+J$16)+J$13))))</f>
        <v>856165.658850555</v>
      </c>
      <c r="K64" s="20" t="n">
        <f aca="false">IF(K$5&lt;=$B64,K18,MAX(0,J64*(1+K$15)-MAX(0,-(J40*(1+K$16)+K$13))))</f>
        <v>967956.197958599</v>
      </c>
      <c r="L64" s="20" t="n">
        <f aca="false">IF(L$5&lt;=$B64,L18,MAX(0,K64*(1+L$15)-MAX(0,-(K40*(1+L$16)+L$13))))</f>
        <v>1089555.92592329</v>
      </c>
      <c r="M64" s="20" t="n">
        <f aca="false">IF(M$5&lt;=$B64,M18,MAX(0,L64*(1+M$15)-MAX(0,-(L40*(1+M$16)+M$13))))</f>
        <v>1221766.89676771</v>
      </c>
      <c r="N64" s="20" t="n">
        <f aca="false">IF(N$5&lt;=$B64,N18,MAX(0,M64*(1+N$15)-MAX(0,-(M40*(1+N$16)+N$13))))</f>
        <v>1363623.02486995</v>
      </c>
      <c r="O64" s="20" t="n">
        <f aca="false">IF(O$5&lt;=$B64,O18,MAX(0,N64*(1+O$15)-MAX(0,-(N40*(1+O$16)+O$13))))</f>
        <v>1513442.93848772</v>
      </c>
      <c r="P64" s="20" t="n">
        <f aca="false">IF(P$5&lt;=$B64,P18,MAX(0,O64*(1+P$15)-MAX(0,-(O40*(1+P$16)+P$13))))</f>
        <v>1670971.25427297</v>
      </c>
      <c r="Q64" s="20" t="n">
        <f aca="false">IF(Q$5&lt;=$B64,Q18,MAX(0,P64*(1+Q$15)-MAX(0,-(P40*(1+Q$16)+Q$13))))</f>
        <v>1835863.53324473</v>
      </c>
      <c r="R64" s="20" t="n">
        <f aca="false">IF(R$5&lt;=$B64,R18,MAX(0,Q64*(1+R$15)-MAX(0,-(Q40*(1+R$16)+R$13))))</f>
        <v>2007683.43054129</v>
      </c>
      <c r="S64" s="20" t="n">
        <f aca="false">IF(S$5&lt;=$B64,S18,MAX(0,R64*(1+S$15)-MAX(0,-(R40*(1+S$16)+S$13))))</f>
        <v>2185901.00016317</v>
      </c>
      <c r="T64" s="20" t="n">
        <f aca="false">IF(T$5&lt;=$B64,T18,MAX(0,S64*(1+T$15)-MAX(0,-(S40*(1+T$16)+T$13))))</f>
        <v>2369892.27589119</v>
      </c>
      <c r="U64" s="20" t="n">
        <f aca="false">IF(U$5&lt;=$B64,U18,MAX(0,T64*(1+U$15)-MAX(0,-(T40*(1+U$16)+U$13))))</f>
        <v>2558940.23227745</v>
      </c>
      <c r="V64" s="20" t="n">
        <f aca="false">IF(V$5&lt;=$B64,V18,MAX(0,U64*(1+V$15)-MAX(0,-(U40*(1+V$16)+V$13))))</f>
        <v>2698402.47493657</v>
      </c>
      <c r="W64" s="20" t="n">
        <f aca="false">IF(W$5&lt;=$B64,W18,MAX(0,V64*(1+W$15)-MAX(0,-(V40*(1+W$16)+W$13))))</f>
        <v>2837370.2023958</v>
      </c>
      <c r="X64" s="20" t="n">
        <f aca="false">IF(X$5&lt;=$B64,X18,MAX(0,W64*(1+X$15)-MAX(0,-(W40*(1+X$16)+X$13))))</f>
        <v>2974982.657212</v>
      </c>
      <c r="Y64" s="20" t="n">
        <f aca="false">IF(Y$5&lt;=$B64,Y18,MAX(0,X64*(1+Y$15)-MAX(0,-(X40*(1+Y$16)+Y$13))))</f>
        <v>3110344.36811514</v>
      </c>
      <c r="Z64" s="20" t="n">
        <f aca="false">IF(Z$5&lt;=$B64,Z18,MAX(0,Y64*(1+Z$15)-MAX(0,-(Y40*(1+Z$16)+Z$13))))</f>
        <v>3242534.00376004</v>
      </c>
      <c r="AA64" s="20" t="n">
        <f aca="false">IF(AA$5&lt;=$B64,AA18,MAX(0,Z64*(1+AA$15)-MAX(0,-(Z40*(1+AA$16)+AA$13))))</f>
        <v>3370614.09690856</v>
      </c>
      <c r="AB64" s="20" t="n">
        <f aca="false">IF(AB$5&lt;=$B64,AB18,MAX(0,AA64*(1+AB$15)-MAX(0,-(AA40*(1+AB$16)+AB$13))))</f>
        <v>3493641.51144572</v>
      </c>
      <c r="AC64" s="20" t="n">
        <f aca="false">IF(AC$5&lt;=$B64,AC18,MAX(0,AB64*(1+AC$15)-MAX(0,-(AB40*(1+AC$16)+AC$13))))</f>
        <v>3610678.50207915</v>
      </c>
      <c r="AD64" s="20" t="n">
        <f aca="false">IF(AD$5&lt;=$B64,AD18,MAX(0,AC64*(1+AD$15)-MAX(0,-(AC40*(1+AD$16)+AD$13))))</f>
        <v>3720804.19639257</v>
      </c>
      <c r="AE64" s="20" t="n">
        <f aca="false">IF(AE$5&lt;=$B64,AE18,MAX(0,AD64*(1+AE$15)-MAX(0,-(AD40*(1+AE$16)+AE$13))))</f>
        <v>3823126.31179336</v>
      </c>
      <c r="AF64" s="20" t="n">
        <f aca="false">IF(AF$5&lt;=$B64,AF18,MAX(0,AE64*(1+AF$15)-MAX(0,-(AE40*(1+AF$16)+AF$13))))</f>
        <v>3916792.9064323</v>
      </c>
    </row>
    <row r="65" customFormat="false" ht="15" hidden="false" customHeight="true" outlineLevel="0" collapsed="false">
      <c r="B65" s="67" t="n">
        <v>2045</v>
      </c>
      <c r="C65" s="20" t="n">
        <f aca="false">C18</f>
        <v>302223.8</v>
      </c>
      <c r="D65" s="20" t="n">
        <f aca="false">IF(D$5&lt;=$B65,D18,MAX(0,C65*(1+D$15)-MAX(0,-(C41*(1+D$16)+D$13))))</f>
        <v>351383.704</v>
      </c>
      <c r="E65" s="20" t="n">
        <f aca="false">IF(E$5&lt;=$B65,E18,MAX(0,D65*(1+E$15)-MAX(0,-(D41*(1+E$16)+E$13))))</f>
        <v>419494.40032</v>
      </c>
      <c r="F65" s="20" t="n">
        <f aca="false">IF(F$5&lt;=$B65,F18,MAX(0,E65*(1+F$15)-MAX(0,-(E41*(1+F$16)+F$13))))</f>
        <v>493053.9523456</v>
      </c>
      <c r="G65" s="20" t="n">
        <f aca="false">IF(G$5&lt;=$B65,G18,MAX(0,F65*(1+G$15)-MAX(0,-(F41*(1+G$16)+G$13))))</f>
        <v>572498.268533248</v>
      </c>
      <c r="H65" s="20" t="n">
        <f aca="false">IF(H$5&lt;=$B65,H18,MAX(0,G65*(1+H$15)-MAX(0,-(G41*(1+H$16)+H$13))))</f>
        <v>659098.130015908</v>
      </c>
      <c r="I65" s="20" t="n">
        <f aca="false">IF(I$5&lt;=$B65,I18,MAX(0,H65*(1+I$15)-MAX(0,-(H41*(1+I$16)+I$13))))</f>
        <v>753441.98041718</v>
      </c>
      <c r="J65" s="20" t="n">
        <f aca="false">IF(J$5&lt;=$B65,J18,MAX(0,I65*(1+J$15)-MAX(0,-(I41*(1+J$16)+J$13))))</f>
        <v>856165.658850555</v>
      </c>
      <c r="K65" s="20" t="n">
        <f aca="false">IF(K$5&lt;=$B65,K18,MAX(0,J65*(1+K$15)-MAX(0,-(J41*(1+K$16)+K$13))))</f>
        <v>967956.197958599</v>
      </c>
      <c r="L65" s="20" t="n">
        <f aca="false">IF(L$5&lt;=$B65,L18,MAX(0,K65*(1+L$15)-MAX(0,-(K41*(1+L$16)+L$13))))</f>
        <v>1089555.92592329</v>
      </c>
      <c r="M65" s="20" t="n">
        <f aca="false">IF(M$5&lt;=$B65,M18,MAX(0,L65*(1+M$15)-MAX(0,-(L41*(1+M$16)+M$13))))</f>
        <v>1221766.89676771</v>
      </c>
      <c r="N65" s="20" t="n">
        <f aca="false">IF(N$5&lt;=$B65,N18,MAX(0,M65*(1+N$15)-MAX(0,-(M41*(1+N$16)+N$13))))</f>
        <v>1363623.02486995</v>
      </c>
      <c r="O65" s="20" t="n">
        <f aca="false">IF(O$5&lt;=$B65,O18,MAX(0,N65*(1+O$15)-MAX(0,-(N41*(1+O$16)+O$13))))</f>
        <v>1513442.93848772</v>
      </c>
      <c r="P65" s="20" t="n">
        <f aca="false">IF(P$5&lt;=$B65,P18,MAX(0,O65*(1+P$15)-MAX(0,-(O41*(1+P$16)+P$13))))</f>
        <v>1670971.25427297</v>
      </c>
      <c r="Q65" s="20" t="n">
        <f aca="false">IF(Q$5&lt;=$B65,Q18,MAX(0,P65*(1+Q$15)-MAX(0,-(P41*(1+Q$16)+Q$13))))</f>
        <v>1835863.53324473</v>
      </c>
      <c r="R65" s="20" t="n">
        <f aca="false">IF(R$5&lt;=$B65,R18,MAX(0,Q65*(1+R$15)-MAX(0,-(Q41*(1+R$16)+R$13))))</f>
        <v>2007683.43054129</v>
      </c>
      <c r="S65" s="20" t="n">
        <f aca="false">IF(S$5&lt;=$B65,S18,MAX(0,R65*(1+S$15)-MAX(0,-(R41*(1+S$16)+S$13))))</f>
        <v>2185901.00016317</v>
      </c>
      <c r="T65" s="20" t="n">
        <f aca="false">IF(T$5&lt;=$B65,T18,MAX(0,S65*(1+T$15)-MAX(0,-(S41*(1+T$16)+T$13))))</f>
        <v>2369892.27589119</v>
      </c>
      <c r="U65" s="20" t="n">
        <f aca="false">IF(U$5&lt;=$B65,U18,MAX(0,T65*(1+U$15)-MAX(0,-(T41*(1+U$16)+U$13))))</f>
        <v>2558940.23227745</v>
      </c>
      <c r="V65" s="20" t="n">
        <f aca="false">IF(V$5&lt;=$B65,V18,MAX(0,U65*(1+V$15)-MAX(0,-(U41*(1+V$16)+V$13))))</f>
        <v>2752237.20846953</v>
      </c>
      <c r="W65" s="20" t="n">
        <f aca="false">IF(W$5&lt;=$B65,W18,MAX(0,V65*(1+W$15)-MAX(0,-(V41*(1+W$16)+W$13))))</f>
        <v>2893977.42470571</v>
      </c>
      <c r="X65" s="20" t="n">
        <f aca="false">IF(X$5&lt;=$B65,X18,MAX(0,W65*(1+X$15)-MAX(0,-(W41*(1+X$16)+X$13))))</f>
        <v>3034335.32980394</v>
      </c>
      <c r="Y65" s="20" t="n">
        <f aca="false">IF(Y$5&lt;=$B65,Y18,MAX(0,X65*(1+Y$15)-MAX(0,-(X41*(1+Y$16)+Y$13))))</f>
        <v>3172397.58731002</v>
      </c>
      <c r="Z65" s="20" t="n">
        <f aca="false">IF(Z$5&lt;=$B65,Z18,MAX(0,Y65*(1+Z$15)-MAX(0,-(Y41*(1+Z$16)+Z$13))))</f>
        <v>3307224.4847707</v>
      </c>
      <c r="AA65" s="20" t="n">
        <f aca="false">IF(AA$5&lt;=$B65,AA18,MAX(0,Z65*(1+AA$15)-MAX(0,-(Z41*(1+AA$16)+AA$13))))</f>
        <v>3437859.85191914</v>
      </c>
      <c r="AB65" s="20" t="n">
        <f aca="false">IF(AB$5&lt;=$B65,AB18,MAX(0,AA65*(1+AB$15)-MAX(0,-(AA41*(1+AB$16)+AB$13))))</f>
        <v>3563341.73651419</v>
      </c>
      <c r="AC65" s="20" t="n">
        <f aca="false">IF(AC$5&lt;=$B65,AC18,MAX(0,AB65*(1+AC$15)-MAX(0,-(AB41*(1+AC$16)+AC$13))))</f>
        <v>3682713.68468741</v>
      </c>
      <c r="AD65" s="20" t="n">
        <f aca="false">IF(AD$5&lt;=$B65,AD18,MAX(0,AC65*(1+AD$15)-MAX(0,-(AC41*(1+AD$16)+AD$13))))</f>
        <v>3795036.45207038</v>
      </c>
      <c r="AE65" s="20" t="n">
        <f aca="false">IF(AE$5&lt;=$B65,AE18,MAX(0,AD65*(1+AE$15)-MAX(0,-(AD41*(1+AE$16)+AE$13))))</f>
        <v>3899399.95450232</v>
      </c>
      <c r="AF65" s="20" t="n">
        <f aca="false">IF(AF$5&lt;=$B65,AF18,MAX(0,AE65*(1+AF$15)-MAX(0,-(AE41*(1+AF$16)+AF$13))))</f>
        <v>3994935.25338762</v>
      </c>
    </row>
    <row r="68" customFormat="false" ht="15" hidden="false" customHeight="true" outlineLevel="0" collapsed="false">
      <c r="A68" s="30" t="s">
        <v>496</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customFormat="false" ht="15" hidden="false" customHeight="true" outlineLevel="0" collapsed="false">
      <c r="B69" s="16" t="s">
        <v>101</v>
      </c>
      <c r="C69" s="31" t="n">
        <v>2026</v>
      </c>
      <c r="D69" s="31" t="n">
        <v>2027</v>
      </c>
      <c r="E69" s="31" t="n">
        <v>2028</v>
      </c>
      <c r="F69" s="31" t="n">
        <v>2029</v>
      </c>
      <c r="G69" s="31" t="n">
        <v>2030</v>
      </c>
      <c r="H69" s="31" t="n">
        <v>2031</v>
      </c>
      <c r="I69" s="31" t="n">
        <v>2032</v>
      </c>
      <c r="J69" s="31" t="n">
        <v>2033</v>
      </c>
      <c r="K69" s="31" t="n">
        <v>2034</v>
      </c>
      <c r="L69" s="31" t="n">
        <v>2035</v>
      </c>
      <c r="M69" s="31" t="n">
        <v>2036</v>
      </c>
      <c r="N69" s="31" t="n">
        <v>2037</v>
      </c>
      <c r="O69" s="31" t="n">
        <v>2038</v>
      </c>
      <c r="P69" s="31" t="n">
        <v>2039</v>
      </c>
      <c r="Q69" s="31" t="n">
        <v>2040</v>
      </c>
      <c r="R69" s="31" t="n">
        <v>2041</v>
      </c>
      <c r="S69" s="31" t="n">
        <v>2042</v>
      </c>
      <c r="T69" s="31" t="n">
        <v>2043</v>
      </c>
      <c r="U69" s="31" t="n">
        <v>2044</v>
      </c>
      <c r="V69" s="31" t="n">
        <v>2045</v>
      </c>
      <c r="W69" s="31" t="n">
        <v>2046</v>
      </c>
      <c r="X69" s="31" t="n">
        <v>2047</v>
      </c>
      <c r="Y69" s="31" t="n">
        <v>2048</v>
      </c>
      <c r="Z69" s="31" t="n">
        <v>2049</v>
      </c>
      <c r="AA69" s="31" t="n">
        <v>2050</v>
      </c>
      <c r="AB69" s="31" t="n">
        <v>2051</v>
      </c>
      <c r="AC69" s="31" t="n">
        <v>2052</v>
      </c>
      <c r="AD69" s="31" t="n">
        <v>2053</v>
      </c>
      <c r="AE69" s="31" t="n">
        <v>2054</v>
      </c>
      <c r="AF69" s="31" t="n">
        <v>2055</v>
      </c>
    </row>
    <row r="70" customFormat="false" ht="15" hidden="false" customHeight="true" outlineLevel="0" collapsed="false">
      <c r="B70" s="67" t="n">
        <v>2026</v>
      </c>
      <c r="C70" s="20" t="n">
        <f aca="false">IF(OR(C$5&lt;=$B70,C$5&gt;Assumptions!$C$109),1000000000000,C22+C46-C$14)</f>
        <v>1000000000000</v>
      </c>
      <c r="D70" s="20" t="n">
        <f aca="false">IF(OR(D$5&lt;=$B70,D$5&gt;Assumptions!$C$109),1000000000000,D22+D46-D$14)</f>
        <v>148825.104</v>
      </c>
      <c r="E70" s="20" t="n">
        <f aca="false">IF(OR(E$5&lt;=$B70,E$5&gt;Assumptions!$C$109),1000000000000,E22+E46-E$14)</f>
        <v>140511.83232</v>
      </c>
      <c r="F70" s="20" t="n">
        <f aca="false">IF(OR(F$5&lt;=$B70,F$5&gt;Assumptions!$C$109),1000000000000,F22+F46-F$14)</f>
        <v>169114.2109056</v>
      </c>
      <c r="G70" s="20" t="n">
        <f aca="false">IF(OR(G$5&lt;=$B70,G$5&gt;Assumptions!$C$109),1000000000000,G22+G46-G$14)</f>
        <v>183740.084322048</v>
      </c>
      <c r="H70" s="20" t="n">
        <f aca="false">IF(OR(H$5&lt;=$B70,H$5&gt;Assumptions!$C$109),1000000000000,H22+H46-H$14)</f>
        <v>199737.962342692</v>
      </c>
      <c r="I70" s="20" t="n">
        <f aca="false">IF(OR(I$5&lt;=$B70,I$5&gt;Assumptions!$C$109),1000000000000,I22+I46-I$14)</f>
        <v>226221.644030485</v>
      </c>
      <c r="J70" s="20" t="n">
        <f aca="false">IF(OR(J$5&lt;=$B70,J$5&gt;Assumptions!$C$109),1000000000000,J22+J46-J$14)</f>
        <v>254972.614552147</v>
      </c>
      <c r="K70" s="20" t="n">
        <f aca="false">IF(OR(K$5&lt;=$B70,K$5&gt;Assumptions!$C$109),1000000000000,K22+K46-K$14)</f>
        <v>330021.293308012</v>
      </c>
      <c r="L70" s="20" t="n">
        <f aca="false">IF(OR(L$5&lt;=$B70,L$5&gt;Assumptions!$C$109),1000000000000,L22+L46-L$14)</f>
        <v>388089.221667639</v>
      </c>
      <c r="M70" s="20" t="n">
        <f aca="false">IF(OR(M$5&lt;=$B70,M$5&gt;Assumptions!$C$109),1000000000000,M22+M46-M$14)</f>
        <v>451011.369220214</v>
      </c>
      <c r="N70" s="20" t="n">
        <f aca="false">IF(OR(N$5&lt;=$B70,N$5&gt;Assumptions!$C$109),1000000000000,N22+N46-N$14)</f>
        <v>518333.569560054</v>
      </c>
      <c r="O70" s="20" t="n">
        <f aca="false">IF(OR(O$5&lt;=$B70,O$5&gt;Assumptions!$C$109),1000000000000,O22+O46-O$14)</f>
        <v>589253.710906395</v>
      </c>
      <c r="P70" s="20" t="n">
        <f aca="false">IF(OR(P$5&lt;=$B70,P$5&gt;Assumptions!$C$109),1000000000000,P22+P46-P$14)</f>
        <v>663595.649226256</v>
      </c>
      <c r="Q70" s="20" t="n">
        <f aca="false">IF(OR(Q$5&lt;=$B70,Q$5&gt;Assumptions!$C$109),1000000000000,Q22+Q46-Q$14)</f>
        <v>741139.417354089</v>
      </c>
      <c r="R70" s="20" t="n">
        <f aca="false">IF(OR(R$5&lt;=$B70,R$5&gt;Assumptions!$C$109),1000000000000,R22+R46-R$14)</f>
        <v>821620.778199868</v>
      </c>
      <c r="S70" s="20" t="n">
        <f aca="false">IF(OR(S$5&lt;=$B70,S$5&gt;Assumptions!$C$109),1000000000000,S22+S46-S$14)</f>
        <v>904731.414570914</v>
      </c>
      <c r="T70" s="20" t="n">
        <f aca="false">IF(OR(T$5&lt;=$B70,T$5&gt;Assumptions!$C$109),1000000000000,T22+T46-T$14)</f>
        <v>990119.7971713</v>
      </c>
      <c r="U70" s="20" t="n">
        <f aca="false">IF(OR(U$5&lt;=$B70,U$5&gt;Assumptions!$C$109),1000000000000,U22+U46-U$14)</f>
        <v>1077392.76099677</v>
      </c>
      <c r="V70" s="20" t="n">
        <f aca="false">IF(OR(V$5&lt;=$B70,V$5&gt;Assumptions!$C$109),1000000000000,V22+V46-V$14)</f>
        <v>1236996.45983967</v>
      </c>
      <c r="W70" s="20" t="n">
        <f aca="false">IF(OR(W$5&lt;=$B70,W$5&gt;Assumptions!$C$109),1000000000000,W22+W46-W$14)</f>
        <v>1364855.22251306</v>
      </c>
      <c r="X70" s="20" t="n">
        <f aca="false">IF(OR(X$5&lt;=$B70,X$5&gt;Assumptions!$C$109),1000000000000,X22+X46-X$14)</f>
        <v>1495081.02639608</v>
      </c>
      <c r="Y70" s="20" t="n">
        <f aca="false">IF(OR(Y$5&lt;=$B70,Y$5&gt;Assumptions!$C$109),1000000000000,Y22+Y46-Y$14)</f>
        <v>1626991.55518846</v>
      </c>
      <c r="Z70" s="20" t="n">
        <f aca="false">IF(OR(Z$5&lt;=$B70,Z$5&gt;Assumptions!$C$109),1000000000000,Z22+Z46-Z$14)</f>
        <v>1000000000000</v>
      </c>
      <c r="AA70" s="20" t="n">
        <f aca="false">IF(OR(AA$5&lt;=$B70,AA$5&gt;Assumptions!$C$109),1000000000000,AA22+AA46-AA$14)</f>
        <v>1000000000000</v>
      </c>
      <c r="AB70" s="20" t="n">
        <f aca="false">IF(OR(AB$5&lt;=$B70,AB$5&gt;Assumptions!$C$109),1000000000000,AB22+AB46-AB$14)</f>
        <v>1000000000000</v>
      </c>
      <c r="AC70" s="20" t="n">
        <f aca="false">IF(OR(AC$5&lt;=$B70,AC$5&gt;Assumptions!$C$109),1000000000000,AC22+AC46-AC$14)</f>
        <v>1000000000000</v>
      </c>
      <c r="AD70" s="20" t="n">
        <f aca="false">IF(OR(AD$5&lt;=$B70,AD$5&gt;Assumptions!$C$109),1000000000000,AD22+AD46-AD$14)</f>
        <v>1000000000000</v>
      </c>
      <c r="AE70" s="20" t="n">
        <f aca="false">IF(OR(AE$5&lt;=$B70,AE$5&gt;Assumptions!$C$109),1000000000000,AE22+AE46-AE$14)</f>
        <v>1000000000000</v>
      </c>
      <c r="AF70" s="20" t="n">
        <f aca="false">IF(OR(AF$5&lt;=$B70,AF$5&gt;Assumptions!$C$109),1000000000000,AF22+AF46-AF$14)</f>
        <v>1000000000000</v>
      </c>
    </row>
    <row r="71" customFormat="false" ht="15" hidden="false" customHeight="true" outlineLevel="0" collapsed="false">
      <c r="B71" s="67" t="n">
        <v>2027</v>
      </c>
      <c r="C71" s="20" t="n">
        <f aca="false">IF(OR(C$5&lt;=$B71,C$5&gt;Assumptions!$C$109),1000000000000,C23+C47-C$14)</f>
        <v>1000000000000</v>
      </c>
      <c r="D71" s="20" t="n">
        <f aca="false">IF(OR(D$5&lt;=$B71,D$5&gt;Assumptions!$C$109),1000000000000,D23+D47-D$14)</f>
        <v>1000000000000</v>
      </c>
      <c r="E71" s="20" t="n">
        <f aca="false">IF(OR(E$5&lt;=$B71,E$5&gt;Assumptions!$C$109),1000000000000,E23+E47-E$14)</f>
        <v>218425.84032</v>
      </c>
      <c r="F71" s="20" t="n">
        <f aca="false">IF(OR(F$5&lt;=$B71,F$5&gt;Assumptions!$C$109),1000000000000,F23+F47-F$14)</f>
        <v>253261.3395456</v>
      </c>
      <c r="G71" s="20" t="n">
        <f aca="false">IF(OR(G$5&lt;=$B71,G$5&gt;Assumptions!$C$109),1000000000000,G23+G47-G$14)</f>
        <v>274618.983253248</v>
      </c>
      <c r="H71" s="20" t="n">
        <f aca="false">IF(OR(H$5&lt;=$B71,H$5&gt;Assumptions!$C$109),1000000000000,H23+H47-H$14)</f>
        <v>297887.173188388</v>
      </c>
      <c r="I71" s="20" t="n">
        <f aca="false">IF(OR(I$5&lt;=$B71,I$5&gt;Assumptions!$C$109),1000000000000,I23+I47-I$14)</f>
        <v>332222.791743836</v>
      </c>
      <c r="J71" s="20" t="n">
        <f aca="false">IF(OR(J$5&lt;=$B71,J$5&gt;Assumptions!$C$109),1000000000000,J23+J47-J$14)</f>
        <v>369453.854082566</v>
      </c>
      <c r="K71" s="20" t="n">
        <f aca="false">IF(OR(K$5&lt;=$B71,K$5&gt;Assumptions!$C$109),1000000000000,K23+K47-K$14)</f>
        <v>453661.032000865</v>
      </c>
      <c r="L71" s="20" t="n">
        <f aca="false">IF(OR(L$5&lt;=$B71,L$5&gt;Assumptions!$C$109),1000000000000,L23+L47-L$14)</f>
        <v>521620.139455921</v>
      </c>
      <c r="M71" s="20" t="n">
        <f aca="false">IF(OR(M$5&lt;=$B71,M$5&gt;Assumptions!$C$109),1000000000000,M23+M47-M$14)</f>
        <v>595224.760431558</v>
      </c>
      <c r="N71" s="20" t="n">
        <f aca="false">IF(OR(N$5&lt;=$B71,N$5&gt;Assumptions!$C$109),1000000000000,N23+N47-N$14)</f>
        <v>673867.711981488</v>
      </c>
      <c r="O71" s="20" t="n">
        <f aca="false">IF(OR(O$5&lt;=$B71,O$5&gt;Assumptions!$C$109),1000000000000,O23+O47-O$14)</f>
        <v>756530.681080648</v>
      </c>
      <c r="P71" s="20" t="n">
        <f aca="false">IF(OR(P$5&lt;=$B71,P$5&gt;Assumptions!$C$109),1000000000000,P23+P47-P$14)</f>
        <v>843000.199738142</v>
      </c>
      <c r="Q71" s="20" t="n">
        <f aca="false">IF(OR(Q$5&lt;=$B71,Q$5&gt;Assumptions!$C$109),1000000000000,Q23+Q47-Q$14)</f>
        <v>933012.584126551</v>
      </c>
      <c r="R71" s="20" t="n">
        <f aca="false">IF(OR(R$5&lt;=$B71,R$5&gt;Assumptions!$C$109),1000000000000,R23+R47-R$14)</f>
        <v>1026253.5105627</v>
      </c>
      <c r="S71" s="20" t="n">
        <f aca="false">IF(OR(S$5&lt;=$B71,S$5&gt;Assumptions!$C$109),1000000000000,S23+S47-S$14)</f>
        <v>1122358.32543878</v>
      </c>
      <c r="T71" s="20" t="n">
        <f aca="false">IF(OR(T$5&lt;=$B71,T$5&gt;Assumptions!$C$109),1000000000000,T23+T47-T$14)</f>
        <v>1220913.13614668</v>
      </c>
      <c r="U71" s="20" t="n">
        <f aca="false">IF(OR(U$5&lt;=$B71,U$5&gt;Assumptions!$C$109),1000000000000,U23+U47-U$14)</f>
        <v>1321456.71696323</v>
      </c>
      <c r="V71" s="20" t="n">
        <f aca="false">IF(OR(V$5&lt;=$B71,V$5&gt;Assumptions!$C$109),1000000000000,V23+V47-V$14)</f>
        <v>1494361.90140631</v>
      </c>
      <c r="W71" s="20" t="n">
        <f aca="false">IF(OR(W$5&lt;=$B71,W$5&gt;Assumptions!$C$109),1000000000000,W23+W47-W$14)</f>
        <v>1635474.98432037</v>
      </c>
      <c r="X71" s="20" t="n">
        <f aca="false">IF(OR(X$5&lt;=$B71,X$5&gt;Assumptions!$C$109),1000000000000,X23+X47-X$14)</f>
        <v>1778825.84665105</v>
      </c>
      <c r="Y71" s="20" t="n">
        <f aca="false">IF(OR(Y$5&lt;=$B71,Y$5&gt;Assumptions!$C$109),1000000000000,Y23+Y47-Y$14)</f>
        <v>1923646.76476503</v>
      </c>
      <c r="Z71" s="20" t="n">
        <f aca="false">IF(OR(Z$5&lt;=$B71,Z$5&gt;Assumptions!$C$109),1000000000000,Z23+Z47-Z$14)</f>
        <v>1000000000000</v>
      </c>
      <c r="AA71" s="20" t="n">
        <f aca="false">IF(OR(AA$5&lt;=$B71,AA$5&gt;Assumptions!$C$109),1000000000000,AA23+AA47-AA$14)</f>
        <v>1000000000000</v>
      </c>
      <c r="AB71" s="20" t="n">
        <f aca="false">IF(OR(AB$5&lt;=$B71,AB$5&gt;Assumptions!$C$109),1000000000000,AB23+AB47-AB$14)</f>
        <v>1000000000000</v>
      </c>
      <c r="AC71" s="20" t="n">
        <f aca="false">IF(OR(AC$5&lt;=$B71,AC$5&gt;Assumptions!$C$109),1000000000000,AC23+AC47-AC$14)</f>
        <v>1000000000000</v>
      </c>
      <c r="AD71" s="20" t="n">
        <f aca="false">IF(OR(AD$5&lt;=$B71,AD$5&gt;Assumptions!$C$109),1000000000000,AD23+AD47-AD$14)</f>
        <v>1000000000000</v>
      </c>
      <c r="AE71" s="20" t="n">
        <f aca="false">IF(OR(AE$5&lt;=$B71,AE$5&gt;Assumptions!$C$109),1000000000000,AE23+AE47-AE$14)</f>
        <v>1000000000000</v>
      </c>
      <c r="AF71" s="20" t="n">
        <f aca="false">IF(OR(AF$5&lt;=$B71,AF$5&gt;Assumptions!$C$109),1000000000000,AF23+AF47-AF$14)</f>
        <v>1000000000000</v>
      </c>
    </row>
    <row r="72" customFormat="false" ht="15" hidden="false" customHeight="true" outlineLevel="0" collapsed="false">
      <c r="B72" s="67" t="n">
        <v>2028</v>
      </c>
      <c r="C72" s="20" t="n">
        <f aca="false">IF(OR(C$5&lt;=$B72,C$5&gt;Assumptions!$C$109),1000000000000,C24+C48-C$14)</f>
        <v>1000000000000</v>
      </c>
      <c r="D72" s="20" t="n">
        <f aca="false">IF(OR(D$5&lt;=$B72,D$5&gt;Assumptions!$C$109),1000000000000,D24+D48-D$14)</f>
        <v>1000000000000</v>
      </c>
      <c r="E72" s="20" t="n">
        <f aca="false">IF(OR(E$5&lt;=$B72,E$5&gt;Assumptions!$C$109),1000000000000,E24+E48-E$14)</f>
        <v>1000000000000</v>
      </c>
      <c r="F72" s="20" t="n">
        <f aca="false">IF(OR(F$5&lt;=$B72,F$5&gt;Assumptions!$C$109),1000000000000,F24+F48-F$14)</f>
        <v>336632.7406656</v>
      </c>
      <c r="G72" s="20" t="n">
        <f aca="false">IF(OR(G$5&lt;=$B72,G$5&gt;Assumptions!$C$109),1000000000000,G24+G48-G$14)</f>
        <v>364660.096462848</v>
      </c>
      <c r="H72" s="20" t="n">
        <f aca="false">IF(OR(H$5&lt;=$B72,H$5&gt;Assumptions!$C$109),1000000000000,H24+H48-H$14)</f>
        <v>395131.575454756</v>
      </c>
      <c r="I72" s="20" t="n">
        <f aca="false">IF(OR(I$5&lt;=$B72,I$5&gt;Assumptions!$C$109),1000000000000,I24+I48-I$14)</f>
        <v>437246.746191514</v>
      </c>
      <c r="J72" s="20" t="n">
        <f aca="false">IF(OR(J$5&lt;=$B72,J$5&gt;Assumptions!$C$109),1000000000000,J24+J48-J$14)</f>
        <v>482879.724886058</v>
      </c>
      <c r="K72" s="20" t="n">
        <f aca="false">IF(OR(K$5&lt;=$B72,K$5&gt;Assumptions!$C$109),1000000000000,K24+K48-K$14)</f>
        <v>576160.972468636</v>
      </c>
      <c r="L72" s="20" t="n">
        <f aca="false">IF(OR(L$5&lt;=$B72,L$5&gt;Assumptions!$C$109),1000000000000,L24+L48-L$14)</f>
        <v>653920.075161113</v>
      </c>
      <c r="M72" s="20" t="n">
        <f aca="false">IF(OR(M$5&lt;=$B72,M$5&gt;Assumptions!$C$109),1000000000000,M24+M48-M$14)</f>
        <v>738108.690993166</v>
      </c>
      <c r="N72" s="20" t="n">
        <f aca="false">IF(OR(N$5&lt;=$B72,N$5&gt;Assumptions!$C$109),1000000000000,N24+N48-N$14)</f>
        <v>827968.031092183</v>
      </c>
      <c r="O72" s="20" t="n">
        <f aca="false">IF(OR(O$5&lt;=$B72,O$5&gt;Assumptions!$C$109),1000000000000,O24+O48-O$14)</f>
        <v>922265.5742842</v>
      </c>
      <c r="P72" s="20" t="n">
        <f aca="false">IF(OR(P$5&lt;=$B72,P$5&gt;Assumptions!$C$109),1000000000000,P24+P48-P$14)</f>
        <v>1020750.87269895</v>
      </c>
      <c r="Q72" s="20" t="n">
        <f aca="false">IF(OR(Q$5&lt;=$B72,Q$5&gt;Assumptions!$C$109),1000000000000,Q24+Q48-Q$14)</f>
        <v>1123116.92885814</v>
      </c>
      <c r="R72" s="20" t="n">
        <f aca="false">IF(OR(R$5&lt;=$B72,R$5&gt;Assumptions!$C$109),1000000000000,R24+R48-R$14)</f>
        <v>1228999.79421893</v>
      </c>
      <c r="S72" s="20" t="n">
        <f aca="false">IF(OR(S$5&lt;=$B72,S$5&gt;Assumptions!$C$109),1000000000000,S24+S48-S$14)</f>
        <v>1337978.99810719</v>
      </c>
      <c r="T72" s="20" t="n">
        <f aca="false">IF(OR(T$5&lt;=$B72,T$5&gt;Assumptions!$C$109),1000000000000,T24+T48-T$14)</f>
        <v>1449578.85951152</v>
      </c>
      <c r="U72" s="20" t="n">
        <f aca="false">IF(OR(U$5&lt;=$B72,U$5&gt;Assumptions!$C$109),1000000000000,U24+U48-U$14)</f>
        <v>1563270.71942155</v>
      </c>
      <c r="V72" s="20" t="n">
        <f aca="false">IF(OR(V$5&lt;=$B72,V$5&gt;Assumptions!$C$109),1000000000000,V24+V48-V$14)</f>
        <v>1749354.76699861</v>
      </c>
      <c r="W72" s="20" t="n">
        <f aca="false">IF(OR(W$5&lt;=$B72,W$5&gt;Assumptions!$C$109),1000000000000,W24+W48-W$14)</f>
        <v>1903599.98249068</v>
      </c>
      <c r="X72" s="20" t="n">
        <f aca="false">IF(OR(X$5&lt;=$B72,X$5&gt;Assumptions!$C$109),1000000000000,X24+X48-X$14)</f>
        <v>2059954.90723261</v>
      </c>
      <c r="Y72" s="20" t="n">
        <f aca="false">IF(OR(Y$5&lt;=$B72,Y$5&gt;Assumptions!$C$109),1000000000000,Y24+Y48-Y$14)</f>
        <v>2217567.19760306</v>
      </c>
      <c r="Z72" s="20" t="n">
        <f aca="false">IF(OR(Z$5&lt;=$B72,Z$5&gt;Assumptions!$C$109),1000000000000,Z24+Z48-Z$14)</f>
        <v>1000000000000</v>
      </c>
      <c r="AA72" s="20" t="n">
        <f aca="false">IF(OR(AA$5&lt;=$B72,AA$5&gt;Assumptions!$C$109),1000000000000,AA24+AA48-AA$14)</f>
        <v>1000000000000</v>
      </c>
      <c r="AB72" s="20" t="n">
        <f aca="false">IF(OR(AB$5&lt;=$B72,AB$5&gt;Assumptions!$C$109),1000000000000,AB24+AB48-AB$14)</f>
        <v>1000000000000</v>
      </c>
      <c r="AC72" s="20" t="n">
        <f aca="false">IF(OR(AC$5&lt;=$B72,AC$5&gt;Assumptions!$C$109),1000000000000,AC24+AC48-AC$14)</f>
        <v>1000000000000</v>
      </c>
      <c r="AD72" s="20" t="n">
        <f aca="false">IF(OR(AD$5&lt;=$B72,AD$5&gt;Assumptions!$C$109),1000000000000,AD24+AD48-AD$14)</f>
        <v>1000000000000</v>
      </c>
      <c r="AE72" s="20" t="n">
        <f aca="false">IF(OR(AE$5&lt;=$B72,AE$5&gt;Assumptions!$C$109),1000000000000,AE24+AE48-AE$14)</f>
        <v>1000000000000</v>
      </c>
      <c r="AF72" s="20" t="n">
        <f aca="false">IF(OR(AF$5&lt;=$B72,AF$5&gt;Assumptions!$C$109),1000000000000,AF24+AF48-AF$14)</f>
        <v>1000000000000</v>
      </c>
    </row>
    <row r="73" customFormat="false" ht="15" hidden="false" customHeight="true" outlineLevel="0" collapsed="false">
      <c r="B73" s="67" t="n">
        <v>2029</v>
      </c>
      <c r="C73" s="20" t="n">
        <f aca="false">IF(OR(C$5&lt;=$B73,C$5&gt;Assumptions!$C$109),1000000000000,C25+C49-C$14)</f>
        <v>1000000000000</v>
      </c>
      <c r="D73" s="20" t="n">
        <f aca="false">IF(OR(D$5&lt;=$B73,D$5&gt;Assumptions!$C$109),1000000000000,D25+D49-D$14)</f>
        <v>1000000000000</v>
      </c>
      <c r="E73" s="20" t="n">
        <f aca="false">IF(OR(E$5&lt;=$B73,E$5&gt;Assumptions!$C$109),1000000000000,E25+E49-E$14)</f>
        <v>1000000000000</v>
      </c>
      <c r="F73" s="20" t="n">
        <f aca="false">IF(OR(F$5&lt;=$B73,F$5&gt;Assumptions!$C$109),1000000000000,F25+F49-F$14)</f>
        <v>1000000000000</v>
      </c>
      <c r="G73" s="20" t="n">
        <f aca="false">IF(OR(G$5&lt;=$B73,G$5&gt;Assumptions!$C$109),1000000000000,G25+G49-G$14)</f>
        <v>450481.091660448</v>
      </c>
      <c r="H73" s="20" t="n">
        <f aca="false">IF(OR(H$5&lt;=$B73,H$5&gt;Assumptions!$C$109),1000000000000,H25+H49-H$14)</f>
        <v>487478.719108456</v>
      </c>
      <c r="I73" s="20" t="n">
        <f aca="false">IF(OR(I$5&lt;=$B73,I$5&gt;Assumptions!$C$109),1000000000000,I25+I49-I$14)</f>
        <v>536694.767912066</v>
      </c>
      <c r="J73" s="20" t="n">
        <f aca="false">IF(OR(J$5&lt;=$B73,J$5&gt;Assumptions!$C$109),1000000000000,J25+J49-J$14)</f>
        <v>589978.046846156</v>
      </c>
      <c r="K73" s="20" t="n">
        <f aca="false">IF(OR(K$5&lt;=$B73,K$5&gt;Assumptions!$C$109),1000000000000,K25+K49-K$14)</f>
        <v>691501.758490067</v>
      </c>
      <c r="L73" s="20" t="n">
        <f aca="false">IF(OR(L$5&lt;=$B73,L$5&gt;Assumptions!$C$109),1000000000000,L25+L49-L$14)</f>
        <v>778141.571258578</v>
      </c>
      <c r="M73" s="20" t="n">
        <f aca="false">IF(OR(M$5&lt;=$B73,M$5&gt;Assumptions!$C$109),1000000000000,M25+M49-M$14)</f>
        <v>871898.828040379</v>
      </c>
      <c r="N73" s="20" t="n">
        <f aca="false">IF(OR(N$5&lt;=$B73,N$5&gt;Assumptions!$C$109),1000000000000,N25+N49-N$14)</f>
        <v>971867.625041579</v>
      </c>
      <c r="O73" s="20" t="n">
        <f aca="false">IF(OR(O$5&lt;=$B73,O$5&gt;Assumptions!$C$109),1000000000000,O25+O49-O$14)</f>
        <v>1076611.55884839</v>
      </c>
      <c r="P73" s="20" t="n">
        <f aca="false">IF(OR(P$5&lt;=$B73,P$5&gt;Assumptions!$C$109),1000000000000,P25+P49-P$14)</f>
        <v>1185843.6216776</v>
      </c>
      <c r="Q73" s="20" t="n">
        <f aca="false">IF(OR(Q$5&lt;=$B73,Q$5&gt;Assumptions!$C$109),1000000000000,Q25+Q49-Q$14)</f>
        <v>1299214.81355504</v>
      </c>
      <c r="R73" s="20" t="n">
        <f aca="false">IF(OR(R$5&lt;=$B73,R$5&gt;Assumptions!$C$109),1000000000000,R25+R49-R$14)</f>
        <v>1416313.82774911</v>
      </c>
      <c r="S73" s="20" t="n">
        <f aca="false">IF(OR(S$5&lt;=$B73,S$5&gt;Assumptions!$C$109),1000000000000,S25+S49-S$14)</f>
        <v>1536667.65270177</v>
      </c>
      <c r="T73" s="20" t="n">
        <f aca="false">IF(OR(T$5&lt;=$B73,T$5&gt;Assumptions!$C$109),1000000000000,T25+T49-T$14)</f>
        <v>1659743.14637116</v>
      </c>
      <c r="U73" s="20" t="n">
        <f aca="false">IF(OR(U$5&lt;=$B73,U$5&gt;Assumptions!$C$109),1000000000000,U25+U49-U$14)</f>
        <v>1784949.62251183</v>
      </c>
      <c r="V73" s="20" t="n">
        <f aca="false">IF(OR(V$5&lt;=$B73,V$5&gt;Assumptions!$C$109),1000000000000,V25+V49-V$14)</f>
        <v>1982521.12225731</v>
      </c>
      <c r="W73" s="20" t="n">
        <f aca="false">IF(OR(W$5&lt;=$B73,W$5&gt;Assumptions!$C$109),1000000000000,W25+W49-W$14)</f>
        <v>2148156.89209723</v>
      </c>
      <c r="X73" s="20" t="n">
        <f aca="false">IF(OR(X$5&lt;=$B73,X$5&gt;Assumptions!$C$109),1000000000000,X25+X49-X$14)</f>
        <v>2315732.77478452</v>
      </c>
      <c r="Y73" s="20" t="n">
        <f aca="false">IF(OR(Y$5&lt;=$B73,Y$5&gt;Assumptions!$C$109),1000000000000,Y25+Y49-Y$14)</f>
        <v>2484321.46421028</v>
      </c>
      <c r="Z73" s="20" t="n">
        <f aca="false">IF(OR(Z$5&lt;=$B73,Z$5&gt;Assumptions!$C$109),1000000000000,Z25+Z49-Z$14)</f>
        <v>1000000000000</v>
      </c>
      <c r="AA73" s="20" t="n">
        <f aca="false">IF(OR(AA$5&lt;=$B73,AA$5&gt;Assumptions!$C$109),1000000000000,AA25+AA49-AA$14)</f>
        <v>1000000000000</v>
      </c>
      <c r="AB73" s="20" t="n">
        <f aca="false">IF(OR(AB$5&lt;=$B73,AB$5&gt;Assumptions!$C$109),1000000000000,AB25+AB49-AB$14)</f>
        <v>1000000000000</v>
      </c>
      <c r="AC73" s="20" t="n">
        <f aca="false">IF(OR(AC$5&lt;=$B73,AC$5&gt;Assumptions!$C$109),1000000000000,AC25+AC49-AC$14)</f>
        <v>1000000000000</v>
      </c>
      <c r="AD73" s="20" t="n">
        <f aca="false">IF(OR(AD$5&lt;=$B73,AD$5&gt;Assumptions!$C$109),1000000000000,AD25+AD49-AD$14)</f>
        <v>1000000000000</v>
      </c>
      <c r="AE73" s="20" t="n">
        <f aca="false">IF(OR(AE$5&lt;=$B73,AE$5&gt;Assumptions!$C$109),1000000000000,AE25+AE49-AE$14)</f>
        <v>1000000000000</v>
      </c>
      <c r="AF73" s="20" t="n">
        <f aca="false">IF(OR(AF$5&lt;=$B73,AF$5&gt;Assumptions!$C$109),1000000000000,AF25+AF49-AF$14)</f>
        <v>1000000000000</v>
      </c>
    </row>
    <row r="74" customFormat="false" ht="15" hidden="false" customHeight="true" outlineLevel="0" collapsed="false">
      <c r="B74" s="67" t="n">
        <v>2030</v>
      </c>
      <c r="C74" s="20" t="n">
        <f aca="false">IF(OR(C$5&lt;=$B74,C$5&gt;Assumptions!$C$109),1000000000000,C26+C50-C$14)</f>
        <v>1000000000000</v>
      </c>
      <c r="D74" s="20" t="n">
        <f aca="false">IF(OR(D$5&lt;=$B74,D$5&gt;Assumptions!$C$109),1000000000000,D26+D50-D$14)</f>
        <v>1000000000000</v>
      </c>
      <c r="E74" s="20" t="n">
        <f aca="false">IF(OR(E$5&lt;=$B74,E$5&gt;Assumptions!$C$109),1000000000000,E26+E50-E$14)</f>
        <v>1000000000000</v>
      </c>
      <c r="F74" s="20" t="n">
        <f aca="false">IF(OR(F$5&lt;=$B74,F$5&gt;Assumptions!$C$109),1000000000000,F26+F50-F$14)</f>
        <v>1000000000000</v>
      </c>
      <c r="G74" s="20" t="n">
        <f aca="false">IF(OR(G$5&lt;=$B74,G$5&gt;Assumptions!$C$109),1000000000000,G26+G50-G$14)</f>
        <v>1000000000000</v>
      </c>
      <c r="H74" s="20" t="n">
        <f aca="false">IF(OR(H$5&lt;=$B74,H$5&gt;Assumptions!$C$109),1000000000000,H26+H50-H$14)</f>
        <v>575947.428164104</v>
      </c>
      <c r="I74" s="20" t="n">
        <f aca="false">IF(OR(I$5&lt;=$B74,I$5&gt;Assumptions!$C$109),1000000000000,I26+I50-I$14)</f>
        <v>631561.943056331</v>
      </c>
      <c r="J74" s="20" t="n">
        <f aca="false">IF(OR(J$5&lt;=$B74,J$5&gt;Assumptions!$C$109),1000000000000,J26+J50-J$14)</f>
        <v>691711.428374798</v>
      </c>
      <c r="K74" s="20" t="n">
        <f aca="false">IF(OR(K$5&lt;=$B74,K$5&gt;Assumptions!$C$109),1000000000000,K26+K50-K$14)</f>
        <v>800603.637018071</v>
      </c>
      <c r="L74" s="20" t="n">
        <f aca="false">IF(OR(L$5&lt;=$B74,L$5&gt;Assumptions!$C$109),1000000000000,L26+L50-L$14)</f>
        <v>895151.365266903</v>
      </c>
      <c r="M74" s="20" t="n">
        <f aca="false">IF(OR(M$5&lt;=$B74,M$5&gt;Assumptions!$C$109),1000000000000,M26+M50-M$14)</f>
        <v>997395.855505325</v>
      </c>
      <c r="N74" s="20" t="n">
        <f aca="false">IF(OR(N$5&lt;=$B74,N$5&gt;Assumptions!$C$109),1000000000000,N26+N50-N$14)</f>
        <v>1106285.83834431</v>
      </c>
      <c r="O74" s="20" t="n">
        <f aca="false">IF(OR(O$5&lt;=$B74,O$5&gt;Assumptions!$C$109),1000000000000,O26+O50-O$14)</f>
        <v>1220188.94043032</v>
      </c>
      <c r="P74" s="20" t="n">
        <f aca="false">IF(OR(P$5&lt;=$B74,P$5&gt;Assumptions!$C$109),1000000000000,P26+P50-P$14)</f>
        <v>1338781.09748614</v>
      </c>
      <c r="Q74" s="20" t="n">
        <f aca="false">IF(OR(Q$5&lt;=$B74,Q$5&gt;Assumptions!$C$109),1000000000000,Q26+Q50-Q$14)</f>
        <v>1461671.84520274</v>
      </c>
      <c r="R74" s="20" t="n">
        <f aca="false">IF(OR(R$5&lt;=$B74,R$5&gt;Assumptions!$C$109),1000000000000,R26+R50-R$14)</f>
        <v>1588404.1801411</v>
      </c>
      <c r="S74" s="20" t="n">
        <f aca="false">IF(OR(S$5&lt;=$B74,S$5&gt;Assumptions!$C$109),1000000000000,S26+S50-S$14)</f>
        <v>1718455.41190955</v>
      </c>
      <c r="T74" s="20" t="n">
        <f aca="false">IF(OR(T$5&lt;=$B74,T$5&gt;Assumptions!$C$109),1000000000000,T26+T50-T$14)</f>
        <v>1851239.06341771</v>
      </c>
      <c r="U74" s="20" t="n">
        <f aca="false">IF(OR(U$5&lt;=$B74,U$5&gt;Assumptions!$C$109),1000000000000,U26+U50-U$14)</f>
        <v>1986107.85812276</v>
      </c>
      <c r="V74" s="20" t="n">
        <f aca="false">IF(OR(V$5&lt;=$B74,V$5&gt;Assumptions!$C$109),1000000000000,V26+V50-V$14)</f>
        <v>2193236.46543495</v>
      </c>
      <c r="W74" s="20" t="n">
        <f aca="false">IF(OR(W$5&lt;=$B74,W$5&gt;Assumptions!$C$109),1000000000000,W26+W50-W$14)</f>
        <v>2368262.52153159</v>
      </c>
      <c r="X74" s="20" t="n">
        <f aca="false">IF(OR(X$5&lt;=$B74,X$5&gt;Assumptions!$C$109),1000000000000,X26+X50-X$14)</f>
        <v>2544998.62661155</v>
      </c>
      <c r="Y74" s="20" t="n">
        <f aca="false">IF(OR(Y$5&lt;=$B74,Y$5&gt;Assumptions!$C$109),1000000000000,Y26+Y50-Y$14)</f>
        <v>2722453.26248929</v>
      </c>
      <c r="Z74" s="20" t="n">
        <f aca="false">IF(OR(Z$5&lt;=$B74,Z$5&gt;Assumptions!$C$109),1000000000000,Z26+Z50-Z$14)</f>
        <v>1000000000000</v>
      </c>
      <c r="AA74" s="20" t="n">
        <f aca="false">IF(OR(AA$5&lt;=$B74,AA$5&gt;Assumptions!$C$109),1000000000000,AA26+AA50-AA$14)</f>
        <v>1000000000000</v>
      </c>
      <c r="AB74" s="20" t="n">
        <f aca="false">IF(OR(AB$5&lt;=$B74,AB$5&gt;Assumptions!$C$109),1000000000000,AB26+AB50-AB$14)</f>
        <v>1000000000000</v>
      </c>
      <c r="AC74" s="20" t="n">
        <f aca="false">IF(OR(AC$5&lt;=$B74,AC$5&gt;Assumptions!$C$109),1000000000000,AC26+AC50-AC$14)</f>
        <v>1000000000000</v>
      </c>
      <c r="AD74" s="20" t="n">
        <f aca="false">IF(OR(AD$5&lt;=$B74,AD$5&gt;Assumptions!$C$109),1000000000000,AD26+AD50-AD$14)</f>
        <v>1000000000000</v>
      </c>
      <c r="AE74" s="20" t="n">
        <f aca="false">IF(OR(AE$5&lt;=$B74,AE$5&gt;Assumptions!$C$109),1000000000000,AE26+AE50-AE$14)</f>
        <v>1000000000000</v>
      </c>
      <c r="AF74" s="20" t="n">
        <f aca="false">IF(OR(AF$5&lt;=$B74,AF$5&gt;Assumptions!$C$109),1000000000000,AF26+AF50-AF$14)</f>
        <v>1000000000000</v>
      </c>
    </row>
    <row r="75" customFormat="false" ht="15" hidden="false" customHeight="true" outlineLevel="0" collapsed="false">
      <c r="B75" s="67" t="n">
        <v>2031</v>
      </c>
      <c r="C75" s="20" t="n">
        <f aca="false">IF(OR(C$5&lt;=$B75,C$5&gt;Assumptions!$C$109),1000000000000,C27+C51-C$14)</f>
        <v>1000000000000</v>
      </c>
      <c r="D75" s="20" t="n">
        <f aca="false">IF(OR(D$5&lt;=$B75,D$5&gt;Assumptions!$C$109),1000000000000,D27+D51-D$14)</f>
        <v>1000000000000</v>
      </c>
      <c r="E75" s="20" t="n">
        <f aca="false">IF(OR(E$5&lt;=$B75,E$5&gt;Assumptions!$C$109),1000000000000,E27+E51-E$14)</f>
        <v>1000000000000</v>
      </c>
      <c r="F75" s="20" t="n">
        <f aca="false">IF(OR(F$5&lt;=$B75,F$5&gt;Assumptions!$C$109),1000000000000,F27+F51-F$14)</f>
        <v>1000000000000</v>
      </c>
      <c r="G75" s="20" t="n">
        <f aca="false">IF(OR(G$5&lt;=$B75,G$5&gt;Assumptions!$C$109),1000000000000,G27+G51-G$14)</f>
        <v>1000000000000</v>
      </c>
      <c r="H75" s="20" t="n">
        <f aca="false">IF(OR(H$5&lt;=$B75,H$5&gt;Assumptions!$C$109),1000000000000,H27+H51-H$14)</f>
        <v>1000000000000</v>
      </c>
      <c r="I75" s="20" t="n">
        <f aca="false">IF(OR(I$5&lt;=$B75,I$5&gt;Assumptions!$C$109),1000000000000,I27+I51-I$14)</f>
        <v>721800.026293092</v>
      </c>
      <c r="J75" s="20" t="n">
        <f aca="false">IF(OR(J$5&lt;=$B75,J$5&gt;Assumptions!$C$109),1000000000000,J27+J51-J$14)</f>
        <v>788475.947021949</v>
      </c>
      <c r="K75" s="20" t="n">
        <f aca="false">IF(OR(K$5&lt;=$B75,K$5&gt;Assumptions!$C$109),1000000000000,K27+K51-K$14)</f>
        <v>904371.686177287</v>
      </c>
      <c r="L75" s="20" t="n">
        <f aca="false">IF(OR(L$5&lt;=$B75,L$5&gt;Assumptions!$C$109),1000000000000,L27+L51-L$14)</f>
        <v>1006435.28136547</v>
      </c>
      <c r="M75" s="20" t="n">
        <f aca="false">IF(OR(M$5&lt;=$B75,M$5&gt;Assumptions!$C$109),1000000000000,M27+M51-M$14)</f>
        <v>1116745.84539382</v>
      </c>
      <c r="N75" s="20" t="n">
        <f aca="false">IF(OR(N$5&lt;=$B75,N$5&gt;Assumptions!$C$109),1000000000000,N27+N51-N$14)</f>
        <v>1234113.78137373</v>
      </c>
      <c r="O75" s="20" t="n">
        <f aca="false">IF(OR(O$5&lt;=$B75,O$5&gt;Assumptions!$C$109),1000000000000,O27+O51-O$14)</f>
        <v>1356720.29225548</v>
      </c>
      <c r="P75" s="20" t="n">
        <f aca="false">IF(OR(P$5&lt;=$B75,P$5&gt;Assumptions!$C$109),1000000000000,P27+P51-P$14)</f>
        <v>1484206.04156101</v>
      </c>
      <c r="Q75" s="20" t="n">
        <f aca="false">IF(OR(Q$5&lt;=$B75,Q$5&gt;Assumptions!$C$109),1000000000000,Q27+Q51-Q$14)</f>
        <v>1616141.10861465</v>
      </c>
      <c r="R75" s="20" t="n">
        <f aca="false">IF(OR(R$5&lt;=$B75,R$5&gt;Assumptions!$C$109),1000000000000,R27+R51-R$14)</f>
        <v>1752025.01736569</v>
      </c>
      <c r="S75" s="20" t="n">
        <f aca="false">IF(OR(S$5&lt;=$B75,S$5&gt;Assumptions!$C$109),1000000000000,S27+S51-S$14)</f>
        <v>1891287.82753517</v>
      </c>
      <c r="T75" s="20" t="n">
        <f aca="false">IF(OR(T$5&lt;=$B75,T$5&gt;Assumptions!$C$109),1000000000000,T27+T51-T$14)</f>
        <v>2033292.34570495</v>
      </c>
      <c r="U75" s="20" t="n">
        <f aca="false">IF(OR(U$5&lt;=$B75,U$5&gt;Assumptions!$C$109),1000000000000,U27+U51-U$14)</f>
        <v>2177337.49465879</v>
      </c>
      <c r="V75" s="20" t="n">
        <f aca="false">IF(OR(V$5&lt;=$B75,V$5&gt;Assumptions!$C$109),1000000000000,V27+V51-V$14)</f>
        <v>2393541.51002643</v>
      </c>
      <c r="W75" s="20" t="n">
        <f aca="false">IF(OR(W$5&lt;=$B75,W$5&gt;Assumptions!$C$109),1000000000000,W27+W51-W$14)</f>
        <v>2577483.47780192</v>
      </c>
      <c r="X75" s="20" t="n">
        <f aca="false">IF(OR(X$5&lt;=$B75,X$5&gt;Assumptions!$C$109),1000000000000,X27+X51-X$14)</f>
        <v>2762915.90851208</v>
      </c>
      <c r="Y75" s="20" t="n">
        <f aca="false">IF(OR(Y$5&lt;=$B75,Y$5&gt;Assumptions!$C$109),1000000000000,Y27+Y51-Y$14)</f>
        <v>2948786.2851273</v>
      </c>
      <c r="Z75" s="20" t="n">
        <f aca="false">IF(OR(Z$5&lt;=$B75,Z$5&gt;Assumptions!$C$109),1000000000000,Z27+Z51-Z$14)</f>
        <v>1000000000000</v>
      </c>
      <c r="AA75" s="20" t="n">
        <f aca="false">IF(OR(AA$5&lt;=$B75,AA$5&gt;Assumptions!$C$109),1000000000000,AA27+AA51-AA$14)</f>
        <v>1000000000000</v>
      </c>
      <c r="AB75" s="20" t="n">
        <f aca="false">IF(OR(AB$5&lt;=$B75,AB$5&gt;Assumptions!$C$109),1000000000000,AB27+AB51-AB$14)</f>
        <v>1000000000000</v>
      </c>
      <c r="AC75" s="20" t="n">
        <f aca="false">IF(OR(AC$5&lt;=$B75,AC$5&gt;Assumptions!$C$109),1000000000000,AC27+AC51-AC$14)</f>
        <v>1000000000000</v>
      </c>
      <c r="AD75" s="20" t="n">
        <f aca="false">IF(OR(AD$5&lt;=$B75,AD$5&gt;Assumptions!$C$109),1000000000000,AD27+AD51-AD$14)</f>
        <v>1000000000000</v>
      </c>
      <c r="AE75" s="20" t="n">
        <f aca="false">IF(OR(AE$5&lt;=$B75,AE$5&gt;Assumptions!$C$109),1000000000000,AE27+AE51-AE$14)</f>
        <v>1000000000000</v>
      </c>
      <c r="AF75" s="20" t="n">
        <f aca="false">IF(OR(AF$5&lt;=$B75,AF$5&gt;Assumptions!$C$109),1000000000000,AF27+AF51-AF$14)</f>
        <v>1000000000000</v>
      </c>
    </row>
    <row r="76" customFormat="false" ht="15" hidden="false" customHeight="true" outlineLevel="0" collapsed="false">
      <c r="B76" s="67" t="n">
        <v>2032</v>
      </c>
      <c r="C76" s="20" t="n">
        <f aca="false">IF(OR(C$5&lt;=$B76,C$5&gt;Assumptions!$C$109),1000000000000,C28+C52-C$14)</f>
        <v>1000000000000</v>
      </c>
      <c r="D76" s="20" t="n">
        <f aca="false">IF(OR(D$5&lt;=$B76,D$5&gt;Assumptions!$C$109),1000000000000,D28+D52-D$14)</f>
        <v>1000000000000</v>
      </c>
      <c r="E76" s="20" t="n">
        <f aca="false">IF(OR(E$5&lt;=$B76,E$5&gt;Assumptions!$C$109),1000000000000,E28+E52-E$14)</f>
        <v>1000000000000</v>
      </c>
      <c r="F76" s="20" t="n">
        <f aca="false">IF(OR(F$5&lt;=$B76,F$5&gt;Assumptions!$C$109),1000000000000,F28+F52-F$14)</f>
        <v>1000000000000</v>
      </c>
      <c r="G76" s="20" t="n">
        <f aca="false">IF(OR(G$5&lt;=$B76,G$5&gt;Assumptions!$C$109),1000000000000,G28+G52-G$14)</f>
        <v>1000000000000</v>
      </c>
      <c r="H76" s="20" t="n">
        <f aca="false">IF(OR(H$5&lt;=$B76,H$5&gt;Assumptions!$C$109),1000000000000,H28+H52-H$14)</f>
        <v>1000000000000</v>
      </c>
      <c r="I76" s="20" t="n">
        <f aca="false">IF(OR(I$5&lt;=$B76,I$5&gt;Assumptions!$C$109),1000000000000,I28+I52-I$14)</f>
        <v>1000000000000</v>
      </c>
      <c r="J76" s="20" t="n">
        <f aca="false">IF(OR(J$5&lt;=$B76,J$5&gt;Assumptions!$C$109),1000000000000,J28+J52-J$14)</f>
        <v>880518.791923445</v>
      </c>
      <c r="K76" s="20" t="n">
        <f aca="false">IF(OR(K$5&lt;=$B76,K$5&gt;Assumptions!$C$109),1000000000000,K28+K52-K$14)</f>
        <v>1003071.49519738</v>
      </c>
      <c r="L76" s="20" t="n">
        <f aca="false">IF(OR(L$5&lt;=$B76,L$5&gt;Assumptions!$C$109),1000000000000,L28+L52-L$14)</f>
        <v>1112278.69150787</v>
      </c>
      <c r="M76" s="20" t="n">
        <f aca="false">IF(OR(M$5&lt;=$B76,M$5&gt;Assumptions!$C$109),1000000000000,M28+M52-M$14)</f>
        <v>1230255.43981435</v>
      </c>
      <c r="N76" s="20" t="n">
        <f aca="false">IF(OR(N$5&lt;=$B76,N$5&gt;Assumptions!$C$109),1000000000000,N28+N52-N$14)</f>
        <v>1355680.50666836</v>
      </c>
      <c r="O76" s="20" t="n">
        <f aca="false">IF(OR(O$5&lt;=$B76,O$5&gt;Assumptions!$C$109),1000000000000,O28+O52-O$14)</f>
        <v>1486557.74388166</v>
      </c>
      <c r="P76" s="20" t="n">
        <f aca="false">IF(OR(P$5&lt;=$B76,P$5&gt;Assumptions!$C$109),1000000000000,P28+P52-P$14)</f>
        <v>1622494.23953548</v>
      </c>
      <c r="Q76" s="20" t="n">
        <f aca="false">IF(OR(Q$5&lt;=$B76,Q$5&gt;Assumptions!$C$109),1000000000000,Q28+Q52-Q$14)</f>
        <v>1763022.5254923</v>
      </c>
      <c r="R76" s="20" t="n">
        <f aca="false">IF(OR(R$5&lt;=$B76,R$5&gt;Assumptions!$C$109),1000000000000,R28+R52-R$14)</f>
        <v>1907600.766918</v>
      </c>
      <c r="S76" s="20" t="n">
        <f aca="false">IF(OR(S$5&lt;=$B76,S$5&gt;Assumptions!$C$109),1000000000000,S28+S52-S$14)</f>
        <v>2055614.08163664</v>
      </c>
      <c r="T76" s="20" t="n">
        <f aca="false">IF(OR(T$5&lt;=$B76,T$5&gt;Assumptions!$C$109),1000000000000,T28+T52-T$14)</f>
        <v>2206377.04768811</v>
      </c>
      <c r="U76" s="20" t="n">
        <f aca="false">IF(OR(U$5&lt;=$B76,U$5&gt;Assumptions!$C$109),1000000000000,U28+U52-U$14)</f>
        <v>2359137.43679715</v>
      </c>
      <c r="V76" s="20" t="n">
        <f aca="false">IF(OR(V$5&lt;=$B76,V$5&gt;Assumptions!$C$109),1000000000000,V28+V52-V$14)</f>
        <v>2583959.84076864</v>
      </c>
      <c r="W76" s="20" t="n">
        <f aca="false">IF(OR(W$5&lt;=$B76,W$5&gt;Assumptions!$C$109),1000000000000,W28+W52-W$14)</f>
        <v>2776367.70085908</v>
      </c>
      <c r="X76" s="20" t="n">
        <f aca="false">IF(OR(X$5&lt;=$B76,X$5&gt;Assumptions!$C$109),1000000000000,X28+X52-X$14)</f>
        <v>2970056.43088152</v>
      </c>
      <c r="Y76" s="20" t="n">
        <f aca="false">IF(OR(Y$5&lt;=$B76,Y$5&gt;Assumptions!$C$109),1000000000000,Y28+Y52-Y$14)</f>
        <v>3163915.5646441</v>
      </c>
      <c r="Z76" s="20" t="n">
        <f aca="false">IF(OR(Z$5&lt;=$B76,Z$5&gt;Assumptions!$C$109),1000000000000,Z28+Z52-Z$14)</f>
        <v>1000000000000</v>
      </c>
      <c r="AA76" s="20" t="n">
        <f aca="false">IF(OR(AA$5&lt;=$B76,AA$5&gt;Assumptions!$C$109),1000000000000,AA28+AA52-AA$14)</f>
        <v>1000000000000</v>
      </c>
      <c r="AB76" s="20" t="n">
        <f aca="false">IF(OR(AB$5&lt;=$B76,AB$5&gt;Assumptions!$C$109),1000000000000,AB28+AB52-AB$14)</f>
        <v>1000000000000</v>
      </c>
      <c r="AC76" s="20" t="n">
        <f aca="false">IF(OR(AC$5&lt;=$B76,AC$5&gt;Assumptions!$C$109),1000000000000,AC28+AC52-AC$14)</f>
        <v>1000000000000</v>
      </c>
      <c r="AD76" s="20" t="n">
        <f aca="false">IF(OR(AD$5&lt;=$B76,AD$5&gt;Assumptions!$C$109),1000000000000,AD28+AD52-AD$14)</f>
        <v>1000000000000</v>
      </c>
      <c r="AE76" s="20" t="n">
        <f aca="false">IF(OR(AE$5&lt;=$B76,AE$5&gt;Assumptions!$C$109),1000000000000,AE28+AE52-AE$14)</f>
        <v>1000000000000</v>
      </c>
      <c r="AF76" s="20" t="n">
        <f aca="false">IF(OR(AF$5&lt;=$B76,AF$5&gt;Assumptions!$C$109),1000000000000,AF28+AF52-AF$14)</f>
        <v>1000000000000</v>
      </c>
    </row>
    <row r="77" customFormat="false" ht="15" hidden="false" customHeight="true" outlineLevel="0" collapsed="false">
      <c r="B77" s="67" t="n">
        <v>2033</v>
      </c>
      <c r="C77" s="20" t="n">
        <f aca="false">IF(OR(C$5&lt;=$B77,C$5&gt;Assumptions!$C$109),1000000000000,C29+C53-C$14)</f>
        <v>1000000000000</v>
      </c>
      <c r="D77" s="20" t="n">
        <f aca="false">IF(OR(D$5&lt;=$B77,D$5&gt;Assumptions!$C$109),1000000000000,D29+D53-D$14)</f>
        <v>1000000000000</v>
      </c>
      <c r="E77" s="20" t="n">
        <f aca="false">IF(OR(E$5&lt;=$B77,E$5&gt;Assumptions!$C$109),1000000000000,E29+E53-E$14)</f>
        <v>1000000000000</v>
      </c>
      <c r="F77" s="20" t="n">
        <f aca="false">IF(OR(F$5&lt;=$B77,F$5&gt;Assumptions!$C$109),1000000000000,F29+F53-F$14)</f>
        <v>1000000000000</v>
      </c>
      <c r="G77" s="20" t="n">
        <f aca="false">IF(OR(G$5&lt;=$B77,G$5&gt;Assumptions!$C$109),1000000000000,G29+G53-G$14)</f>
        <v>1000000000000</v>
      </c>
      <c r="H77" s="20" t="n">
        <f aca="false">IF(OR(H$5&lt;=$B77,H$5&gt;Assumptions!$C$109),1000000000000,H29+H53-H$14)</f>
        <v>1000000000000</v>
      </c>
      <c r="I77" s="20" t="n">
        <f aca="false">IF(OR(I$5&lt;=$B77,I$5&gt;Assumptions!$C$109),1000000000000,I29+I53-I$14)</f>
        <v>1000000000000</v>
      </c>
      <c r="J77" s="20" t="n">
        <f aca="false">IF(OR(J$5&lt;=$B77,J$5&gt;Assumptions!$C$109),1000000000000,J29+J53-J$14)</f>
        <v>1000000000000</v>
      </c>
      <c r="K77" s="20" t="n">
        <f aca="false">IF(OR(K$5&lt;=$B77,K$5&gt;Assumptions!$C$109),1000000000000,K29+K53-K$14)</f>
        <v>1096955.19699691</v>
      </c>
      <c r="L77" s="20" t="n">
        <f aca="false">IF(OR(L$5&lt;=$B77,L$5&gt;Assumptions!$C$109),1000000000000,L29+L53-L$14)</f>
        <v>1212952.49670836</v>
      </c>
      <c r="M77" s="20" t="n">
        <f aca="false">IF(OR(M$5&lt;=$B77,M$5&gt;Assumptions!$C$109),1000000000000,M29+M53-M$14)</f>
        <v>1338215.7181596</v>
      </c>
      <c r="N77" s="20" t="n">
        <f aca="false">IF(OR(N$5&lt;=$B77,N$5&gt;Assumptions!$C$109),1000000000000,N29+N53-N$14)</f>
        <v>1471298.35255979</v>
      </c>
      <c r="O77" s="20" t="n">
        <f aca="false">IF(OR(O$5&lt;=$B77,O$5&gt;Assumptions!$C$109),1000000000000,O29+O53-O$14)</f>
        <v>1610035.52337567</v>
      </c>
      <c r="P77" s="20" t="n">
        <f aca="false">IF(OR(P$5&lt;=$B77,P$5&gt;Assumptions!$C$109),1000000000000,P29+P53-P$14)</f>
        <v>1754002.35684797</v>
      </c>
      <c r="Q77" s="20" t="n">
        <f aca="false">IF(OR(Q$5&lt;=$B77,Q$5&gt;Assumptions!$C$109),1000000000000,Q29+Q53-Q$14)</f>
        <v>1902695.65219447</v>
      </c>
      <c r="R77" s="20" t="n">
        <f aca="false">IF(OR(R$5&lt;=$B77,R$5&gt;Assumptions!$C$109),1000000000000,R29+R53-R$14)</f>
        <v>2055534.22492271</v>
      </c>
      <c r="S77" s="20" t="n">
        <f aca="false">IF(OR(S$5&lt;=$B77,S$5&gt;Assumptions!$C$109),1000000000000,S29+S53-S$14)</f>
        <v>2211860.44412292</v>
      </c>
      <c r="T77" s="20" t="n">
        <f aca="false">IF(OR(T$5&lt;=$B77,T$5&gt;Assumptions!$C$109),1000000000000,T29+T53-T$14)</f>
        <v>2370943.02280312</v>
      </c>
      <c r="U77" s="20" t="n">
        <f aca="false">IF(OR(U$5&lt;=$B77,U$5&gt;Assumptions!$C$109),1000000000000,U29+U53-U$14)</f>
        <v>2531981.09837988</v>
      </c>
      <c r="V77" s="20" t="n">
        <f aca="false">IF(OR(V$5&lt;=$B77,V$5&gt;Assumptions!$C$109),1000000000000,V29+V53-V$14)</f>
        <v>2764988.26837942</v>
      </c>
      <c r="W77" s="20" t="n">
        <f aca="false">IF(OR(W$5&lt;=$B77,W$5&gt;Assumptions!$C$109),1000000000000,W29+W53-W$14)</f>
        <v>2965435.08802923</v>
      </c>
      <c r="X77" s="20" t="n">
        <f aca="false">IF(OR(X$5&lt;=$B77,X$5&gt;Assumptions!$C$109),1000000000000,X29+X53-X$14)</f>
        <v>3166962.71570396</v>
      </c>
      <c r="Y77" s="20" t="n">
        <f aca="false">IF(OR(Y$5&lt;=$B77,Y$5&gt;Assumptions!$C$109),1000000000000,Y29+Y53-Y$14)</f>
        <v>3368405.63063455</v>
      </c>
      <c r="Z77" s="20" t="n">
        <f aca="false">IF(OR(Z$5&lt;=$B77,Z$5&gt;Assumptions!$C$109),1000000000000,Z29+Z53-Z$14)</f>
        <v>1000000000000</v>
      </c>
      <c r="AA77" s="20" t="n">
        <f aca="false">IF(OR(AA$5&lt;=$B77,AA$5&gt;Assumptions!$C$109),1000000000000,AA29+AA53-AA$14)</f>
        <v>1000000000000</v>
      </c>
      <c r="AB77" s="20" t="n">
        <f aca="false">IF(OR(AB$5&lt;=$B77,AB$5&gt;Assumptions!$C$109),1000000000000,AB29+AB53-AB$14)</f>
        <v>1000000000000</v>
      </c>
      <c r="AC77" s="20" t="n">
        <f aca="false">IF(OR(AC$5&lt;=$B77,AC$5&gt;Assumptions!$C$109),1000000000000,AC29+AC53-AC$14)</f>
        <v>1000000000000</v>
      </c>
      <c r="AD77" s="20" t="n">
        <f aca="false">IF(OR(AD$5&lt;=$B77,AD$5&gt;Assumptions!$C$109),1000000000000,AD29+AD53-AD$14)</f>
        <v>1000000000000</v>
      </c>
      <c r="AE77" s="20" t="n">
        <f aca="false">IF(OR(AE$5&lt;=$B77,AE$5&gt;Assumptions!$C$109),1000000000000,AE29+AE53-AE$14)</f>
        <v>1000000000000</v>
      </c>
      <c r="AF77" s="20" t="n">
        <f aca="false">IF(OR(AF$5&lt;=$B77,AF$5&gt;Assumptions!$C$109),1000000000000,AF29+AF53-AF$14)</f>
        <v>1000000000000</v>
      </c>
    </row>
    <row r="78" customFormat="false" ht="15" hidden="false" customHeight="true" outlineLevel="0" collapsed="false">
      <c r="B78" s="67" t="n">
        <v>2034</v>
      </c>
      <c r="C78" s="20" t="n">
        <f aca="false">IF(OR(C$5&lt;=$B78,C$5&gt;Assumptions!$C$109),1000000000000,C30+C54-C$14)</f>
        <v>1000000000000</v>
      </c>
      <c r="D78" s="20" t="n">
        <f aca="false">IF(OR(D$5&lt;=$B78,D$5&gt;Assumptions!$C$109),1000000000000,D30+D54-D$14)</f>
        <v>1000000000000</v>
      </c>
      <c r="E78" s="20" t="n">
        <f aca="false">IF(OR(E$5&lt;=$B78,E$5&gt;Assumptions!$C$109),1000000000000,E30+E54-E$14)</f>
        <v>1000000000000</v>
      </c>
      <c r="F78" s="20" t="n">
        <f aca="false">IF(OR(F$5&lt;=$B78,F$5&gt;Assumptions!$C$109),1000000000000,F30+F54-F$14)</f>
        <v>1000000000000</v>
      </c>
      <c r="G78" s="20" t="n">
        <f aca="false">IF(OR(G$5&lt;=$B78,G$5&gt;Assumptions!$C$109),1000000000000,G30+G54-G$14)</f>
        <v>1000000000000</v>
      </c>
      <c r="H78" s="20" t="n">
        <f aca="false">IF(OR(H$5&lt;=$B78,H$5&gt;Assumptions!$C$109),1000000000000,H30+H54-H$14)</f>
        <v>1000000000000</v>
      </c>
      <c r="I78" s="20" t="n">
        <f aca="false">IF(OR(I$5&lt;=$B78,I$5&gt;Assumptions!$C$109),1000000000000,I30+I54-I$14)</f>
        <v>1000000000000</v>
      </c>
      <c r="J78" s="20" t="n">
        <f aca="false">IF(OR(J$5&lt;=$B78,J$5&gt;Assumptions!$C$109),1000000000000,J30+J54-J$14)</f>
        <v>1000000000000</v>
      </c>
      <c r="K78" s="20" t="n">
        <f aca="false">IF(OR(K$5&lt;=$B78,K$5&gt;Assumptions!$C$109),1000000000000,K30+K54-K$14)</f>
        <v>1000000000000</v>
      </c>
      <c r="L78" s="20" t="n">
        <f aca="false">IF(OR(L$5&lt;=$B78,L$5&gt;Assumptions!$C$109),1000000000000,L30+L54-L$14)</f>
        <v>1308713.87254388</v>
      </c>
      <c r="M78" s="20" t="n">
        <f aca="false">IF(OR(M$5&lt;=$B78,M$5&gt;Assumptions!$C$109),1000000000000,M30+M54-M$14)</f>
        <v>1440902.9994641</v>
      </c>
      <c r="N78" s="20" t="n">
        <f aca="false">IF(OR(N$5&lt;=$B78,N$5&gt;Assumptions!$C$109),1000000000000,N30+N54-N$14)</f>
        <v>1581263.80554998</v>
      </c>
      <c r="O78" s="20" t="n">
        <f aca="false">IF(OR(O$5&lt;=$B78,O$5&gt;Assumptions!$C$109),1000000000000,O30+O54-O$14)</f>
        <v>1727470.88164647</v>
      </c>
      <c r="P78" s="20" t="n">
        <f aca="false">IF(OR(P$5&lt;=$B78,P$5&gt;Assumptions!$C$109),1000000000000,P30+P54-P$14)</f>
        <v>1879068.92674483</v>
      </c>
      <c r="Q78" s="20" t="n">
        <f aca="false">IF(OR(Q$5&lt;=$B78,Q$5&gt;Assumptions!$C$109),1000000000000,Q30+Q54-Q$14)</f>
        <v>2035520.7328693</v>
      </c>
      <c r="R78" s="20" t="n">
        <f aca="false">IF(OR(R$5&lt;=$B78,R$5&gt;Assumptions!$C$109),1000000000000,R30+R54-R$14)</f>
        <v>2196207.67556982</v>
      </c>
      <c r="S78" s="20" t="n">
        <f aca="false">IF(OR(S$5&lt;=$B78,S$5&gt;Assumptions!$C$109),1000000000000,S30+S54-S$14)</f>
        <v>2360431.45935205</v>
      </c>
      <c r="T78" s="20" t="n">
        <f aca="false">IF(OR(T$5&lt;=$B78,T$5&gt;Assumptions!$C$109),1000000000000,T30+T54-T$14)</f>
        <v>2527417.17774216</v>
      </c>
      <c r="U78" s="20" t="n">
        <f aca="false">IF(OR(U$5&lt;=$B78,U$5&gt;Assumptions!$C$109),1000000000000,U30+U54-U$14)</f>
        <v>2696317.72451107</v>
      </c>
      <c r="V78" s="20" t="n">
        <f aca="false">IF(OR(V$5&lt;=$B78,V$5&gt;Assumptions!$C$109),1000000000000,V30+V54-V$14)</f>
        <v>2937098.21922745</v>
      </c>
      <c r="W78" s="20" t="n">
        <f aca="false">IF(OR(W$5&lt;=$B78,W$5&gt;Assumptions!$C$109),1000000000000,W30+W54-W$14)</f>
        <v>3145178.95059305</v>
      </c>
      <c r="X78" s="20" t="n">
        <f aca="false">IF(OR(X$5&lt;=$B78,X$5&gt;Assumptions!$C$109),1000000000000,X30+X54-X$14)</f>
        <v>3354149.51894675</v>
      </c>
      <c r="Y78" s="20" t="n">
        <f aca="false">IF(OR(Y$5&lt;=$B78,Y$5&gt;Assumptions!$C$109),1000000000000,Y30+Y54-Y$14)</f>
        <v>3562792.09644156</v>
      </c>
      <c r="Z78" s="20" t="n">
        <f aca="false">IF(OR(Z$5&lt;=$B78,Z$5&gt;Assumptions!$C$109),1000000000000,Z30+Z54-Z$14)</f>
        <v>1000000000000</v>
      </c>
      <c r="AA78" s="20" t="n">
        <f aca="false">IF(OR(AA$5&lt;=$B78,AA$5&gt;Assumptions!$C$109),1000000000000,AA30+AA54-AA$14)</f>
        <v>1000000000000</v>
      </c>
      <c r="AB78" s="20" t="n">
        <f aca="false">IF(OR(AB$5&lt;=$B78,AB$5&gt;Assumptions!$C$109),1000000000000,AB30+AB54-AB$14)</f>
        <v>1000000000000</v>
      </c>
      <c r="AC78" s="20" t="n">
        <f aca="false">IF(OR(AC$5&lt;=$B78,AC$5&gt;Assumptions!$C$109),1000000000000,AC30+AC54-AC$14)</f>
        <v>1000000000000</v>
      </c>
      <c r="AD78" s="20" t="n">
        <f aca="false">IF(OR(AD$5&lt;=$B78,AD$5&gt;Assumptions!$C$109),1000000000000,AD30+AD54-AD$14)</f>
        <v>1000000000000</v>
      </c>
      <c r="AE78" s="20" t="n">
        <f aca="false">IF(OR(AE$5&lt;=$B78,AE$5&gt;Assumptions!$C$109),1000000000000,AE30+AE54-AE$14)</f>
        <v>1000000000000</v>
      </c>
      <c r="AF78" s="20" t="n">
        <f aca="false">IF(OR(AF$5&lt;=$B78,AF$5&gt;Assumptions!$C$109),1000000000000,AF30+AF54-AF$14)</f>
        <v>1000000000000</v>
      </c>
    </row>
    <row r="79" customFormat="false" ht="15" hidden="false" customHeight="true" outlineLevel="0" collapsed="false">
      <c r="B79" s="67" t="n">
        <v>2035</v>
      </c>
      <c r="C79" s="20" t="n">
        <f aca="false">IF(OR(C$5&lt;=$B79,C$5&gt;Assumptions!$C$109),1000000000000,C31+C55-C$14)</f>
        <v>1000000000000</v>
      </c>
      <c r="D79" s="20" t="n">
        <f aca="false">IF(OR(D$5&lt;=$B79,D$5&gt;Assumptions!$C$109),1000000000000,D31+D55-D$14)</f>
        <v>1000000000000</v>
      </c>
      <c r="E79" s="20" t="n">
        <f aca="false">IF(OR(E$5&lt;=$B79,E$5&gt;Assumptions!$C$109),1000000000000,E31+E55-E$14)</f>
        <v>1000000000000</v>
      </c>
      <c r="F79" s="20" t="n">
        <f aca="false">IF(OR(F$5&lt;=$B79,F$5&gt;Assumptions!$C$109),1000000000000,F31+F55-F$14)</f>
        <v>1000000000000</v>
      </c>
      <c r="G79" s="20" t="n">
        <f aca="false">IF(OR(G$5&lt;=$B79,G$5&gt;Assumptions!$C$109),1000000000000,G31+G55-G$14)</f>
        <v>1000000000000</v>
      </c>
      <c r="H79" s="20" t="n">
        <f aca="false">IF(OR(H$5&lt;=$B79,H$5&gt;Assumptions!$C$109),1000000000000,H31+H55-H$14)</f>
        <v>1000000000000</v>
      </c>
      <c r="I79" s="20" t="n">
        <f aca="false">IF(OR(I$5&lt;=$B79,I$5&gt;Assumptions!$C$109),1000000000000,I31+I55-I$14)</f>
        <v>1000000000000</v>
      </c>
      <c r="J79" s="20" t="n">
        <f aca="false">IF(OR(J$5&lt;=$B79,J$5&gt;Assumptions!$C$109),1000000000000,J31+J55-J$14)</f>
        <v>1000000000000</v>
      </c>
      <c r="K79" s="20" t="n">
        <f aca="false">IF(OR(K$5&lt;=$B79,K$5&gt;Assumptions!$C$109),1000000000000,K31+K55-K$14)</f>
        <v>1000000000000</v>
      </c>
      <c r="L79" s="20" t="n">
        <f aca="false">IF(OR(L$5&lt;=$B79,L$5&gt;Assumptions!$C$109),1000000000000,L31+L55-L$14)</f>
        <v>1000000000000</v>
      </c>
      <c r="M79" s="20" t="n">
        <f aca="false">IF(OR(M$5&lt;=$B79,M$5&gt;Assumptions!$C$109),1000000000000,M31+M55-M$14)</f>
        <v>1538579.60281633</v>
      </c>
      <c r="N79" s="20" t="n">
        <f aca="false">IF(OR(N$5&lt;=$B79,N$5&gt;Assumptions!$C$109),1000000000000,N31+N55-N$14)</f>
        <v>1685858.31757555</v>
      </c>
      <c r="O79" s="20" t="n">
        <f aca="false">IF(OR(O$5&lt;=$B79,O$5&gt;Assumptions!$C$109),1000000000000,O31+O55-O$14)</f>
        <v>1839164.96839235</v>
      </c>
      <c r="P79" s="20" t="n">
        <f aca="false">IF(OR(P$5&lt;=$B79,P$5&gt;Assumptions!$C$109),1000000000000,P31+P55-P$14)</f>
        <v>1998015.28653045</v>
      </c>
      <c r="Q79" s="20" t="n">
        <f aca="false">IF(OR(Q$5&lt;=$B79,Q$5&gt;Assumptions!$C$109),1000000000000,Q31+Q55-Q$14)</f>
        <v>2161839.69738634</v>
      </c>
      <c r="R79" s="20" t="n">
        <f aca="false">IF(OR(R$5&lt;=$B79,R$5&gt;Assumptions!$C$109),1000000000000,R31+R55-R$14)</f>
        <v>2329983.95183716</v>
      </c>
      <c r="S79" s="20" t="n">
        <f aca="false">IF(OR(S$5&lt;=$B79,S$5&gt;Assumptions!$C$109),1000000000000,S31+S55-S$14)</f>
        <v>2501711.07045369</v>
      </c>
      <c r="T79" s="20" t="n">
        <f aca="false">IF(OR(T$5&lt;=$B79,T$5&gt;Assumptions!$C$109),1000000000000,T31+T55-T$14)</f>
        <v>2676204.66085939</v>
      </c>
      <c r="U79" s="20" t="n">
        <f aca="false">IF(OR(U$5&lt;=$B79,U$5&gt;Assumptions!$C$109),1000000000000,U31+U55-U$14)</f>
        <v>2852573.64417874</v>
      </c>
      <c r="V79" s="20" t="n">
        <f aca="false">IF(OR(V$5&lt;=$B79,V$5&gt;Assumptions!$C$109),1000000000000,V31+V55-V$14)</f>
        <v>3100737.05192974</v>
      </c>
      <c r="W79" s="20" t="n">
        <f aca="false">IF(OR(W$5&lt;=$B79,W$5&gt;Assumptions!$C$109),1000000000000,W31+W55-W$14)</f>
        <v>3316067.39372603</v>
      </c>
      <c r="X79" s="20" t="n">
        <f aca="false">IF(OR(X$5&lt;=$B79,X$5&gt;Assumptions!$C$109),1000000000000,X31+X55-X$14)</f>
        <v>3532105.27280316</v>
      </c>
      <c r="Y79" s="20" t="n">
        <f aca="false">IF(OR(Y$5&lt;=$B79,Y$5&gt;Assumptions!$C$109),1000000000000,Y31+Y55-Y$14)</f>
        <v>3747583.16224116</v>
      </c>
      <c r="Z79" s="20" t="n">
        <f aca="false">IF(OR(Z$5&lt;=$B79,Z$5&gt;Assumptions!$C$109),1000000000000,Z31+Z55-Z$14)</f>
        <v>1000000000000</v>
      </c>
      <c r="AA79" s="20" t="n">
        <f aca="false">IF(OR(AA$5&lt;=$B79,AA$5&gt;Assumptions!$C$109),1000000000000,AA31+AA55-AA$14)</f>
        <v>1000000000000</v>
      </c>
      <c r="AB79" s="20" t="n">
        <f aca="false">IF(OR(AB$5&lt;=$B79,AB$5&gt;Assumptions!$C$109),1000000000000,AB31+AB55-AB$14)</f>
        <v>1000000000000</v>
      </c>
      <c r="AC79" s="20" t="n">
        <f aca="false">IF(OR(AC$5&lt;=$B79,AC$5&gt;Assumptions!$C$109),1000000000000,AC31+AC55-AC$14)</f>
        <v>1000000000000</v>
      </c>
      <c r="AD79" s="20" t="n">
        <f aca="false">IF(OR(AD$5&lt;=$B79,AD$5&gt;Assumptions!$C$109),1000000000000,AD31+AD55-AD$14)</f>
        <v>1000000000000</v>
      </c>
      <c r="AE79" s="20" t="n">
        <f aca="false">IF(OR(AE$5&lt;=$B79,AE$5&gt;Assumptions!$C$109),1000000000000,AE31+AE55-AE$14)</f>
        <v>1000000000000</v>
      </c>
      <c r="AF79" s="20" t="n">
        <f aca="false">IF(OR(AF$5&lt;=$B79,AF$5&gt;Assumptions!$C$109),1000000000000,AF31+AF55-AF$14)</f>
        <v>1000000000000</v>
      </c>
    </row>
    <row r="80" customFormat="false" ht="15" hidden="false" customHeight="true" outlineLevel="0" collapsed="false">
      <c r="B80" s="67" t="n">
        <v>2036</v>
      </c>
      <c r="C80" s="20" t="n">
        <f aca="false">IF(OR(C$5&lt;=$B80,C$5&gt;Assumptions!$C$109),1000000000000,C32+C56-C$14)</f>
        <v>1000000000000</v>
      </c>
      <c r="D80" s="20" t="n">
        <f aca="false">IF(OR(D$5&lt;=$B80,D$5&gt;Assumptions!$C$109),1000000000000,D32+D56-D$14)</f>
        <v>1000000000000</v>
      </c>
      <c r="E80" s="20" t="n">
        <f aca="false">IF(OR(E$5&lt;=$B80,E$5&gt;Assumptions!$C$109),1000000000000,E32+E56-E$14)</f>
        <v>1000000000000</v>
      </c>
      <c r="F80" s="20" t="n">
        <f aca="false">IF(OR(F$5&lt;=$B80,F$5&gt;Assumptions!$C$109),1000000000000,F32+F56-F$14)</f>
        <v>1000000000000</v>
      </c>
      <c r="G80" s="20" t="n">
        <f aca="false">IF(OR(G$5&lt;=$B80,G$5&gt;Assumptions!$C$109),1000000000000,G32+G56-G$14)</f>
        <v>1000000000000</v>
      </c>
      <c r="H80" s="20" t="n">
        <f aca="false">IF(OR(H$5&lt;=$B80,H$5&gt;Assumptions!$C$109),1000000000000,H32+H56-H$14)</f>
        <v>1000000000000</v>
      </c>
      <c r="I80" s="20" t="n">
        <f aca="false">IF(OR(I$5&lt;=$B80,I$5&gt;Assumptions!$C$109),1000000000000,I32+I56-I$14)</f>
        <v>1000000000000</v>
      </c>
      <c r="J80" s="20" t="n">
        <f aca="false">IF(OR(J$5&lt;=$B80,J$5&gt;Assumptions!$C$109),1000000000000,J32+J56-J$14)</f>
        <v>1000000000000</v>
      </c>
      <c r="K80" s="20" t="n">
        <f aca="false">IF(OR(K$5&lt;=$B80,K$5&gt;Assumptions!$C$109),1000000000000,K32+K56-K$14)</f>
        <v>1000000000000</v>
      </c>
      <c r="L80" s="20" t="n">
        <f aca="false">IF(OR(L$5&lt;=$B80,L$5&gt;Assumptions!$C$109),1000000000000,L32+L56-L$14)</f>
        <v>1000000000000</v>
      </c>
      <c r="M80" s="20" t="n">
        <f aca="false">IF(OR(M$5&lt;=$B80,M$5&gt;Assumptions!$C$109),1000000000000,M32+M56-M$14)</f>
        <v>1000000000000</v>
      </c>
      <c r="N80" s="20" t="n">
        <f aca="false">IF(OR(N$5&lt;=$B80,N$5&gt;Assumptions!$C$109),1000000000000,N32+N56-N$14)</f>
        <v>1785349.08054698</v>
      </c>
      <c r="O80" s="20" t="n">
        <f aca="false">IF(OR(O$5&lt;=$B80,O$5&gt;Assumptions!$C$109),1000000000000,O32+O56-O$14)</f>
        <v>1945403.66222506</v>
      </c>
      <c r="P80" s="20" t="n">
        <f aca="false">IF(OR(P$5&lt;=$B80,P$5&gt;Assumptions!$C$109),1000000000000,P32+P56-P$14)</f>
        <v>2111146.46480751</v>
      </c>
      <c r="Q80" s="20" t="n">
        <f aca="false">IF(OR(Q$5&lt;=$B80,Q$5&gt;Assumptions!$C$109),1000000000000,Q32+Q56-Q$14)</f>
        <v>2281977.10699577</v>
      </c>
      <c r="R80" s="20" t="n">
        <f aca="false">IF(OR(R$5&lt;=$B80,R$5&gt;Assumptions!$C$109),1000000000000,R32+R56-R$14)</f>
        <v>2457207.44061482</v>
      </c>
      <c r="S80" s="20" t="n">
        <f aca="false">IF(OR(S$5&lt;=$B80,S$5&gt;Assumptions!$C$109),1000000000000,S32+S56-S$14)</f>
        <v>2636063.68468155</v>
      </c>
      <c r="T80" s="20" t="n">
        <f aca="false">IF(OR(T$5&lt;=$B80,T$5&gt;Assumptions!$C$109),1000000000000,T32+T56-T$14)</f>
        <v>2817689.98820562</v>
      </c>
      <c r="U80" s="20" t="n">
        <f aca="false">IF(OR(U$5&lt;=$B80,U$5&gt;Assumptions!$C$109),1000000000000,U32+U56-U$14)</f>
        <v>3001153.45709303</v>
      </c>
      <c r="V80" s="20" t="n">
        <f aca="false">IF(OR(V$5&lt;=$B80,V$5&gt;Assumptions!$C$109),1000000000000,V32+V56-V$14)</f>
        <v>3256329.30476145</v>
      </c>
      <c r="W80" s="20" t="n">
        <f aca="false">IF(OR(W$5&lt;=$B80,W$5&gt;Assumptions!$C$109),1000000000000,W32+W56-W$14)</f>
        <v>3478544.62387666</v>
      </c>
      <c r="X80" s="20" t="n">
        <f aca="false">IF(OR(X$5&lt;=$B80,X$5&gt;Assumptions!$C$109),1000000000000,X32+X56-X$14)</f>
        <v>3701293.45204906</v>
      </c>
      <c r="Y80" s="20" t="n">
        <f aca="false">IF(OR(Y$5&lt;=$B80,Y$5&gt;Assumptions!$C$109),1000000000000,Y32+Y56-Y$14)</f>
        <v>3923261.03899072</v>
      </c>
      <c r="Z80" s="20" t="n">
        <f aca="false">IF(OR(Z$5&lt;=$B80,Z$5&gt;Assumptions!$C$109),1000000000000,Z32+Z56-Z$14)</f>
        <v>1000000000000</v>
      </c>
      <c r="AA80" s="20" t="n">
        <f aca="false">IF(OR(AA$5&lt;=$B80,AA$5&gt;Assumptions!$C$109),1000000000000,AA32+AA56-AA$14)</f>
        <v>1000000000000</v>
      </c>
      <c r="AB80" s="20" t="n">
        <f aca="false">IF(OR(AB$5&lt;=$B80,AB$5&gt;Assumptions!$C$109),1000000000000,AB32+AB56-AB$14)</f>
        <v>1000000000000</v>
      </c>
      <c r="AC80" s="20" t="n">
        <f aca="false">IF(OR(AC$5&lt;=$B80,AC$5&gt;Assumptions!$C$109),1000000000000,AC32+AC56-AC$14)</f>
        <v>1000000000000</v>
      </c>
      <c r="AD80" s="20" t="n">
        <f aca="false">IF(OR(AD$5&lt;=$B80,AD$5&gt;Assumptions!$C$109),1000000000000,AD32+AD56-AD$14)</f>
        <v>1000000000000</v>
      </c>
      <c r="AE80" s="20" t="n">
        <f aca="false">IF(OR(AE$5&lt;=$B80,AE$5&gt;Assumptions!$C$109),1000000000000,AE32+AE56-AE$14)</f>
        <v>1000000000000</v>
      </c>
      <c r="AF80" s="20" t="n">
        <f aca="false">IF(OR(AF$5&lt;=$B80,AF$5&gt;Assumptions!$C$109),1000000000000,AF32+AF56-AF$14)</f>
        <v>1000000000000</v>
      </c>
    </row>
    <row r="81" customFormat="false" ht="15" hidden="false" customHeight="true" outlineLevel="0" collapsed="false">
      <c r="B81" s="67" t="n">
        <v>2037</v>
      </c>
      <c r="C81" s="20" t="n">
        <f aca="false">IF(OR(C$5&lt;=$B81,C$5&gt;Assumptions!$C$109),1000000000000,C33+C57-C$14)</f>
        <v>1000000000000</v>
      </c>
      <c r="D81" s="20" t="n">
        <f aca="false">IF(OR(D$5&lt;=$B81,D$5&gt;Assumptions!$C$109),1000000000000,D33+D57-D$14)</f>
        <v>1000000000000</v>
      </c>
      <c r="E81" s="20" t="n">
        <f aca="false">IF(OR(E$5&lt;=$B81,E$5&gt;Assumptions!$C$109),1000000000000,E33+E57-E$14)</f>
        <v>1000000000000</v>
      </c>
      <c r="F81" s="20" t="n">
        <f aca="false">IF(OR(F$5&lt;=$B81,F$5&gt;Assumptions!$C$109),1000000000000,F33+F57-F$14)</f>
        <v>1000000000000</v>
      </c>
      <c r="G81" s="20" t="n">
        <f aca="false">IF(OR(G$5&lt;=$B81,G$5&gt;Assumptions!$C$109),1000000000000,G33+G57-G$14)</f>
        <v>1000000000000</v>
      </c>
      <c r="H81" s="20" t="n">
        <f aca="false">IF(OR(H$5&lt;=$B81,H$5&gt;Assumptions!$C$109),1000000000000,H33+H57-H$14)</f>
        <v>1000000000000</v>
      </c>
      <c r="I81" s="20" t="n">
        <f aca="false">IF(OR(I$5&lt;=$B81,I$5&gt;Assumptions!$C$109),1000000000000,I33+I57-I$14)</f>
        <v>1000000000000</v>
      </c>
      <c r="J81" s="20" t="n">
        <f aca="false">IF(OR(J$5&lt;=$B81,J$5&gt;Assumptions!$C$109),1000000000000,J33+J57-J$14)</f>
        <v>1000000000000</v>
      </c>
      <c r="K81" s="20" t="n">
        <f aca="false">IF(OR(K$5&lt;=$B81,K$5&gt;Assumptions!$C$109),1000000000000,K33+K57-K$14)</f>
        <v>1000000000000</v>
      </c>
      <c r="L81" s="20" t="n">
        <f aca="false">IF(OR(L$5&lt;=$B81,L$5&gt;Assumptions!$C$109),1000000000000,L33+L57-L$14)</f>
        <v>1000000000000</v>
      </c>
      <c r="M81" s="20" t="n">
        <f aca="false">IF(OR(M$5&lt;=$B81,M$5&gt;Assumptions!$C$109),1000000000000,M33+M57-M$14)</f>
        <v>1000000000000</v>
      </c>
      <c r="N81" s="20" t="n">
        <f aca="false">IF(OR(N$5&lt;=$B81,N$5&gt;Assumptions!$C$109),1000000000000,N33+N57-N$14)</f>
        <v>1000000000000</v>
      </c>
      <c r="O81" s="20" t="n">
        <f aca="false">IF(OR(O$5&lt;=$B81,O$5&gt;Assumptions!$C$109),1000000000000,O33+O57-O$14)</f>
        <v>2046599.92066232</v>
      </c>
      <c r="P81" s="20" t="n">
        <f aca="false">IF(OR(P$5&lt;=$B81,P$5&gt;Assumptions!$C$109),1000000000000,P33+P57-P$14)</f>
        <v>2218902.75496625</v>
      </c>
      <c r="Q81" s="20" t="n">
        <f aca="false">IF(OR(Q$5&lt;=$B81,Q$5&gt;Assumptions!$C$109),1000000000000,Q33+Q57-Q$14)</f>
        <v>2396401.10222694</v>
      </c>
      <c r="R81" s="20" t="n">
        <f aca="false">IF(OR(R$5&lt;=$B81,R$5&gt;Assumptions!$C$109),1000000000000,R33+R57-R$14)</f>
        <v>2578374.51047366</v>
      </c>
      <c r="S81" s="20" t="n">
        <f aca="false">IF(OR(S$5&lt;=$B81,S$5&gt;Assumptions!$C$109),1000000000000,S33+S57-S$14)</f>
        <v>2764014.13718688</v>
      </c>
      <c r="T81" s="20" t="n">
        <f aca="false">IF(OR(T$5&lt;=$B81,T$5&gt;Assumptions!$C$109),1000000000000,T33+T57-T$14)</f>
        <v>2952426.54657294</v>
      </c>
      <c r="U81" s="20" t="n">
        <f aca="false">IF(OR(U$5&lt;=$B81,U$5&gt;Assumptions!$C$109),1000000000000,U33+U57-U$14)</f>
        <v>3142639.02326047</v>
      </c>
      <c r="V81" s="20" t="n">
        <f aca="false">IF(OR(V$5&lt;=$B81,V$5&gt;Assumptions!$C$109),1000000000000,V33+V57-V$14)</f>
        <v>3404485.06034601</v>
      </c>
      <c r="W81" s="20" t="n">
        <f aca="false">IF(OR(W$5&lt;=$B81,W$5&gt;Assumptions!$C$109),1000000000000,W33+W57-W$14)</f>
        <v>3633248.51636423</v>
      </c>
      <c r="X81" s="20" t="n">
        <f aca="false">IF(OR(X$5&lt;=$B81,X$5&gt;Assumptions!$C$109),1000000000000,X33+X57-X$14)</f>
        <v>3862379.11002807</v>
      </c>
      <c r="Y81" s="20" t="n">
        <f aca="false">IF(OR(Y$5&lt;=$B81,Y$5&gt;Assumptions!$C$109),1000000000000,Y33+Y57-Y$14)</f>
        <v>4090517.15510822</v>
      </c>
      <c r="Z81" s="20" t="n">
        <f aca="false">IF(OR(Z$5&lt;=$B81,Z$5&gt;Assumptions!$C$109),1000000000000,Z33+Z57-Z$14)</f>
        <v>1000000000000</v>
      </c>
      <c r="AA81" s="20" t="n">
        <f aca="false">IF(OR(AA$5&lt;=$B81,AA$5&gt;Assumptions!$C$109),1000000000000,AA33+AA57-AA$14)</f>
        <v>1000000000000</v>
      </c>
      <c r="AB81" s="20" t="n">
        <f aca="false">IF(OR(AB$5&lt;=$B81,AB$5&gt;Assumptions!$C$109),1000000000000,AB33+AB57-AB$14)</f>
        <v>1000000000000</v>
      </c>
      <c r="AC81" s="20" t="n">
        <f aca="false">IF(OR(AC$5&lt;=$B81,AC$5&gt;Assumptions!$C$109),1000000000000,AC33+AC57-AC$14)</f>
        <v>1000000000000</v>
      </c>
      <c r="AD81" s="20" t="n">
        <f aca="false">IF(OR(AD$5&lt;=$B81,AD$5&gt;Assumptions!$C$109),1000000000000,AD33+AD57-AD$14)</f>
        <v>1000000000000</v>
      </c>
      <c r="AE81" s="20" t="n">
        <f aca="false">IF(OR(AE$5&lt;=$B81,AE$5&gt;Assumptions!$C$109),1000000000000,AE33+AE57-AE$14)</f>
        <v>1000000000000</v>
      </c>
      <c r="AF81" s="20" t="n">
        <f aca="false">IF(OR(AF$5&lt;=$B81,AF$5&gt;Assumptions!$C$109),1000000000000,AF33+AF57-AF$14)</f>
        <v>1000000000000</v>
      </c>
    </row>
    <row r="82" customFormat="false" ht="15" hidden="false" customHeight="true" outlineLevel="0" collapsed="false">
      <c r="B82" s="67" t="n">
        <v>2038</v>
      </c>
      <c r="C82" s="20" t="n">
        <f aca="false">IF(OR(C$5&lt;=$B82,C$5&gt;Assumptions!$C$109),1000000000000,C34+C58-C$14)</f>
        <v>1000000000000</v>
      </c>
      <c r="D82" s="20" t="n">
        <f aca="false">IF(OR(D$5&lt;=$B82,D$5&gt;Assumptions!$C$109),1000000000000,D34+D58-D$14)</f>
        <v>1000000000000</v>
      </c>
      <c r="E82" s="20" t="n">
        <f aca="false">IF(OR(E$5&lt;=$B82,E$5&gt;Assumptions!$C$109),1000000000000,E34+E58-E$14)</f>
        <v>1000000000000</v>
      </c>
      <c r="F82" s="20" t="n">
        <f aca="false">IF(OR(F$5&lt;=$B82,F$5&gt;Assumptions!$C$109),1000000000000,F34+F58-F$14)</f>
        <v>1000000000000</v>
      </c>
      <c r="G82" s="20" t="n">
        <f aca="false">IF(OR(G$5&lt;=$B82,G$5&gt;Assumptions!$C$109),1000000000000,G34+G58-G$14)</f>
        <v>1000000000000</v>
      </c>
      <c r="H82" s="20" t="n">
        <f aca="false">IF(OR(H$5&lt;=$B82,H$5&gt;Assumptions!$C$109),1000000000000,H34+H58-H$14)</f>
        <v>1000000000000</v>
      </c>
      <c r="I82" s="20" t="n">
        <f aca="false">IF(OR(I$5&lt;=$B82,I$5&gt;Assumptions!$C$109),1000000000000,I34+I58-I$14)</f>
        <v>1000000000000</v>
      </c>
      <c r="J82" s="20" t="n">
        <f aca="false">IF(OR(J$5&lt;=$B82,J$5&gt;Assumptions!$C$109),1000000000000,J34+J58-J$14)</f>
        <v>1000000000000</v>
      </c>
      <c r="K82" s="20" t="n">
        <f aca="false">IF(OR(K$5&lt;=$B82,K$5&gt;Assumptions!$C$109),1000000000000,K34+K58-K$14)</f>
        <v>1000000000000</v>
      </c>
      <c r="L82" s="20" t="n">
        <f aca="false">IF(OR(L$5&lt;=$B82,L$5&gt;Assumptions!$C$109),1000000000000,L34+L58-L$14)</f>
        <v>1000000000000</v>
      </c>
      <c r="M82" s="20" t="n">
        <f aca="false">IF(OR(M$5&lt;=$B82,M$5&gt;Assumptions!$C$109),1000000000000,M34+M58-M$14)</f>
        <v>1000000000000</v>
      </c>
      <c r="N82" s="20" t="n">
        <f aca="false">IF(OR(N$5&lt;=$B82,N$5&gt;Assumptions!$C$109),1000000000000,N34+N58-N$14)</f>
        <v>1000000000000</v>
      </c>
      <c r="O82" s="20" t="n">
        <f aca="false">IF(OR(O$5&lt;=$B82,O$5&gt;Assumptions!$C$109),1000000000000,O34+O58-O$14)</f>
        <v>1000000000000</v>
      </c>
      <c r="P82" s="20" t="n">
        <f aca="false">IF(OR(P$5&lt;=$B82,P$5&gt;Assumptions!$C$109),1000000000000,P34+P58-P$14)</f>
        <v>2321832.93238279</v>
      </c>
      <c r="Q82" s="20" t="n">
        <f aca="false">IF(OR(Q$5&lt;=$B82,Q$5&gt;Assumptions!$C$109),1000000000000,Q34+Q58-Q$14)</f>
        <v>2505694.93712435</v>
      </c>
      <c r="R82" s="20" t="n">
        <f aca="false">IF(OR(R$5&lt;=$B82,R$5&gt;Assumptions!$C$109),1000000000000,R34+R58-R$14)</f>
        <v>2694103.34109538</v>
      </c>
      <c r="S82" s="20" t="n">
        <f aca="false">IF(OR(S$5&lt;=$B82,S$5&gt;Assumptions!$C$109),1000000000000,S34+S58-S$14)</f>
        <v>2886215.80247543</v>
      </c>
      <c r="T82" s="20" t="n">
        <f aca="false">IF(OR(T$5&lt;=$B82,T$5&gt;Assumptions!$C$109),1000000000000,T34+T58-T$14)</f>
        <v>3081102.98314905</v>
      </c>
      <c r="U82" s="20" t="n">
        <f aca="false">IF(OR(U$5&lt;=$B82,U$5&gt;Assumptions!$C$109),1000000000000,U34+U58-U$14)</f>
        <v>3277754.13693676</v>
      </c>
      <c r="V82" s="20" t="n">
        <f aca="false">IF(OR(V$5&lt;=$B82,V$5&gt;Assumptions!$C$109),1000000000000,V34+V58-V$14)</f>
        <v>3545962.92044959</v>
      </c>
      <c r="W82" s="20" t="n">
        <f aca="false">IF(OR(W$5&lt;=$B82,W$5&gt;Assumptions!$C$109),1000000000000,W34+W58-W$14)</f>
        <v>3780971.91841799</v>
      </c>
      <c r="X82" s="20" t="n">
        <f aca="false">IF(OR(X$5&lt;=$B82,X$5&gt;Assumptions!$C$109),1000000000000,X34+X58-X$14)</f>
        <v>4016188.54850994</v>
      </c>
      <c r="Y82" s="20" t="n">
        <f aca="false">IF(OR(Y$5&lt;=$B82,Y$5&gt;Assumptions!$C$109),1000000000000,Y34+Y58-Y$14)</f>
        <v>4250210.24309236</v>
      </c>
      <c r="Z82" s="20" t="n">
        <f aca="false">IF(OR(Z$5&lt;=$B82,Z$5&gt;Assumptions!$C$109),1000000000000,Z34+Z58-Z$14)</f>
        <v>1000000000000</v>
      </c>
      <c r="AA82" s="20" t="n">
        <f aca="false">IF(OR(AA$5&lt;=$B82,AA$5&gt;Assumptions!$C$109),1000000000000,AA34+AA58-AA$14)</f>
        <v>1000000000000</v>
      </c>
      <c r="AB82" s="20" t="n">
        <f aca="false">IF(OR(AB$5&lt;=$B82,AB$5&gt;Assumptions!$C$109),1000000000000,AB34+AB58-AB$14)</f>
        <v>1000000000000</v>
      </c>
      <c r="AC82" s="20" t="n">
        <f aca="false">IF(OR(AC$5&lt;=$B82,AC$5&gt;Assumptions!$C$109),1000000000000,AC34+AC58-AC$14)</f>
        <v>1000000000000</v>
      </c>
      <c r="AD82" s="20" t="n">
        <f aca="false">IF(OR(AD$5&lt;=$B82,AD$5&gt;Assumptions!$C$109),1000000000000,AD34+AD58-AD$14)</f>
        <v>1000000000000</v>
      </c>
      <c r="AE82" s="20" t="n">
        <f aca="false">IF(OR(AE$5&lt;=$B82,AE$5&gt;Assumptions!$C$109),1000000000000,AE34+AE58-AE$14)</f>
        <v>1000000000000</v>
      </c>
      <c r="AF82" s="20" t="n">
        <f aca="false">IF(OR(AF$5&lt;=$B82,AF$5&gt;Assumptions!$C$109),1000000000000,AF34+AF58-AF$14)</f>
        <v>1000000000000</v>
      </c>
    </row>
    <row r="83" customFormat="false" ht="15" hidden="false" customHeight="true" outlineLevel="0" collapsed="false">
      <c r="B83" s="67" t="n">
        <v>2039</v>
      </c>
      <c r="C83" s="20" t="n">
        <f aca="false">IF(OR(C$5&lt;=$B83,C$5&gt;Assumptions!$C$109),1000000000000,C35+C59-C$14)</f>
        <v>1000000000000</v>
      </c>
      <c r="D83" s="20" t="n">
        <f aca="false">IF(OR(D$5&lt;=$B83,D$5&gt;Assumptions!$C$109),1000000000000,D35+D59-D$14)</f>
        <v>1000000000000</v>
      </c>
      <c r="E83" s="20" t="n">
        <f aca="false">IF(OR(E$5&lt;=$B83,E$5&gt;Assumptions!$C$109),1000000000000,E35+E59-E$14)</f>
        <v>1000000000000</v>
      </c>
      <c r="F83" s="20" t="n">
        <f aca="false">IF(OR(F$5&lt;=$B83,F$5&gt;Assumptions!$C$109),1000000000000,F35+F59-F$14)</f>
        <v>1000000000000</v>
      </c>
      <c r="G83" s="20" t="n">
        <f aca="false">IF(OR(G$5&lt;=$B83,G$5&gt;Assumptions!$C$109),1000000000000,G35+G59-G$14)</f>
        <v>1000000000000</v>
      </c>
      <c r="H83" s="20" t="n">
        <f aca="false">IF(OR(H$5&lt;=$B83,H$5&gt;Assumptions!$C$109),1000000000000,H35+H59-H$14)</f>
        <v>1000000000000</v>
      </c>
      <c r="I83" s="20" t="n">
        <f aca="false">IF(OR(I$5&lt;=$B83,I$5&gt;Assumptions!$C$109),1000000000000,I35+I59-I$14)</f>
        <v>1000000000000</v>
      </c>
      <c r="J83" s="20" t="n">
        <f aca="false">IF(OR(J$5&lt;=$B83,J$5&gt;Assumptions!$C$109),1000000000000,J35+J59-J$14)</f>
        <v>1000000000000</v>
      </c>
      <c r="K83" s="20" t="n">
        <f aca="false">IF(OR(K$5&lt;=$B83,K$5&gt;Assumptions!$C$109),1000000000000,K35+K59-K$14)</f>
        <v>1000000000000</v>
      </c>
      <c r="L83" s="20" t="n">
        <f aca="false">IF(OR(L$5&lt;=$B83,L$5&gt;Assumptions!$C$109),1000000000000,L35+L59-L$14)</f>
        <v>1000000000000</v>
      </c>
      <c r="M83" s="20" t="n">
        <f aca="false">IF(OR(M$5&lt;=$B83,M$5&gt;Assumptions!$C$109),1000000000000,M35+M59-M$14)</f>
        <v>1000000000000</v>
      </c>
      <c r="N83" s="20" t="n">
        <f aca="false">IF(OR(N$5&lt;=$B83,N$5&gt;Assumptions!$C$109),1000000000000,N35+N59-N$14)</f>
        <v>1000000000000</v>
      </c>
      <c r="O83" s="20" t="n">
        <f aca="false">IF(OR(O$5&lt;=$B83,O$5&gt;Assumptions!$C$109),1000000000000,O35+O59-O$14)</f>
        <v>1000000000000</v>
      </c>
      <c r="P83" s="20" t="n">
        <f aca="false">IF(OR(P$5&lt;=$B83,P$5&gt;Assumptions!$C$109),1000000000000,P35+P59-P$14)</f>
        <v>1000000000000</v>
      </c>
      <c r="Q83" s="20" t="n">
        <f aca="false">IF(OR(Q$5&lt;=$B83,Q$5&gt;Assumptions!$C$109),1000000000000,Q35+Q59-Q$14)</f>
        <v>2610387.91177596</v>
      </c>
      <c r="R83" s="20" t="n">
        <f aca="false">IF(OR(R$5&lt;=$B83,R$5&gt;Assumptions!$C$109),1000000000000,R35+R59-R$14)</f>
        <v>2804954.89484283</v>
      </c>
      <c r="S83" s="20" t="n">
        <f aca="false">IF(OR(S$5&lt;=$B83,S$5&gt;Assumptions!$C$109),1000000000000,S35+S59-S$14)</f>
        <v>3003261.54572586</v>
      </c>
      <c r="T83" s="20" t="n">
        <f aca="false">IF(OR(T$5&lt;=$B83,T$5&gt;Assumptions!$C$109),1000000000000,T35+T59-T$14)</f>
        <v>3204344.13282437</v>
      </c>
      <c r="U83" s="20" t="n">
        <f aca="false">IF(OR(U$5&lt;=$B83,U$5&gt;Assumptions!$C$109),1000000000000,U35+U59-U$14)</f>
        <v>3407155.48499927</v>
      </c>
      <c r="V83" s="20" t="n">
        <f aca="false">IF(OR(V$5&lt;=$B83,V$5&gt;Assumptions!$C$109),1000000000000,V35+V59-V$14)</f>
        <v>3681451.11213429</v>
      </c>
      <c r="W83" s="20" t="n">
        <f aca="false">IF(OR(W$5&lt;=$B83,W$5&gt;Assumptions!$C$109),1000000000000,W35+W59-W$14)</f>
        <v>3922434.08369827</v>
      </c>
      <c r="X83" s="20" t="n">
        <f aca="false">IF(OR(X$5&lt;=$B83,X$5&gt;Assumptions!$C$109),1000000000000,X35+X59-X$14)</f>
        <v>4163471.32663805</v>
      </c>
      <c r="Y83" s="20" t="n">
        <f aca="false">IF(OR(Y$5&lt;=$B83,Y$5&gt;Assumptions!$C$109),1000000000000,Y35+Y59-Y$14)</f>
        <v>4403119.23533441</v>
      </c>
      <c r="Z83" s="20" t="n">
        <f aca="false">IF(OR(Z$5&lt;=$B83,Z$5&gt;Assumptions!$C$109),1000000000000,Z35+Z59-Z$14)</f>
        <v>1000000000000</v>
      </c>
      <c r="AA83" s="20" t="n">
        <f aca="false">IF(OR(AA$5&lt;=$B83,AA$5&gt;Assumptions!$C$109),1000000000000,AA35+AA59-AA$14)</f>
        <v>1000000000000</v>
      </c>
      <c r="AB83" s="20" t="n">
        <f aca="false">IF(OR(AB$5&lt;=$B83,AB$5&gt;Assumptions!$C$109),1000000000000,AB35+AB59-AB$14)</f>
        <v>1000000000000</v>
      </c>
      <c r="AC83" s="20" t="n">
        <f aca="false">IF(OR(AC$5&lt;=$B83,AC$5&gt;Assumptions!$C$109),1000000000000,AC35+AC59-AC$14)</f>
        <v>1000000000000</v>
      </c>
      <c r="AD83" s="20" t="n">
        <f aca="false">IF(OR(AD$5&lt;=$B83,AD$5&gt;Assumptions!$C$109),1000000000000,AD35+AD59-AD$14)</f>
        <v>1000000000000</v>
      </c>
      <c r="AE83" s="20" t="n">
        <f aca="false">IF(OR(AE$5&lt;=$B83,AE$5&gt;Assumptions!$C$109),1000000000000,AE35+AE59-AE$14)</f>
        <v>1000000000000</v>
      </c>
      <c r="AF83" s="20" t="n">
        <f aca="false">IF(OR(AF$5&lt;=$B83,AF$5&gt;Assumptions!$C$109),1000000000000,AF35+AF59-AF$14)</f>
        <v>1000000000000</v>
      </c>
    </row>
    <row r="84" customFormat="false" ht="15" hidden="false" customHeight="true" outlineLevel="0" collapsed="false">
      <c r="B84" s="67" t="n">
        <v>2040</v>
      </c>
      <c r="C84" s="20" t="n">
        <f aca="false">IF(OR(C$5&lt;=$B84,C$5&gt;Assumptions!$C$109),1000000000000,C36+C60-C$14)</f>
        <v>1000000000000</v>
      </c>
      <c r="D84" s="20" t="n">
        <f aca="false">IF(OR(D$5&lt;=$B84,D$5&gt;Assumptions!$C$109),1000000000000,D36+D60-D$14)</f>
        <v>1000000000000</v>
      </c>
      <c r="E84" s="20" t="n">
        <f aca="false">IF(OR(E$5&lt;=$B84,E$5&gt;Assumptions!$C$109),1000000000000,E36+E60-E$14)</f>
        <v>1000000000000</v>
      </c>
      <c r="F84" s="20" t="n">
        <f aca="false">IF(OR(F$5&lt;=$B84,F$5&gt;Assumptions!$C$109),1000000000000,F36+F60-F$14)</f>
        <v>1000000000000</v>
      </c>
      <c r="G84" s="20" t="n">
        <f aca="false">IF(OR(G$5&lt;=$B84,G$5&gt;Assumptions!$C$109),1000000000000,G36+G60-G$14)</f>
        <v>1000000000000</v>
      </c>
      <c r="H84" s="20" t="n">
        <f aca="false">IF(OR(H$5&lt;=$B84,H$5&gt;Assumptions!$C$109),1000000000000,H36+H60-H$14)</f>
        <v>1000000000000</v>
      </c>
      <c r="I84" s="20" t="n">
        <f aca="false">IF(OR(I$5&lt;=$B84,I$5&gt;Assumptions!$C$109),1000000000000,I36+I60-I$14)</f>
        <v>1000000000000</v>
      </c>
      <c r="J84" s="20" t="n">
        <f aca="false">IF(OR(J$5&lt;=$B84,J$5&gt;Assumptions!$C$109),1000000000000,J36+J60-J$14)</f>
        <v>1000000000000</v>
      </c>
      <c r="K84" s="20" t="n">
        <f aca="false">IF(OR(K$5&lt;=$B84,K$5&gt;Assumptions!$C$109),1000000000000,K36+K60-K$14)</f>
        <v>1000000000000</v>
      </c>
      <c r="L84" s="20" t="n">
        <f aca="false">IF(OR(L$5&lt;=$B84,L$5&gt;Assumptions!$C$109),1000000000000,L36+L60-L$14)</f>
        <v>1000000000000</v>
      </c>
      <c r="M84" s="20" t="n">
        <f aca="false">IF(OR(M$5&lt;=$B84,M$5&gt;Assumptions!$C$109),1000000000000,M36+M60-M$14)</f>
        <v>1000000000000</v>
      </c>
      <c r="N84" s="20" t="n">
        <f aca="false">IF(OR(N$5&lt;=$B84,N$5&gt;Assumptions!$C$109),1000000000000,N36+N60-N$14)</f>
        <v>1000000000000</v>
      </c>
      <c r="O84" s="20" t="n">
        <f aca="false">IF(OR(O$5&lt;=$B84,O$5&gt;Assumptions!$C$109),1000000000000,O36+O60-O$14)</f>
        <v>1000000000000</v>
      </c>
      <c r="P84" s="20" t="n">
        <f aca="false">IF(OR(P$5&lt;=$B84,P$5&gt;Assumptions!$C$109),1000000000000,P36+P60-P$14)</f>
        <v>1000000000000</v>
      </c>
      <c r="Q84" s="20" t="n">
        <f aca="false">IF(OR(Q$5&lt;=$B84,Q$5&gt;Assumptions!$C$109),1000000000000,Q36+Q60-Q$14)</f>
        <v>1000000000000</v>
      </c>
      <c r="R84" s="20" t="n">
        <f aca="false">IF(OR(R$5&lt;=$B84,R$5&gt;Assumptions!$C$109),1000000000000,R36+R60-R$14)</f>
        <v>2911440.00654795</v>
      </c>
      <c r="S84" s="20" t="n">
        <f aca="false">IF(OR(S$5&lt;=$B84,S$5&gt;Assumptions!$C$109),1000000000000,S36+S60-S$14)</f>
        <v>3115691.21987803</v>
      </c>
      <c r="T84" s="20" t="n">
        <f aca="false">IF(OR(T$5&lt;=$B84,T$5&gt;Assumptions!$C$109),1000000000000,T36+T60-T$14)</f>
        <v>3322718.92387243</v>
      </c>
      <c r="U84" s="20" t="n">
        <f aca="false">IF(OR(U$5&lt;=$B84,U$5&gt;Assumptions!$C$109),1000000000000,U36+U60-U$14)</f>
        <v>3531440.96017552</v>
      </c>
      <c r="V84" s="20" t="n">
        <f aca="false">IF(OR(V$5&lt;=$B84,V$5&gt;Assumptions!$C$109),1000000000000,V36+V60-V$14)</f>
        <v>3811576.2050304</v>
      </c>
      <c r="W84" s="20" t="n">
        <f aca="false">IF(OR(W$5&lt;=$B84,W$5&gt;Assumptions!$C$109),1000000000000,W36+W60-W$14)</f>
        <v>4058289.78754453</v>
      </c>
      <c r="X84" s="20" t="n">
        <f aca="false">IF(OR(X$5&lt;=$B84,X$5&gt;Assumptions!$C$109),1000000000000,X36+X60-X$14)</f>
        <v>4304909.76544316</v>
      </c>
      <c r="Y84" s="20" t="n">
        <f aca="false">IF(OR(Y$5&lt;=$B84,Y$5&gt;Assumptions!$C$109),1000000000000,Y36+Y60-Y$14)</f>
        <v>4549953.14649376</v>
      </c>
      <c r="Z84" s="20" t="n">
        <f aca="false">IF(OR(Z$5&lt;=$B84,Z$5&gt;Assumptions!$C$109),1000000000000,Z36+Z60-Z$14)</f>
        <v>1000000000000</v>
      </c>
      <c r="AA84" s="20" t="n">
        <f aca="false">IF(OR(AA$5&lt;=$B84,AA$5&gt;Assumptions!$C$109),1000000000000,AA36+AA60-AA$14)</f>
        <v>1000000000000</v>
      </c>
      <c r="AB84" s="20" t="n">
        <f aca="false">IF(OR(AB$5&lt;=$B84,AB$5&gt;Assumptions!$C$109),1000000000000,AB36+AB60-AB$14)</f>
        <v>1000000000000</v>
      </c>
      <c r="AC84" s="20" t="n">
        <f aca="false">IF(OR(AC$5&lt;=$B84,AC$5&gt;Assumptions!$C$109),1000000000000,AC36+AC60-AC$14)</f>
        <v>1000000000000</v>
      </c>
      <c r="AD84" s="20" t="n">
        <f aca="false">IF(OR(AD$5&lt;=$B84,AD$5&gt;Assumptions!$C$109),1000000000000,AD36+AD60-AD$14)</f>
        <v>1000000000000</v>
      </c>
      <c r="AE84" s="20" t="n">
        <f aca="false">IF(OR(AE$5&lt;=$B84,AE$5&gt;Assumptions!$C$109),1000000000000,AE36+AE60-AE$14)</f>
        <v>1000000000000</v>
      </c>
      <c r="AF84" s="20" t="n">
        <f aca="false">IF(OR(AF$5&lt;=$B84,AF$5&gt;Assumptions!$C$109),1000000000000,AF36+AF60-AF$14)</f>
        <v>1000000000000</v>
      </c>
    </row>
    <row r="85" customFormat="false" ht="15" hidden="false" customHeight="true" outlineLevel="0" collapsed="false">
      <c r="B85" s="67" t="n">
        <v>2041</v>
      </c>
      <c r="C85" s="20" t="n">
        <f aca="false">IF(OR(C$5&lt;=$B85,C$5&gt;Assumptions!$C$109),1000000000000,C37+C61-C$14)</f>
        <v>1000000000000</v>
      </c>
      <c r="D85" s="20" t="n">
        <f aca="false">IF(OR(D$5&lt;=$B85,D$5&gt;Assumptions!$C$109),1000000000000,D37+D61-D$14)</f>
        <v>1000000000000</v>
      </c>
      <c r="E85" s="20" t="n">
        <f aca="false">IF(OR(E$5&lt;=$B85,E$5&gt;Assumptions!$C$109),1000000000000,E37+E61-E$14)</f>
        <v>1000000000000</v>
      </c>
      <c r="F85" s="20" t="n">
        <f aca="false">IF(OR(F$5&lt;=$B85,F$5&gt;Assumptions!$C$109),1000000000000,F37+F61-F$14)</f>
        <v>1000000000000</v>
      </c>
      <c r="G85" s="20" t="n">
        <f aca="false">IF(OR(G$5&lt;=$B85,G$5&gt;Assumptions!$C$109),1000000000000,G37+G61-G$14)</f>
        <v>1000000000000</v>
      </c>
      <c r="H85" s="20" t="n">
        <f aca="false">IF(OR(H$5&lt;=$B85,H$5&gt;Assumptions!$C$109),1000000000000,H37+H61-H$14)</f>
        <v>1000000000000</v>
      </c>
      <c r="I85" s="20" t="n">
        <f aca="false">IF(OR(I$5&lt;=$B85,I$5&gt;Assumptions!$C$109),1000000000000,I37+I61-I$14)</f>
        <v>1000000000000</v>
      </c>
      <c r="J85" s="20" t="n">
        <f aca="false">IF(OR(J$5&lt;=$B85,J$5&gt;Assumptions!$C$109),1000000000000,J37+J61-J$14)</f>
        <v>1000000000000</v>
      </c>
      <c r="K85" s="20" t="n">
        <f aca="false">IF(OR(K$5&lt;=$B85,K$5&gt;Assumptions!$C$109),1000000000000,K37+K61-K$14)</f>
        <v>1000000000000</v>
      </c>
      <c r="L85" s="20" t="n">
        <f aca="false">IF(OR(L$5&lt;=$B85,L$5&gt;Assumptions!$C$109),1000000000000,L37+L61-L$14)</f>
        <v>1000000000000</v>
      </c>
      <c r="M85" s="20" t="n">
        <f aca="false">IF(OR(M$5&lt;=$B85,M$5&gt;Assumptions!$C$109),1000000000000,M37+M61-M$14)</f>
        <v>1000000000000</v>
      </c>
      <c r="N85" s="20" t="n">
        <f aca="false">IF(OR(N$5&lt;=$B85,N$5&gt;Assumptions!$C$109),1000000000000,N37+N61-N$14)</f>
        <v>1000000000000</v>
      </c>
      <c r="O85" s="20" t="n">
        <f aca="false">IF(OR(O$5&lt;=$B85,O$5&gt;Assumptions!$C$109),1000000000000,O37+O61-O$14)</f>
        <v>1000000000000</v>
      </c>
      <c r="P85" s="20" t="n">
        <f aca="false">IF(OR(P$5&lt;=$B85,P$5&gt;Assumptions!$C$109),1000000000000,P37+P61-P$14)</f>
        <v>1000000000000</v>
      </c>
      <c r="Q85" s="20" t="n">
        <f aca="false">IF(OR(Q$5&lt;=$B85,Q$5&gt;Assumptions!$C$109),1000000000000,Q37+Q61-Q$14)</f>
        <v>1000000000000</v>
      </c>
      <c r="R85" s="20" t="n">
        <f aca="false">IF(OR(R$5&lt;=$B85,R$5&gt;Assumptions!$C$109),1000000000000,R37+R61-R$14)</f>
        <v>1000000000000</v>
      </c>
      <c r="S85" s="20" t="n">
        <f aca="false">IF(OR(S$5&lt;=$B85,S$5&gt;Assumptions!$C$109),1000000000000,S37+S61-S$14)</f>
        <v>3223998.27692893</v>
      </c>
      <c r="T85" s="20" t="n">
        <f aca="false">IF(OR(T$5&lt;=$B85,T$5&gt;Assumptions!$C$109),1000000000000,T37+T61-T$14)</f>
        <v>3436747.34916534</v>
      </c>
      <c r="U85" s="20" t="n">
        <f aca="false">IF(OR(U$5&lt;=$B85,U$5&gt;Assumptions!$C$109),1000000000000,U37+U61-U$14)</f>
        <v>3651156.99121691</v>
      </c>
      <c r="V85" s="20" t="n">
        <f aca="false">IF(OR(V$5&lt;=$B85,V$5&gt;Assumptions!$C$109),1000000000000,V37+V61-V$14)</f>
        <v>3936910.79733768</v>
      </c>
      <c r="W85" s="20" t="n">
        <f aca="false">IF(OR(W$5&lt;=$B85,W$5&gt;Assumptions!$C$109),1000000000000,W37+W61-W$14)</f>
        <v>4189137.36341395</v>
      </c>
      <c r="X85" s="20" t="n">
        <f aca="false">IF(OR(X$5&lt;=$B85,X$5&gt;Assumptions!$C$109),1000000000000,X37+X61-X$14)</f>
        <v>4441127.3270007</v>
      </c>
      <c r="Y85" s="20" t="n">
        <f aca="false">IF(OR(Y$5&lt;=$B85,Y$5&gt;Assumptions!$C$109),1000000000000,Y37+Y61-Y$14)</f>
        <v>4691359.78528226</v>
      </c>
      <c r="Z85" s="20" t="n">
        <f aca="false">IF(OR(Z$5&lt;=$B85,Z$5&gt;Assumptions!$C$109),1000000000000,Z37+Z61-Z$14)</f>
        <v>1000000000000</v>
      </c>
      <c r="AA85" s="20" t="n">
        <f aca="false">IF(OR(AA$5&lt;=$B85,AA$5&gt;Assumptions!$C$109),1000000000000,AA37+AA61-AA$14)</f>
        <v>1000000000000</v>
      </c>
      <c r="AB85" s="20" t="n">
        <f aca="false">IF(OR(AB$5&lt;=$B85,AB$5&gt;Assumptions!$C$109),1000000000000,AB37+AB61-AB$14)</f>
        <v>1000000000000</v>
      </c>
      <c r="AC85" s="20" t="n">
        <f aca="false">IF(OR(AC$5&lt;=$B85,AC$5&gt;Assumptions!$C$109),1000000000000,AC37+AC61-AC$14)</f>
        <v>1000000000000</v>
      </c>
      <c r="AD85" s="20" t="n">
        <f aca="false">IF(OR(AD$5&lt;=$B85,AD$5&gt;Assumptions!$C$109),1000000000000,AD37+AD61-AD$14)</f>
        <v>1000000000000</v>
      </c>
      <c r="AE85" s="20" t="n">
        <f aca="false">IF(OR(AE$5&lt;=$B85,AE$5&gt;Assumptions!$C$109),1000000000000,AE37+AE61-AE$14)</f>
        <v>1000000000000</v>
      </c>
      <c r="AF85" s="20" t="n">
        <f aca="false">IF(OR(AF$5&lt;=$B85,AF$5&gt;Assumptions!$C$109),1000000000000,AF37+AF61-AF$14)</f>
        <v>1000000000000</v>
      </c>
    </row>
    <row r="86" customFormat="false" ht="15" hidden="false" customHeight="true" outlineLevel="0" collapsed="false">
      <c r="B86" s="67" t="n">
        <v>2042</v>
      </c>
      <c r="C86" s="20" t="n">
        <f aca="false">IF(OR(C$5&lt;=$B86,C$5&gt;Assumptions!$C$109),1000000000000,C38+C62-C$14)</f>
        <v>1000000000000</v>
      </c>
      <c r="D86" s="20" t="n">
        <f aca="false">IF(OR(D$5&lt;=$B86,D$5&gt;Assumptions!$C$109),1000000000000,D38+D62-D$14)</f>
        <v>1000000000000</v>
      </c>
      <c r="E86" s="20" t="n">
        <f aca="false">IF(OR(E$5&lt;=$B86,E$5&gt;Assumptions!$C$109),1000000000000,E38+E62-E$14)</f>
        <v>1000000000000</v>
      </c>
      <c r="F86" s="20" t="n">
        <f aca="false">IF(OR(F$5&lt;=$B86,F$5&gt;Assumptions!$C$109),1000000000000,F38+F62-F$14)</f>
        <v>1000000000000</v>
      </c>
      <c r="G86" s="20" t="n">
        <f aca="false">IF(OR(G$5&lt;=$B86,G$5&gt;Assumptions!$C$109),1000000000000,G38+G62-G$14)</f>
        <v>1000000000000</v>
      </c>
      <c r="H86" s="20" t="n">
        <f aca="false">IF(OR(H$5&lt;=$B86,H$5&gt;Assumptions!$C$109),1000000000000,H38+H62-H$14)</f>
        <v>1000000000000</v>
      </c>
      <c r="I86" s="20" t="n">
        <f aca="false">IF(OR(I$5&lt;=$B86,I$5&gt;Assumptions!$C$109),1000000000000,I38+I62-I$14)</f>
        <v>1000000000000</v>
      </c>
      <c r="J86" s="20" t="n">
        <f aca="false">IF(OR(J$5&lt;=$B86,J$5&gt;Assumptions!$C$109),1000000000000,J38+J62-J$14)</f>
        <v>1000000000000</v>
      </c>
      <c r="K86" s="20" t="n">
        <f aca="false">IF(OR(K$5&lt;=$B86,K$5&gt;Assumptions!$C$109),1000000000000,K38+K62-K$14)</f>
        <v>1000000000000</v>
      </c>
      <c r="L86" s="20" t="n">
        <f aca="false">IF(OR(L$5&lt;=$B86,L$5&gt;Assumptions!$C$109),1000000000000,L38+L62-L$14)</f>
        <v>1000000000000</v>
      </c>
      <c r="M86" s="20" t="n">
        <f aca="false">IF(OR(M$5&lt;=$B86,M$5&gt;Assumptions!$C$109),1000000000000,M38+M62-M$14)</f>
        <v>1000000000000</v>
      </c>
      <c r="N86" s="20" t="n">
        <f aca="false">IF(OR(N$5&lt;=$B86,N$5&gt;Assumptions!$C$109),1000000000000,N38+N62-N$14)</f>
        <v>1000000000000</v>
      </c>
      <c r="O86" s="20" t="n">
        <f aca="false">IF(OR(O$5&lt;=$B86,O$5&gt;Assumptions!$C$109),1000000000000,O38+O62-O$14)</f>
        <v>1000000000000</v>
      </c>
      <c r="P86" s="20" t="n">
        <f aca="false">IF(OR(P$5&lt;=$B86,P$5&gt;Assumptions!$C$109),1000000000000,P38+P62-P$14)</f>
        <v>1000000000000</v>
      </c>
      <c r="Q86" s="20" t="n">
        <f aca="false">IF(OR(Q$5&lt;=$B86,Q$5&gt;Assumptions!$C$109),1000000000000,Q38+Q62-Q$14)</f>
        <v>1000000000000</v>
      </c>
      <c r="R86" s="20" t="n">
        <f aca="false">IF(OR(R$5&lt;=$B86,R$5&gt;Assumptions!$C$109),1000000000000,R38+R62-R$14)</f>
        <v>1000000000000</v>
      </c>
      <c r="S86" s="20" t="n">
        <f aca="false">IF(OR(S$5&lt;=$B86,S$5&gt;Assumptions!$C$109),1000000000000,S38+S62-S$14)</f>
        <v>1000000000000</v>
      </c>
      <c r="T86" s="20" t="n">
        <f aca="false">IF(OR(T$5&lt;=$B86,T$5&gt;Assumptions!$C$109),1000000000000,T38+T62-T$14)</f>
        <v>3546906.63533118</v>
      </c>
      <c r="U86" s="20" t="n">
        <f aca="false">IF(OR(U$5&lt;=$B86,U$5&gt;Assumptions!$C$109),1000000000000,U38+U62-U$14)</f>
        <v>3766805.02929868</v>
      </c>
      <c r="V86" s="20" t="n">
        <f aca="false">IF(OR(V$5&lt;=$B86,V$5&gt;Assumptions!$C$109),1000000000000,V38+V62-V$14)</f>
        <v>4057980.31665716</v>
      </c>
      <c r="W86" s="20" t="n">
        <f aca="false">IF(OR(W$5&lt;=$B86,W$5&gt;Assumptions!$C$109),1000000000000,W38+W62-W$14)</f>
        <v>4315525.81333554</v>
      </c>
      <c r="X86" s="20" t="n">
        <f aca="false">IF(OR(X$5&lt;=$B86,X$5&gt;Assumptions!$C$109),1000000000000,X38+X62-X$14)</f>
        <v>4572696.02763868</v>
      </c>
      <c r="Y86" s="20" t="n">
        <f aca="false">IF(OR(Y$5&lt;=$B86,Y$5&gt;Assumptions!$C$109),1000000000000,Y38+Y62-Y$14)</f>
        <v>4827933.46145946</v>
      </c>
      <c r="Z86" s="20" t="n">
        <f aca="false">IF(OR(Z$5&lt;=$B86,Z$5&gt;Assumptions!$C$109),1000000000000,Z38+Z62-Z$14)</f>
        <v>1000000000000</v>
      </c>
      <c r="AA86" s="20" t="n">
        <f aca="false">IF(OR(AA$5&lt;=$B86,AA$5&gt;Assumptions!$C$109),1000000000000,AA38+AA62-AA$14)</f>
        <v>1000000000000</v>
      </c>
      <c r="AB86" s="20" t="n">
        <f aca="false">IF(OR(AB$5&lt;=$B86,AB$5&gt;Assumptions!$C$109),1000000000000,AB38+AB62-AB$14)</f>
        <v>1000000000000</v>
      </c>
      <c r="AC86" s="20" t="n">
        <f aca="false">IF(OR(AC$5&lt;=$B86,AC$5&gt;Assumptions!$C$109),1000000000000,AC38+AC62-AC$14)</f>
        <v>1000000000000</v>
      </c>
      <c r="AD86" s="20" t="n">
        <f aca="false">IF(OR(AD$5&lt;=$B86,AD$5&gt;Assumptions!$C$109),1000000000000,AD38+AD62-AD$14)</f>
        <v>1000000000000</v>
      </c>
      <c r="AE86" s="20" t="n">
        <f aca="false">IF(OR(AE$5&lt;=$B86,AE$5&gt;Assumptions!$C$109),1000000000000,AE38+AE62-AE$14)</f>
        <v>1000000000000</v>
      </c>
      <c r="AF86" s="20" t="n">
        <f aca="false">IF(OR(AF$5&lt;=$B86,AF$5&gt;Assumptions!$C$109),1000000000000,AF38+AF62-AF$14)</f>
        <v>1000000000000</v>
      </c>
    </row>
    <row r="87" customFormat="false" ht="15" hidden="false" customHeight="true" outlineLevel="0" collapsed="false">
      <c r="B87" s="67" t="n">
        <v>2043</v>
      </c>
      <c r="C87" s="20" t="n">
        <f aca="false">IF(OR(C$5&lt;=$B87,C$5&gt;Assumptions!$C$109),1000000000000,C39+C63-C$14)</f>
        <v>1000000000000</v>
      </c>
      <c r="D87" s="20" t="n">
        <f aca="false">IF(OR(D$5&lt;=$B87,D$5&gt;Assumptions!$C$109),1000000000000,D39+D63-D$14)</f>
        <v>1000000000000</v>
      </c>
      <c r="E87" s="20" t="n">
        <f aca="false">IF(OR(E$5&lt;=$B87,E$5&gt;Assumptions!$C$109),1000000000000,E39+E63-E$14)</f>
        <v>1000000000000</v>
      </c>
      <c r="F87" s="20" t="n">
        <f aca="false">IF(OR(F$5&lt;=$B87,F$5&gt;Assumptions!$C$109),1000000000000,F39+F63-F$14)</f>
        <v>1000000000000</v>
      </c>
      <c r="G87" s="20" t="n">
        <f aca="false">IF(OR(G$5&lt;=$B87,G$5&gt;Assumptions!$C$109),1000000000000,G39+G63-G$14)</f>
        <v>1000000000000</v>
      </c>
      <c r="H87" s="20" t="n">
        <f aca="false">IF(OR(H$5&lt;=$B87,H$5&gt;Assumptions!$C$109),1000000000000,H39+H63-H$14)</f>
        <v>1000000000000</v>
      </c>
      <c r="I87" s="20" t="n">
        <f aca="false">IF(OR(I$5&lt;=$B87,I$5&gt;Assumptions!$C$109),1000000000000,I39+I63-I$14)</f>
        <v>1000000000000</v>
      </c>
      <c r="J87" s="20" t="n">
        <f aca="false">IF(OR(J$5&lt;=$B87,J$5&gt;Assumptions!$C$109),1000000000000,J39+J63-J$14)</f>
        <v>1000000000000</v>
      </c>
      <c r="K87" s="20" t="n">
        <f aca="false">IF(OR(K$5&lt;=$B87,K$5&gt;Assumptions!$C$109),1000000000000,K39+K63-K$14)</f>
        <v>1000000000000</v>
      </c>
      <c r="L87" s="20" t="n">
        <f aca="false">IF(OR(L$5&lt;=$B87,L$5&gt;Assumptions!$C$109),1000000000000,L39+L63-L$14)</f>
        <v>1000000000000</v>
      </c>
      <c r="M87" s="20" t="n">
        <f aca="false">IF(OR(M$5&lt;=$B87,M$5&gt;Assumptions!$C$109),1000000000000,M39+M63-M$14)</f>
        <v>1000000000000</v>
      </c>
      <c r="N87" s="20" t="n">
        <f aca="false">IF(OR(N$5&lt;=$B87,N$5&gt;Assumptions!$C$109),1000000000000,N39+N63-N$14)</f>
        <v>1000000000000</v>
      </c>
      <c r="O87" s="20" t="n">
        <f aca="false">IF(OR(O$5&lt;=$B87,O$5&gt;Assumptions!$C$109),1000000000000,O39+O63-O$14)</f>
        <v>1000000000000</v>
      </c>
      <c r="P87" s="20" t="n">
        <f aca="false">IF(OR(P$5&lt;=$B87,P$5&gt;Assumptions!$C$109),1000000000000,P39+P63-P$14)</f>
        <v>1000000000000</v>
      </c>
      <c r="Q87" s="20" t="n">
        <f aca="false">IF(OR(Q$5&lt;=$B87,Q$5&gt;Assumptions!$C$109),1000000000000,Q39+Q63-Q$14)</f>
        <v>1000000000000</v>
      </c>
      <c r="R87" s="20" t="n">
        <f aca="false">IF(OR(R$5&lt;=$B87,R$5&gt;Assumptions!$C$109),1000000000000,R39+R63-R$14)</f>
        <v>1000000000000</v>
      </c>
      <c r="S87" s="20" t="n">
        <f aca="false">IF(OR(S$5&lt;=$B87,S$5&gt;Assumptions!$C$109),1000000000000,S39+S63-S$14)</f>
        <v>1000000000000</v>
      </c>
      <c r="T87" s="20" t="n">
        <f aca="false">IF(OR(T$5&lt;=$B87,T$5&gt;Assumptions!$C$109),1000000000000,T39+T63-T$14)</f>
        <v>1000000000000</v>
      </c>
      <c r="U87" s="20" t="n">
        <f aca="false">IF(OR(U$5&lt;=$B87,U$5&gt;Assumptions!$C$109),1000000000000,U39+U63-U$14)</f>
        <v>3878847.31092124</v>
      </c>
      <c r="V87" s="20" t="n">
        <f aca="false">IF(OR(V$5&lt;=$B87,V$5&gt;Assumptions!$C$109),1000000000000,V39+V63-V$14)</f>
        <v>4175269.06181083</v>
      </c>
      <c r="W87" s="20" t="n">
        <f aca="false">IF(OR(W$5&lt;=$B87,W$5&gt;Assumptions!$C$109),1000000000000,W39+W63-W$14)</f>
        <v>4437961.12433503</v>
      </c>
      <c r="X87" s="20" t="n">
        <f aca="false">IF(OR(X$5&lt;=$B87,X$5&gt;Assumptions!$C$109),1000000000000,X39+X63-X$14)</f>
        <v>4700143.02282671</v>
      </c>
      <c r="Y87" s="20" t="n">
        <f aca="false">IF(OR(Y$5&lt;=$B87,Y$5&gt;Assumptions!$C$109),1000000000000,Y39+Y63-Y$14)</f>
        <v>4960221.83118239</v>
      </c>
      <c r="Z87" s="20" t="n">
        <f aca="false">IF(OR(Z$5&lt;=$B87,Z$5&gt;Assumptions!$C$109),1000000000000,Z39+Z63-Z$14)</f>
        <v>1000000000000</v>
      </c>
      <c r="AA87" s="20" t="n">
        <f aca="false">IF(OR(AA$5&lt;=$B87,AA$5&gt;Assumptions!$C$109),1000000000000,AA39+AA63-AA$14)</f>
        <v>1000000000000</v>
      </c>
      <c r="AB87" s="20" t="n">
        <f aca="false">IF(OR(AB$5&lt;=$B87,AB$5&gt;Assumptions!$C$109),1000000000000,AB39+AB63-AB$14)</f>
        <v>1000000000000</v>
      </c>
      <c r="AC87" s="20" t="n">
        <f aca="false">IF(OR(AC$5&lt;=$B87,AC$5&gt;Assumptions!$C$109),1000000000000,AC39+AC63-AC$14)</f>
        <v>1000000000000</v>
      </c>
      <c r="AD87" s="20" t="n">
        <f aca="false">IF(OR(AD$5&lt;=$B87,AD$5&gt;Assumptions!$C$109),1000000000000,AD39+AD63-AD$14)</f>
        <v>1000000000000</v>
      </c>
      <c r="AE87" s="20" t="n">
        <f aca="false">IF(OR(AE$5&lt;=$B87,AE$5&gt;Assumptions!$C$109),1000000000000,AE39+AE63-AE$14)</f>
        <v>1000000000000</v>
      </c>
      <c r="AF87" s="20" t="n">
        <f aca="false">IF(OR(AF$5&lt;=$B87,AF$5&gt;Assumptions!$C$109),1000000000000,AF39+AF63-AF$14)</f>
        <v>1000000000000</v>
      </c>
    </row>
    <row r="88" customFormat="false" ht="15" hidden="false" customHeight="true" outlineLevel="0" collapsed="false">
      <c r="B88" s="67" t="n">
        <v>2044</v>
      </c>
      <c r="C88" s="20" t="n">
        <f aca="false">IF(OR(C$5&lt;=$B88,C$5&gt;Assumptions!$C$109),1000000000000,C40+C64-C$14)</f>
        <v>1000000000000</v>
      </c>
      <c r="D88" s="20" t="n">
        <f aca="false">IF(OR(D$5&lt;=$B88,D$5&gt;Assumptions!$C$109),1000000000000,D40+D64-D$14)</f>
        <v>1000000000000</v>
      </c>
      <c r="E88" s="20" t="n">
        <f aca="false">IF(OR(E$5&lt;=$B88,E$5&gt;Assumptions!$C$109),1000000000000,E40+E64-E$14)</f>
        <v>1000000000000</v>
      </c>
      <c r="F88" s="20" t="n">
        <f aca="false">IF(OR(F$5&lt;=$B88,F$5&gt;Assumptions!$C$109),1000000000000,F40+F64-F$14)</f>
        <v>1000000000000</v>
      </c>
      <c r="G88" s="20" t="n">
        <f aca="false">IF(OR(G$5&lt;=$B88,G$5&gt;Assumptions!$C$109),1000000000000,G40+G64-G$14)</f>
        <v>1000000000000</v>
      </c>
      <c r="H88" s="20" t="n">
        <f aca="false">IF(OR(H$5&lt;=$B88,H$5&gt;Assumptions!$C$109),1000000000000,H40+H64-H$14)</f>
        <v>1000000000000</v>
      </c>
      <c r="I88" s="20" t="n">
        <f aca="false">IF(OR(I$5&lt;=$B88,I$5&gt;Assumptions!$C$109),1000000000000,I40+I64-I$14)</f>
        <v>1000000000000</v>
      </c>
      <c r="J88" s="20" t="n">
        <f aca="false">IF(OR(J$5&lt;=$B88,J$5&gt;Assumptions!$C$109),1000000000000,J40+J64-J$14)</f>
        <v>1000000000000</v>
      </c>
      <c r="K88" s="20" t="n">
        <f aca="false">IF(OR(K$5&lt;=$B88,K$5&gt;Assumptions!$C$109),1000000000000,K40+K64-K$14)</f>
        <v>1000000000000</v>
      </c>
      <c r="L88" s="20" t="n">
        <f aca="false">IF(OR(L$5&lt;=$B88,L$5&gt;Assumptions!$C$109),1000000000000,L40+L64-L$14)</f>
        <v>1000000000000</v>
      </c>
      <c r="M88" s="20" t="n">
        <f aca="false">IF(OR(M$5&lt;=$B88,M$5&gt;Assumptions!$C$109),1000000000000,M40+M64-M$14)</f>
        <v>1000000000000</v>
      </c>
      <c r="N88" s="20" t="n">
        <f aca="false">IF(OR(N$5&lt;=$B88,N$5&gt;Assumptions!$C$109),1000000000000,N40+N64-N$14)</f>
        <v>1000000000000</v>
      </c>
      <c r="O88" s="20" t="n">
        <f aca="false">IF(OR(O$5&lt;=$B88,O$5&gt;Assumptions!$C$109),1000000000000,O40+O64-O$14)</f>
        <v>1000000000000</v>
      </c>
      <c r="P88" s="20" t="n">
        <f aca="false">IF(OR(P$5&lt;=$B88,P$5&gt;Assumptions!$C$109),1000000000000,P40+P64-P$14)</f>
        <v>1000000000000</v>
      </c>
      <c r="Q88" s="20" t="n">
        <f aca="false">IF(OR(Q$5&lt;=$B88,Q$5&gt;Assumptions!$C$109),1000000000000,Q40+Q64-Q$14)</f>
        <v>1000000000000</v>
      </c>
      <c r="R88" s="20" t="n">
        <f aca="false">IF(OR(R$5&lt;=$B88,R$5&gt;Assumptions!$C$109),1000000000000,R40+R64-R$14)</f>
        <v>1000000000000</v>
      </c>
      <c r="S88" s="20" t="n">
        <f aca="false">IF(OR(S$5&lt;=$B88,S$5&gt;Assumptions!$C$109),1000000000000,S40+S64-S$14)</f>
        <v>1000000000000</v>
      </c>
      <c r="T88" s="20" t="n">
        <f aca="false">IF(OR(T$5&lt;=$B88,T$5&gt;Assumptions!$C$109),1000000000000,T40+T64-T$14)</f>
        <v>1000000000000</v>
      </c>
      <c r="U88" s="20" t="n">
        <f aca="false">IF(OR(U$5&lt;=$B88,U$5&gt;Assumptions!$C$109),1000000000000,U40+U64-U$14)</f>
        <v>1000000000000</v>
      </c>
      <c r="V88" s="20" t="n">
        <f aca="false">IF(OR(V$5&lt;=$B88,V$5&gt;Assumptions!$C$109),1000000000000,V40+V64-V$14)</f>
        <v>4289225.5949939</v>
      </c>
      <c r="W88" s="20" t="n">
        <f aca="false">IF(OR(W$5&lt;=$B88,W$5&gt;Assumptions!$C$109),1000000000000,W40+W64-W$14)</f>
        <v>4556911.90519267</v>
      </c>
      <c r="X88" s="20" t="n">
        <f aca="false">IF(OR(X$5&lt;=$B88,X$5&gt;Assumptions!$C$109),1000000000000,X40+X64-X$14)</f>
        <v>4823956.48301847</v>
      </c>
      <c r="Y88" s="20" t="n">
        <f aca="false">IF(OR(Y$5&lt;=$B88,Y$5&gt;Assumptions!$C$109),1000000000000,Y40+Y64-Y$14)</f>
        <v>5088732.00475188</v>
      </c>
      <c r="Z88" s="20" t="n">
        <f aca="false">IF(OR(Z$5&lt;=$B88,Z$5&gt;Assumptions!$C$109),1000000000000,Z40+Z64-Z$14)</f>
        <v>1000000000000</v>
      </c>
      <c r="AA88" s="20" t="n">
        <f aca="false">IF(OR(AA$5&lt;=$B88,AA$5&gt;Assumptions!$C$109),1000000000000,AA40+AA64-AA$14)</f>
        <v>1000000000000</v>
      </c>
      <c r="AB88" s="20" t="n">
        <f aca="false">IF(OR(AB$5&lt;=$B88,AB$5&gt;Assumptions!$C$109),1000000000000,AB40+AB64-AB$14)</f>
        <v>1000000000000</v>
      </c>
      <c r="AC88" s="20" t="n">
        <f aca="false">IF(OR(AC$5&lt;=$B88,AC$5&gt;Assumptions!$C$109),1000000000000,AC40+AC64-AC$14)</f>
        <v>1000000000000</v>
      </c>
      <c r="AD88" s="20" t="n">
        <f aca="false">IF(OR(AD$5&lt;=$B88,AD$5&gt;Assumptions!$C$109),1000000000000,AD40+AD64-AD$14)</f>
        <v>1000000000000</v>
      </c>
      <c r="AE88" s="20" t="n">
        <f aca="false">IF(OR(AE$5&lt;=$B88,AE$5&gt;Assumptions!$C$109),1000000000000,AE40+AE64-AE$14)</f>
        <v>1000000000000</v>
      </c>
      <c r="AF88" s="20" t="n">
        <f aca="false">IF(OR(AF$5&lt;=$B88,AF$5&gt;Assumptions!$C$109),1000000000000,AF40+AF64-AF$14)</f>
        <v>1000000000000</v>
      </c>
    </row>
    <row r="89" customFormat="false" ht="15" hidden="false" customHeight="true" outlineLevel="0" collapsed="false">
      <c r="B89" s="67" t="n">
        <v>2045</v>
      </c>
      <c r="C89" s="20" t="n">
        <f aca="false">IF(OR(C$5&lt;=$B89,C$5&gt;Assumptions!$C$109),1000000000000,C41+C65-C$14)</f>
        <v>1000000000000</v>
      </c>
      <c r="D89" s="20" t="n">
        <f aca="false">IF(OR(D$5&lt;=$B89,D$5&gt;Assumptions!$C$109),1000000000000,D41+D65-D$14)</f>
        <v>1000000000000</v>
      </c>
      <c r="E89" s="20" t="n">
        <f aca="false">IF(OR(E$5&lt;=$B89,E$5&gt;Assumptions!$C$109),1000000000000,E41+E65-E$14)</f>
        <v>1000000000000</v>
      </c>
      <c r="F89" s="20" t="n">
        <f aca="false">IF(OR(F$5&lt;=$B89,F$5&gt;Assumptions!$C$109),1000000000000,F41+F65-F$14)</f>
        <v>1000000000000</v>
      </c>
      <c r="G89" s="20" t="n">
        <f aca="false">IF(OR(G$5&lt;=$B89,G$5&gt;Assumptions!$C$109),1000000000000,G41+G65-G$14)</f>
        <v>1000000000000</v>
      </c>
      <c r="H89" s="20" t="n">
        <f aca="false">IF(OR(H$5&lt;=$B89,H$5&gt;Assumptions!$C$109),1000000000000,H41+H65-H$14)</f>
        <v>1000000000000</v>
      </c>
      <c r="I89" s="20" t="n">
        <f aca="false">IF(OR(I$5&lt;=$B89,I$5&gt;Assumptions!$C$109),1000000000000,I41+I65-I$14)</f>
        <v>1000000000000</v>
      </c>
      <c r="J89" s="20" t="n">
        <f aca="false">IF(OR(J$5&lt;=$B89,J$5&gt;Assumptions!$C$109),1000000000000,J41+J65-J$14)</f>
        <v>1000000000000</v>
      </c>
      <c r="K89" s="20" t="n">
        <f aca="false">IF(OR(K$5&lt;=$B89,K$5&gt;Assumptions!$C$109),1000000000000,K41+K65-K$14)</f>
        <v>1000000000000</v>
      </c>
      <c r="L89" s="20" t="n">
        <f aca="false">IF(OR(L$5&lt;=$B89,L$5&gt;Assumptions!$C$109),1000000000000,L41+L65-L$14)</f>
        <v>1000000000000</v>
      </c>
      <c r="M89" s="20" t="n">
        <f aca="false">IF(OR(M$5&lt;=$B89,M$5&gt;Assumptions!$C$109),1000000000000,M41+M65-M$14)</f>
        <v>1000000000000</v>
      </c>
      <c r="N89" s="20" t="n">
        <f aca="false">IF(OR(N$5&lt;=$B89,N$5&gt;Assumptions!$C$109),1000000000000,N41+N65-N$14)</f>
        <v>1000000000000</v>
      </c>
      <c r="O89" s="20" t="n">
        <f aca="false">IF(OR(O$5&lt;=$B89,O$5&gt;Assumptions!$C$109),1000000000000,O41+O65-O$14)</f>
        <v>1000000000000</v>
      </c>
      <c r="P89" s="20" t="n">
        <f aca="false">IF(OR(P$5&lt;=$B89,P$5&gt;Assumptions!$C$109),1000000000000,P41+P65-P$14)</f>
        <v>1000000000000</v>
      </c>
      <c r="Q89" s="20" t="n">
        <f aca="false">IF(OR(Q$5&lt;=$B89,Q$5&gt;Assumptions!$C$109),1000000000000,Q41+Q65-Q$14)</f>
        <v>1000000000000</v>
      </c>
      <c r="R89" s="20" t="n">
        <f aca="false">IF(OR(R$5&lt;=$B89,R$5&gt;Assumptions!$C$109),1000000000000,R41+R65-R$14)</f>
        <v>1000000000000</v>
      </c>
      <c r="S89" s="20" t="n">
        <f aca="false">IF(OR(S$5&lt;=$B89,S$5&gt;Assumptions!$C$109),1000000000000,S41+S65-S$14)</f>
        <v>1000000000000</v>
      </c>
      <c r="T89" s="20" t="n">
        <f aca="false">IF(OR(T$5&lt;=$B89,T$5&gt;Assumptions!$C$109),1000000000000,T41+T65-T$14)</f>
        <v>1000000000000</v>
      </c>
      <c r="U89" s="20" t="n">
        <f aca="false">IF(OR(U$5&lt;=$B89,U$5&gt;Assumptions!$C$109),1000000000000,U41+U65-U$14)</f>
        <v>1000000000000</v>
      </c>
      <c r="V89" s="20" t="n">
        <f aca="false">IF(OR(V$5&lt;=$B89,V$5&gt;Assumptions!$C$109),1000000000000,V41+V65-V$14)</f>
        <v>1000000000000</v>
      </c>
      <c r="W89" s="20" t="n">
        <f aca="false">IF(OR(W$5&lt;=$B89,W$5&gt;Assumptions!$C$109),1000000000000,W41+W65-W$14)</f>
        <v>4672814.44308604</v>
      </c>
      <c r="X89" s="20" t="n">
        <f aca="false">IF(OR(X$5&lt;=$B89,X$5&gt;Assumptions!$C$109),1000000000000,X41+X65-X$14)</f>
        <v>4944590.86426591</v>
      </c>
      <c r="Y89" s="20" t="n">
        <f aca="false">IF(OR(Y$5&lt;=$B89,Y$5&gt;Assumptions!$C$109),1000000000000,Y41+Y65-Y$14)</f>
        <v>5213936.02471624</v>
      </c>
      <c r="Z89" s="20" t="n">
        <f aca="false">IF(OR(Z$5&lt;=$B89,Z$5&gt;Assumptions!$C$109),1000000000000,Z41+Z65-Z$14)</f>
        <v>1000000000000</v>
      </c>
      <c r="AA89" s="20" t="n">
        <f aca="false">IF(OR(AA$5&lt;=$B89,AA$5&gt;Assumptions!$C$109),1000000000000,AA41+AA65-AA$14)</f>
        <v>1000000000000</v>
      </c>
      <c r="AB89" s="20" t="n">
        <f aca="false">IF(OR(AB$5&lt;=$B89,AB$5&gt;Assumptions!$C$109),1000000000000,AB41+AB65-AB$14)</f>
        <v>1000000000000</v>
      </c>
      <c r="AC89" s="20" t="n">
        <f aca="false">IF(OR(AC$5&lt;=$B89,AC$5&gt;Assumptions!$C$109),1000000000000,AC41+AC65-AC$14)</f>
        <v>1000000000000</v>
      </c>
      <c r="AD89" s="20" t="n">
        <f aca="false">IF(OR(AD$5&lt;=$B89,AD$5&gt;Assumptions!$C$109),1000000000000,AD41+AD65-AD$14)</f>
        <v>1000000000000</v>
      </c>
      <c r="AE89" s="20" t="n">
        <f aca="false">IF(OR(AE$5&lt;=$B89,AE$5&gt;Assumptions!$C$109),1000000000000,AE41+AE65-AE$14)</f>
        <v>1000000000000</v>
      </c>
      <c r="AF89" s="20" t="n">
        <f aca="false">IF(OR(AF$5&lt;=$B89,AF$5&gt;Assumptions!$C$109),1000000000000,AF41+AF65-AF$14)</f>
        <v>1000000000000</v>
      </c>
    </row>
    <row r="91" customFormat="false" ht="15" hidden="false" customHeight="true" outlineLevel="0" collapsed="false">
      <c r="A91" s="30" t="s">
        <v>497</v>
      </c>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customFormat="false" ht="32.25" hidden="false" customHeight="true" outlineLevel="0" collapsed="false">
      <c r="B92" s="68" t="s">
        <v>59</v>
      </c>
      <c r="C92" s="68" t="s">
        <v>61</v>
      </c>
      <c r="D92" s="68" t="s">
        <v>498</v>
      </c>
      <c r="E92" s="68" t="s">
        <v>499</v>
      </c>
      <c r="F92" s="68" t="s">
        <v>500</v>
      </c>
      <c r="G92" s="68" t="s">
        <v>501</v>
      </c>
      <c r="H92" s="68" t="s">
        <v>502</v>
      </c>
      <c r="I92" s="68" t="s">
        <v>503</v>
      </c>
      <c r="J92" s="68" t="s">
        <v>504</v>
      </c>
      <c r="K92" s="68" t="s">
        <v>505</v>
      </c>
      <c r="L92" s="68" t="s">
        <v>506</v>
      </c>
      <c r="M92" s="68" t="s">
        <v>507</v>
      </c>
      <c r="N92" s="68" t="s">
        <v>508</v>
      </c>
    </row>
    <row r="93" customFormat="false" ht="15" hidden="false" customHeight="true" outlineLevel="0" collapsed="false">
      <c r="B93" s="67" t="n">
        <v>2026</v>
      </c>
      <c r="C93" s="32" t="n">
        <f aca="false">Assumptions!$D$24+$B93-Assumptions!$C$6</f>
        <v>44</v>
      </c>
      <c r="D93" s="20" t="n">
        <f aca="false">INDEX(Household_Base!$C$65:$AF$65,MATCH($B93,Household_Base!$C$5:$AF$5,0))</f>
        <v>302223.8</v>
      </c>
      <c r="E93" s="20" t="n">
        <f aca="false">INDEX(Household_Base!$C$22:$AF$22,MATCH($B93,Household_Base!$C$5:$AF$5,0))*Assumptions!$C$111/12+Assumptions!$C$112*INDEX(Assumptions!$C$9:$AF$9,MATCH($B93,Assumptions!$C$6:$AF$6,0))</f>
        <v>225400</v>
      </c>
      <c r="F93" s="63" t="n">
        <f aca="false">IF($D93&gt;=$E93,1,0)</f>
        <v>1</v>
      </c>
      <c r="G93" s="20" t="n">
        <f aca="false">MIN($C70:$AF70)</f>
        <v>140511.83232</v>
      </c>
      <c r="H93" s="18" t="n">
        <f aca="false">IF($G93&gt;=1000000000000,"n/a",INDEX($C$5:$AF$5,MATCH($G93,$C70:$AF70,0)))</f>
        <v>2028</v>
      </c>
      <c r="I93" s="63" t="n">
        <f aca="false">IF($G93&gt;=0,1,0)</f>
        <v>1</v>
      </c>
      <c r="J93" s="20" t="n">
        <f aca="false">INDEX(Household_Base!$C$62:$AF$62,MATCH($B93,Household_Base!$C$5:$AF$5,0))*INDEX(Returns!$C$16:$AF$16,MATCH(Assumptions!$C$109,Returns!$C$5:$AF$5,0))/INDEX(Returns!$C$16:$AF$16,MATCH($B93,Returns!$C$5:$AF$5,0))+INDEX(Returns!$C$16:$AF$16,MATCH(Assumptions!$C$109,Returns!$C$5:$AF$5,0))*(INDEX(Returns!$C$22:$AF$22,MATCH(Assumptions!$C$109,Returns!$C$5:$AF$5,0))-INDEX(Returns!$C$22:$AF$22,MATCH($B93,Returns!$C$5:$AF$5,0)))+INDEX(Household_Base!$C$63:$AF$63,MATCH($B93,Household_Base!$C$5:$AF$5,0))*INDEX(Returns!$C$17:$AF$17,MATCH(Assumptions!$C$109,Returns!$C$5:$AF$5,0))/INDEX(Returns!$C$17:$AF$17,MATCH($B93,Returns!$C$5:$AF$5,0))</f>
        <v>7588996.94130212</v>
      </c>
      <c r="K93" s="20" t="n">
        <f aca="false">INDEX(Household_Base!$C$24:$AF$24,MATCH(Assumptions!$C$109,Household_Base!$C$5:$AF$5,0))/Assumptions!$C$113/(1-Assumptions!$C$114)</f>
        <v>2764385.21000312</v>
      </c>
      <c r="L93" s="63" t="n">
        <f aca="false">IF($J93&gt;=$K93,1,0)</f>
        <v>1</v>
      </c>
      <c r="M93" s="66" t="n">
        <f aca="false">MIN($F93,$I93,$L93)</f>
        <v>1</v>
      </c>
      <c r="N93" s="66" t="n">
        <f aca="false">MIN($M93:$M$112)</f>
        <v>1</v>
      </c>
    </row>
    <row r="94" customFormat="false" ht="15" hidden="false" customHeight="true" outlineLevel="0" collapsed="false">
      <c r="B94" s="67" t="n">
        <v>2027</v>
      </c>
      <c r="C94" s="32" t="n">
        <f aca="false">Assumptions!$D$24+$B94-Assumptions!$C$6</f>
        <v>45</v>
      </c>
      <c r="D94" s="20" t="n">
        <f aca="false">INDEX(Household_Base!$C$65:$AF$65,MATCH($B94,Household_Base!$C$5:$AF$5,0))</f>
        <v>351383.704</v>
      </c>
      <c r="E94" s="20" t="n">
        <f aca="false">INDEX(Household_Base!$C$22:$AF$22,MATCH($B94,Household_Base!$C$5:$AF$5,0))*Assumptions!$C$111/12+Assumptions!$C$112*INDEX(Assumptions!$C$9:$AF$9,MATCH($B94,Assumptions!$C$6:$AF$6,0))</f>
        <v>234416</v>
      </c>
      <c r="F94" s="63" t="n">
        <f aca="false">IF($D94&gt;=$E94,1,0)</f>
        <v>1</v>
      </c>
      <c r="G94" s="20" t="n">
        <f aca="false">MIN($C71:$AF71)</f>
        <v>218425.84032</v>
      </c>
      <c r="H94" s="18" t="n">
        <f aca="false">IF($G94&gt;=1000000000000,"n/a",INDEX($C$5:$AF$5,MATCH($G94,$C71:$AF71,0)))</f>
        <v>2028</v>
      </c>
      <c r="I94" s="63" t="n">
        <f aca="false">IF($G94&gt;=0,1,0)</f>
        <v>1</v>
      </c>
      <c r="J94" s="20" t="n">
        <f aca="false">INDEX(Household_Base!$C$62:$AF$62,MATCH($B94,Household_Base!$C$5:$AF$5,0))*INDEX(Returns!$C$16:$AF$16,MATCH(Assumptions!$C$109,Returns!$C$5:$AF$5,0))/INDEX(Returns!$C$16:$AF$16,MATCH($B94,Returns!$C$5:$AF$5,0))+INDEX(Returns!$C$16:$AF$16,MATCH(Assumptions!$C$109,Returns!$C$5:$AF$5,0))*(INDEX(Returns!$C$22:$AF$22,MATCH(Assumptions!$C$109,Returns!$C$5:$AF$5,0))-INDEX(Returns!$C$22:$AF$22,MATCH($B94,Returns!$C$5:$AF$5,0)))+INDEX(Household_Base!$C$63:$AF$63,MATCH($B94,Household_Base!$C$5:$AF$5,0))*INDEX(Returns!$C$17:$AF$17,MATCH(Assumptions!$C$109,Returns!$C$5:$AF$5,0))/INDEX(Returns!$C$17:$AF$17,MATCH($B94,Returns!$C$5:$AF$5,0))</f>
        <v>7966538.97597891</v>
      </c>
      <c r="K94" s="20" t="n">
        <f aca="false">INDEX(Household_Base!$C$24:$AF$24,MATCH(Assumptions!$C$109,Household_Base!$C$5:$AF$5,0))/Assumptions!$C$113/(1-Assumptions!$C$114)</f>
        <v>2764385.21000312</v>
      </c>
      <c r="L94" s="63" t="n">
        <f aca="false">IF($J94&gt;=$K94,1,0)</f>
        <v>1</v>
      </c>
      <c r="M94" s="66" t="n">
        <f aca="false">MIN($F94,$I94,$L94)</f>
        <v>1</v>
      </c>
      <c r="N94" s="66" t="n">
        <f aca="false">MIN($M94:$M$112)</f>
        <v>1</v>
      </c>
    </row>
    <row r="95" customFormat="false" ht="15" hidden="false" customHeight="true" outlineLevel="0" collapsed="false">
      <c r="B95" s="67" t="n">
        <v>2028</v>
      </c>
      <c r="C95" s="32" t="n">
        <f aca="false">Assumptions!$D$24+$B95-Assumptions!$C$6</f>
        <v>46</v>
      </c>
      <c r="D95" s="20" t="n">
        <f aca="false">INDEX(Household_Base!$C$65:$AF$65,MATCH($B95,Household_Base!$C$5:$AF$5,0))</f>
        <v>419574.04832</v>
      </c>
      <c r="E95" s="20" t="n">
        <f aca="false">INDEX(Household_Base!$C$22:$AF$22,MATCH($B95,Household_Base!$C$5:$AF$5,0))*Assumptions!$C$111/12+Assumptions!$C$112*INDEX(Assumptions!$C$9:$AF$9,MATCH($B95,Assumptions!$C$6:$AF$6,0))</f>
        <v>232111.36</v>
      </c>
      <c r="F95" s="63" t="n">
        <f aca="false">IF($D95&gt;=$E95,1,0)</f>
        <v>1</v>
      </c>
      <c r="G95" s="20" t="n">
        <f aca="false">MIN($C72:$AF72)</f>
        <v>336632.7406656</v>
      </c>
      <c r="H95" s="18" t="n">
        <f aca="false">IF($G95&gt;=1000000000000,"n/a",INDEX($C$5:$AF$5,MATCH($G95,$C72:$AF72,0)))</f>
        <v>2029</v>
      </c>
      <c r="I95" s="63" t="n">
        <f aca="false">IF($G95&gt;=0,1,0)</f>
        <v>1</v>
      </c>
      <c r="J95" s="20" t="n">
        <f aca="false">INDEX(Household_Base!$C$62:$AF$62,MATCH($B95,Household_Base!$C$5:$AF$5,0))*INDEX(Returns!$C$16:$AF$16,MATCH(Assumptions!$C$109,Returns!$C$5:$AF$5,0))/INDEX(Returns!$C$16:$AF$16,MATCH($B95,Returns!$C$5:$AF$5,0))+INDEX(Returns!$C$16:$AF$16,MATCH(Assumptions!$C$109,Returns!$C$5:$AF$5,0))*(INDEX(Returns!$C$22:$AF$22,MATCH(Assumptions!$C$109,Returns!$C$5:$AF$5,0))-INDEX(Returns!$C$22:$AF$22,MATCH($B95,Returns!$C$5:$AF$5,0)))+INDEX(Household_Base!$C$63:$AF$63,MATCH($B95,Household_Base!$C$5:$AF$5,0))*INDEX(Returns!$C$17:$AF$17,MATCH(Assumptions!$C$109,Returns!$C$5:$AF$5,0))/INDEX(Returns!$C$17:$AF$17,MATCH($B95,Returns!$C$5:$AF$5,0))</f>
        <v>8312132.65591372</v>
      </c>
      <c r="K95" s="20" t="n">
        <f aca="false">INDEX(Household_Base!$C$24:$AF$24,MATCH(Assumptions!$C$109,Household_Base!$C$5:$AF$5,0))/Assumptions!$C$113/(1-Assumptions!$C$114)</f>
        <v>2764385.21000312</v>
      </c>
      <c r="L95" s="63" t="n">
        <f aca="false">IF($J95&gt;=$K95,1,0)</f>
        <v>1</v>
      </c>
      <c r="M95" s="66" t="n">
        <f aca="false">MIN($F95,$I95,$L95)</f>
        <v>1</v>
      </c>
      <c r="N95" s="66" t="n">
        <f aca="false">MIN($M95:$M$112)</f>
        <v>1</v>
      </c>
    </row>
    <row r="96" customFormat="false" ht="15" hidden="false" customHeight="true" outlineLevel="0" collapsed="false">
      <c r="B96" s="67" t="n">
        <v>2029</v>
      </c>
      <c r="C96" s="32" t="n">
        <f aca="false">Assumptions!$D$24+$B96-Assumptions!$C$6</f>
        <v>47</v>
      </c>
      <c r="D96" s="20" t="n">
        <f aca="false">INDEX(Household_Base!$C$65:$AF$65,MATCH($B96,Household_Base!$C$5:$AF$5,0))</f>
        <v>519058.3736256</v>
      </c>
      <c r="E96" s="20" t="n">
        <f aca="false">INDEX(Household_Base!$C$22:$AF$22,MATCH($B96,Household_Base!$C$5:$AF$5,0))*Assumptions!$C$111/12+Assumptions!$C$112*INDEX(Assumptions!$C$9:$AF$9,MATCH($B96,Assumptions!$C$6:$AF$6,0))</f>
        <v>212923.776</v>
      </c>
      <c r="F96" s="63" t="n">
        <f aca="false">IF($D96&gt;=$E96,1,0)</f>
        <v>1</v>
      </c>
      <c r="G96" s="20" t="n">
        <f aca="false">MIN($C73:$AF73)</f>
        <v>450481.091660448</v>
      </c>
      <c r="H96" s="18" t="n">
        <f aca="false">IF($G96&gt;=1000000000000,"n/a",INDEX($C$5:$AF$5,MATCH($G96,$C73:$AF73,0)))</f>
        <v>2030</v>
      </c>
      <c r="I96" s="63" t="n">
        <f aca="false">IF($G96&gt;=0,1,0)</f>
        <v>1</v>
      </c>
      <c r="J96" s="20" t="n">
        <f aca="false">INDEX(Household_Base!$C$62:$AF$62,MATCH($B96,Household_Base!$C$5:$AF$5,0))*INDEX(Returns!$C$16:$AF$16,MATCH(Assumptions!$C$109,Returns!$C$5:$AF$5,0))/INDEX(Returns!$C$16:$AF$16,MATCH($B96,Returns!$C$5:$AF$5,0))+INDEX(Returns!$C$16:$AF$16,MATCH(Assumptions!$C$109,Returns!$C$5:$AF$5,0))*(INDEX(Returns!$C$22:$AF$22,MATCH(Assumptions!$C$109,Returns!$C$5:$AF$5,0))-INDEX(Returns!$C$22:$AF$22,MATCH($B96,Returns!$C$5:$AF$5,0)))+INDEX(Household_Base!$C$63:$AF$63,MATCH($B96,Household_Base!$C$5:$AF$5,0))*INDEX(Returns!$C$17:$AF$17,MATCH(Assumptions!$C$109,Returns!$C$5:$AF$5,0))/INDEX(Returns!$C$17:$AF$17,MATCH($B96,Returns!$C$5:$AF$5,0))</f>
        <v>8630209.4108426</v>
      </c>
      <c r="K96" s="20" t="n">
        <f aca="false">INDEX(Household_Base!$C$24:$AF$24,MATCH(Assumptions!$C$109,Household_Base!$C$5:$AF$5,0))/Assumptions!$C$113/(1-Assumptions!$C$114)</f>
        <v>2764385.21000312</v>
      </c>
      <c r="L96" s="63" t="n">
        <f aca="false">IF($J96&gt;=$K96,1,0)</f>
        <v>1</v>
      </c>
      <c r="M96" s="66" t="n">
        <f aca="false">MIN($F96,$I96,$L96)</f>
        <v>1</v>
      </c>
      <c r="N96" s="66" t="n">
        <f aca="false">MIN($M96:$M$112)</f>
        <v>1</v>
      </c>
    </row>
    <row r="97" customFormat="false" ht="15" hidden="false" customHeight="true" outlineLevel="0" collapsed="false">
      <c r="B97" s="67" t="n">
        <v>2030</v>
      </c>
      <c r="C97" s="32" t="n">
        <f aca="false">Assumptions!$D$24+$B97-Assumptions!$C$6</f>
        <v>48</v>
      </c>
      <c r="D97" s="20" t="n">
        <f aca="false">INDEX(Household_Base!$C$65:$AF$65,MATCH($B97,Household_Base!$C$5:$AF$5,0))</f>
        <v>637639.509279648</v>
      </c>
      <c r="E97" s="20" t="n">
        <f aca="false">INDEX(Household_Base!$C$22:$AF$22,MATCH($B97,Household_Base!$C$5:$AF$5,0))*Assumptions!$C$111/12+Assumptions!$C$112*INDEX(Assumptions!$C$9:$AF$9,MATCH($B97,Assumptions!$C$6:$AF$6,0))</f>
        <v>217182.25152</v>
      </c>
      <c r="F97" s="63" t="n">
        <f aca="false">IF($D97&gt;=$E97,1,0)</f>
        <v>1</v>
      </c>
      <c r="G97" s="20" t="n">
        <f aca="false">MIN($C74:$AF74)</f>
        <v>575947.428164104</v>
      </c>
      <c r="H97" s="18" t="n">
        <f aca="false">IF($G97&gt;=1000000000000,"n/a",INDEX($C$5:$AF$5,MATCH($G97,$C74:$AF74,0)))</f>
        <v>2031</v>
      </c>
      <c r="I97" s="63" t="n">
        <f aca="false">IF($G97&gt;=0,1,0)</f>
        <v>1</v>
      </c>
      <c r="J97" s="20" t="n">
        <f aca="false">INDEX(Household_Base!$C$62:$AF$62,MATCH($B97,Household_Base!$C$5:$AF$5,0))*INDEX(Returns!$C$16:$AF$16,MATCH(Assumptions!$C$109,Returns!$C$5:$AF$5,0))/INDEX(Returns!$C$16:$AF$16,MATCH($B97,Returns!$C$5:$AF$5,0))+INDEX(Returns!$C$16:$AF$16,MATCH(Assumptions!$C$109,Returns!$C$5:$AF$5,0))*(INDEX(Returns!$C$22:$AF$22,MATCH(Assumptions!$C$109,Returns!$C$5:$AF$5,0))-INDEX(Returns!$C$22:$AF$22,MATCH($B97,Returns!$C$5:$AF$5,0)))+INDEX(Household_Base!$C$63:$AF$63,MATCH($B97,Household_Base!$C$5:$AF$5,0))*INDEX(Returns!$C$17:$AF$17,MATCH(Assumptions!$C$109,Returns!$C$5:$AF$5,0))/INDEX(Returns!$C$17:$AF$17,MATCH($B97,Returns!$C$5:$AF$5,0))</f>
        <v>8922914.0533489</v>
      </c>
      <c r="K97" s="20" t="n">
        <f aca="false">INDEX(Household_Base!$C$24:$AF$24,MATCH(Assumptions!$C$109,Household_Base!$C$5:$AF$5,0))/Assumptions!$C$113/(1-Assumptions!$C$114)</f>
        <v>2764385.21000312</v>
      </c>
      <c r="L97" s="63" t="n">
        <f aca="false">IF($J97&gt;=$K97,1,0)</f>
        <v>1</v>
      </c>
      <c r="M97" s="66" t="n">
        <f aca="false">MIN($F97,$I97,$L97)</f>
        <v>1</v>
      </c>
      <c r="N97" s="66" t="n">
        <f aca="false">MIN($M97:$M$112)</f>
        <v>1</v>
      </c>
    </row>
    <row r="98" customFormat="false" ht="15" hidden="false" customHeight="true" outlineLevel="0" collapsed="false">
      <c r="B98" s="67" t="n">
        <v>2031</v>
      </c>
      <c r="C98" s="32" t="n">
        <f aca="false">Assumptions!$D$24+$B98-Assumptions!$C$6</f>
        <v>49</v>
      </c>
      <c r="D98" s="20" t="n">
        <f aca="false">INDEX(Household_Base!$C$65:$AF$65,MATCH($B98,Household_Base!$C$5:$AF$5,0))</f>
        <v>766849.014135688</v>
      </c>
      <c r="E98" s="20" t="n">
        <f aca="false">INDEX(Household_Base!$C$22:$AF$22,MATCH($B98,Household_Base!$C$5:$AF$5,0))*Assumptions!$C$111/12+Assumptions!$C$112*INDEX(Assumptions!$C$9:$AF$9,MATCH($B98,Assumptions!$C$6:$AF$6,0))</f>
        <v>221525.8965504</v>
      </c>
      <c r="F98" s="63" t="n">
        <f aca="false">IF($D98&gt;=$E98,1,0)</f>
        <v>1</v>
      </c>
      <c r="G98" s="20" t="n">
        <f aca="false">MIN($C75:$AF75)</f>
        <v>721800.026293092</v>
      </c>
      <c r="H98" s="18" t="n">
        <f aca="false">IF($G98&gt;=1000000000000,"n/a",INDEX($C$5:$AF$5,MATCH($G98,$C75:$AF75,0)))</f>
        <v>2032</v>
      </c>
      <c r="I98" s="63" t="n">
        <f aca="false">IF($G98&gt;=0,1,0)</f>
        <v>1</v>
      </c>
      <c r="J98" s="20" t="n">
        <f aca="false">INDEX(Household_Base!$C$62:$AF$62,MATCH($B98,Household_Base!$C$5:$AF$5,0))*INDEX(Returns!$C$16:$AF$16,MATCH(Assumptions!$C$109,Returns!$C$5:$AF$5,0))/INDEX(Returns!$C$16:$AF$16,MATCH($B98,Returns!$C$5:$AF$5,0))+INDEX(Returns!$C$16:$AF$16,MATCH(Assumptions!$C$109,Returns!$C$5:$AF$5,0))*(INDEX(Returns!$C$22:$AF$22,MATCH(Assumptions!$C$109,Returns!$C$5:$AF$5,0))-INDEX(Returns!$C$22:$AF$22,MATCH($B98,Returns!$C$5:$AF$5,0)))+INDEX(Household_Base!$C$63:$AF$63,MATCH($B98,Household_Base!$C$5:$AF$5,0))*INDEX(Returns!$C$17:$AF$17,MATCH(Assumptions!$C$109,Returns!$C$5:$AF$5,0))/INDEX(Returns!$C$17:$AF$17,MATCH($B98,Returns!$C$5:$AF$5,0))</f>
        <v>9199357.32682707</v>
      </c>
      <c r="K98" s="20" t="n">
        <f aca="false">INDEX(Household_Base!$C$24:$AF$24,MATCH(Assumptions!$C$109,Household_Base!$C$5:$AF$5,0))/Assumptions!$C$113/(1-Assumptions!$C$114)</f>
        <v>2764385.21000312</v>
      </c>
      <c r="L98" s="63" t="n">
        <f aca="false">IF($J98&gt;=$K98,1,0)</f>
        <v>1</v>
      </c>
      <c r="M98" s="66" t="n">
        <f aca="false">MIN($F98,$I98,$L98)</f>
        <v>1</v>
      </c>
      <c r="N98" s="66" t="n">
        <f aca="false">MIN($M98:$M$112)</f>
        <v>1</v>
      </c>
    </row>
    <row r="99" customFormat="false" ht="15" hidden="false" customHeight="true" outlineLevel="0" collapsed="false">
      <c r="B99" s="67" t="n">
        <v>2032</v>
      </c>
      <c r="C99" s="32" t="n">
        <f aca="false">Assumptions!$D$24+$B99-Assumptions!$C$6</f>
        <v>50</v>
      </c>
      <c r="D99" s="20" t="n">
        <f aca="false">INDEX(Household_Base!$C$65:$AF$65,MATCH($B99,Household_Base!$C$5:$AF$5,0))</f>
        <v>916519.643984108</v>
      </c>
      <c r="E99" s="20" t="n">
        <f aca="false">INDEX(Household_Base!$C$22:$AF$22,MATCH($B99,Household_Base!$C$5:$AF$5,0))*Assumptions!$C$111/12+Assumptions!$C$112*INDEX(Assumptions!$C$9:$AF$9,MATCH($B99,Assumptions!$C$6:$AF$6,0))</f>
        <v>225956.414481408</v>
      </c>
      <c r="F99" s="63" t="n">
        <f aca="false">IF($D99&gt;=$E99,1,0)</f>
        <v>1</v>
      </c>
      <c r="G99" s="20" t="n">
        <f aca="false">MIN($C76:$AF76)</f>
        <v>880518.791923445</v>
      </c>
      <c r="H99" s="18" t="n">
        <f aca="false">IF($G99&gt;=1000000000000,"n/a",INDEX($C$5:$AF$5,MATCH($G99,$C76:$AF76,0)))</f>
        <v>2033</v>
      </c>
      <c r="I99" s="63" t="n">
        <f aca="false">IF($G99&gt;=0,1,0)</f>
        <v>1</v>
      </c>
      <c r="J99" s="20" t="n">
        <f aca="false">INDEX(Household_Base!$C$62:$AF$62,MATCH($B99,Household_Base!$C$5:$AF$5,0))*INDEX(Returns!$C$16:$AF$16,MATCH(Assumptions!$C$109,Returns!$C$5:$AF$5,0))/INDEX(Returns!$C$16:$AF$16,MATCH($B99,Returns!$C$5:$AF$5,0))+INDEX(Returns!$C$16:$AF$16,MATCH(Assumptions!$C$109,Returns!$C$5:$AF$5,0))*(INDEX(Returns!$C$22:$AF$22,MATCH(Assumptions!$C$109,Returns!$C$5:$AF$5,0))-INDEX(Returns!$C$22:$AF$22,MATCH($B99,Returns!$C$5:$AF$5,0)))+INDEX(Household_Base!$C$63:$AF$63,MATCH($B99,Household_Base!$C$5:$AF$5,0))*INDEX(Returns!$C$17:$AF$17,MATCH(Assumptions!$C$109,Returns!$C$5:$AF$5,0))/INDEX(Returns!$C$17:$AF$17,MATCH($B99,Returns!$C$5:$AF$5,0))</f>
        <v>9460442.64066756</v>
      </c>
      <c r="K99" s="20" t="n">
        <f aca="false">INDEX(Household_Base!$C$24:$AF$24,MATCH(Assumptions!$C$109,Household_Base!$C$5:$AF$5,0))/Assumptions!$C$113/(1-Assumptions!$C$114)</f>
        <v>2764385.21000312</v>
      </c>
      <c r="L99" s="63" t="n">
        <f aca="false">IF($J99&gt;=$K99,1,0)</f>
        <v>1</v>
      </c>
      <c r="M99" s="66" t="n">
        <f aca="false">MIN($F99,$I99,$L99)</f>
        <v>1</v>
      </c>
      <c r="N99" s="66" t="n">
        <f aca="false">MIN($M99:$M$112)</f>
        <v>1</v>
      </c>
    </row>
    <row r="100" customFormat="false" ht="15" hidden="false" customHeight="true" outlineLevel="0" collapsed="false">
      <c r="B100" s="67" t="n">
        <v>2033</v>
      </c>
      <c r="C100" s="32" t="n">
        <f aca="false">Assumptions!$D$24+$B100-Assumptions!$C$6</f>
        <v>51</v>
      </c>
      <c r="D100" s="20" t="n">
        <f aca="false">INDEX(Household_Base!$C$65:$AF$65,MATCH($B100,Household_Base!$C$5:$AF$5,0))</f>
        <v>1079132.80196828</v>
      </c>
      <c r="E100" s="20" t="n">
        <f aca="false">INDEX(Household_Base!$C$22:$AF$22,MATCH($B100,Household_Base!$C$5:$AF$5,0))*Assumptions!$C$111/12+Assumptions!$C$112*INDEX(Assumptions!$C$9:$AF$9,MATCH($B100,Assumptions!$C$6:$AF$6,0))</f>
        <v>230475.542771036</v>
      </c>
      <c r="F100" s="63" t="n">
        <f aca="false">IF($D100&gt;=$E100,1,0)</f>
        <v>1</v>
      </c>
      <c r="G100" s="20" t="n">
        <f aca="false">MIN($C77:$AF77)</f>
        <v>1096955.19699691</v>
      </c>
      <c r="H100" s="18" t="n">
        <f aca="false">IF($G100&gt;=1000000000000,"n/a",INDEX($C$5:$AF$5,MATCH($G100,$C77:$AF77,0)))</f>
        <v>2034</v>
      </c>
      <c r="I100" s="63" t="n">
        <f aca="false">IF($G100&gt;=0,1,0)</f>
        <v>1</v>
      </c>
      <c r="J100" s="20" t="n">
        <f aca="false">INDEX(Household_Base!$C$62:$AF$62,MATCH($B100,Household_Base!$C$5:$AF$5,0))*INDEX(Returns!$C$16:$AF$16,MATCH(Assumptions!$C$109,Returns!$C$5:$AF$5,0))/INDEX(Returns!$C$16:$AF$16,MATCH($B100,Returns!$C$5:$AF$5,0))+INDEX(Returns!$C$16:$AF$16,MATCH(Assumptions!$C$109,Returns!$C$5:$AF$5,0))*(INDEX(Returns!$C$22:$AF$22,MATCH(Assumptions!$C$109,Returns!$C$5:$AF$5,0))-INDEX(Returns!$C$22:$AF$22,MATCH($B100,Returns!$C$5:$AF$5,0)))+INDEX(Household_Base!$C$63:$AF$63,MATCH($B100,Household_Base!$C$5:$AF$5,0))*INDEX(Returns!$C$17:$AF$17,MATCH(Assumptions!$C$109,Returns!$C$5:$AF$5,0))/INDEX(Returns!$C$17:$AF$17,MATCH($B100,Returns!$C$5:$AF$5,0))</f>
        <v>9707406.55230357</v>
      </c>
      <c r="K100" s="20" t="n">
        <f aca="false">INDEX(Household_Base!$C$24:$AF$24,MATCH(Assumptions!$C$109,Household_Base!$C$5:$AF$5,0))/Assumptions!$C$113/(1-Assumptions!$C$114)</f>
        <v>2764385.21000312</v>
      </c>
      <c r="L100" s="63" t="n">
        <f aca="false">IF($J100&gt;=$K100,1,0)</f>
        <v>1</v>
      </c>
      <c r="M100" s="66" t="n">
        <f aca="false">MIN($F100,$I100,$L100)</f>
        <v>1</v>
      </c>
      <c r="N100" s="66" t="n">
        <f aca="false">MIN($M100:$M$112)</f>
        <v>1</v>
      </c>
    </row>
    <row r="101" customFormat="false" ht="15" hidden="false" customHeight="true" outlineLevel="0" collapsed="false">
      <c r="B101" s="67" t="n">
        <v>2034</v>
      </c>
      <c r="C101" s="32" t="n">
        <f aca="false">Assumptions!$D$24+$B101-Assumptions!$C$6</f>
        <v>52</v>
      </c>
      <c r="D101" s="20" t="n">
        <f aca="false">INDEX(Household_Base!$C$65:$AF$65,MATCH($B101,Household_Base!$C$5:$AF$5,0))</f>
        <v>1277616.45633447</v>
      </c>
      <c r="E101" s="20" t="n">
        <f aca="false">INDEX(Household_Base!$C$22:$AF$22,MATCH($B101,Household_Base!$C$5:$AF$5,0))*Assumptions!$C$111/12+Assumptions!$C$112*INDEX(Assumptions!$C$9:$AF$9,MATCH($B101,Assumptions!$C$6:$AF$6,0))</f>
        <v>213160.02271829</v>
      </c>
      <c r="F101" s="63" t="n">
        <f aca="false">IF($D101&gt;=$E101,1,0)</f>
        <v>1</v>
      </c>
      <c r="G101" s="20" t="n">
        <f aca="false">MIN($C78:$AF78)</f>
        <v>1308713.87254388</v>
      </c>
      <c r="H101" s="18" t="n">
        <f aca="false">IF($G101&gt;=1000000000000,"n/a",INDEX($C$5:$AF$5,MATCH($G101,$C78:$AF78,0)))</f>
        <v>2035</v>
      </c>
      <c r="I101" s="63" t="n">
        <f aca="false">IF($G101&gt;=0,1,0)</f>
        <v>1</v>
      </c>
      <c r="J101" s="20" t="n">
        <f aca="false">INDEX(Household_Base!$C$62:$AF$62,MATCH($B101,Household_Base!$C$5:$AF$5,0))*INDEX(Returns!$C$16:$AF$16,MATCH(Assumptions!$C$109,Returns!$C$5:$AF$5,0))/INDEX(Returns!$C$16:$AF$16,MATCH($B101,Returns!$C$5:$AF$5,0))+INDEX(Returns!$C$16:$AF$16,MATCH(Assumptions!$C$109,Returns!$C$5:$AF$5,0))*(INDEX(Returns!$C$22:$AF$22,MATCH(Assumptions!$C$109,Returns!$C$5:$AF$5,0))-INDEX(Returns!$C$22:$AF$22,MATCH($B101,Returns!$C$5:$AF$5,0)))+INDEX(Household_Base!$C$63:$AF$63,MATCH($B101,Household_Base!$C$5:$AF$5,0))*INDEX(Returns!$C$17:$AF$17,MATCH(Assumptions!$C$109,Returns!$C$5:$AF$5,0))/INDEX(Returns!$C$17:$AF$17,MATCH($B101,Returns!$C$5:$AF$5,0))</f>
        <v>9941378.37363279</v>
      </c>
      <c r="K101" s="20" t="n">
        <f aca="false">INDEX(Household_Base!$C$24:$AF$24,MATCH(Assumptions!$C$109,Household_Base!$C$5:$AF$5,0))/Assumptions!$C$113/(1-Assumptions!$C$114)</f>
        <v>2764385.21000312</v>
      </c>
      <c r="L101" s="63" t="n">
        <f aca="false">IF($J101&gt;=$K101,1,0)</f>
        <v>1</v>
      </c>
      <c r="M101" s="66" t="n">
        <f aca="false">MIN($F101,$I101,$L101)</f>
        <v>1</v>
      </c>
      <c r="N101" s="66" t="n">
        <f aca="false">MIN($M101:$M$112)</f>
        <v>1</v>
      </c>
    </row>
    <row r="102" customFormat="false" ht="15" hidden="false" customHeight="true" outlineLevel="0" collapsed="false">
      <c r="B102" s="67" t="n">
        <v>2035</v>
      </c>
      <c r="C102" s="32" t="n">
        <f aca="false">Assumptions!$D$24+$B102-Assumptions!$C$6</f>
        <v>53</v>
      </c>
      <c r="D102" s="20" t="n">
        <f aca="false">INDEX(Household_Base!$C$65:$AF$65,MATCH($B102,Household_Base!$C$5:$AF$5,0))</f>
        <v>1492988.3570682</v>
      </c>
      <c r="E102" s="20" t="n">
        <f aca="false">INDEX(Household_Base!$C$22:$AF$22,MATCH($B102,Household_Base!$C$5:$AF$5,0))*Assumptions!$C$111/12+Assumptions!$C$112*INDEX(Assumptions!$C$9:$AF$9,MATCH($B102,Assumptions!$C$6:$AF$6,0))</f>
        <v>217423.223172656</v>
      </c>
      <c r="F102" s="63" t="n">
        <f aca="false">IF($D102&gt;=$E102,1,0)</f>
        <v>1</v>
      </c>
      <c r="G102" s="20" t="n">
        <f aca="false">MIN($C79:$AF79)</f>
        <v>1538579.60281633</v>
      </c>
      <c r="H102" s="18" t="n">
        <f aca="false">IF($G102&gt;=1000000000000,"n/a",INDEX($C$5:$AF$5,MATCH($G102,$C79:$AF79,0)))</f>
        <v>2036</v>
      </c>
      <c r="I102" s="63" t="n">
        <f aca="false">IF($G102&gt;=0,1,0)</f>
        <v>1</v>
      </c>
      <c r="J102" s="20" t="n">
        <f aca="false">INDEX(Household_Base!$C$62:$AF$62,MATCH($B102,Household_Base!$C$5:$AF$5,0))*INDEX(Returns!$C$16:$AF$16,MATCH(Assumptions!$C$109,Returns!$C$5:$AF$5,0))/INDEX(Returns!$C$16:$AF$16,MATCH($B102,Returns!$C$5:$AF$5,0))+INDEX(Returns!$C$16:$AF$16,MATCH(Assumptions!$C$109,Returns!$C$5:$AF$5,0))*(INDEX(Returns!$C$22:$AF$22,MATCH(Assumptions!$C$109,Returns!$C$5:$AF$5,0))-INDEX(Returns!$C$22:$AF$22,MATCH($B102,Returns!$C$5:$AF$5,0)))+INDEX(Household_Base!$C$63:$AF$63,MATCH($B102,Household_Base!$C$5:$AF$5,0))*INDEX(Returns!$C$17:$AF$17,MATCH(Assumptions!$C$109,Returns!$C$5:$AF$5,0))/INDEX(Returns!$C$17:$AF$17,MATCH($B102,Returns!$C$5:$AF$5,0))</f>
        <v>10163391.9418813</v>
      </c>
      <c r="K102" s="20" t="n">
        <f aca="false">INDEX(Household_Base!$C$24:$AF$24,MATCH(Assumptions!$C$109,Household_Base!$C$5:$AF$5,0))/Assumptions!$C$113/(1-Assumptions!$C$114)</f>
        <v>2764385.21000312</v>
      </c>
      <c r="L102" s="63" t="n">
        <f aca="false">IF($J102&gt;=$K102,1,0)</f>
        <v>1</v>
      </c>
      <c r="M102" s="66" t="n">
        <f aca="false">MIN($F102,$I102,$L102)</f>
        <v>1</v>
      </c>
      <c r="N102" s="66" t="n">
        <f aca="false">MIN($M102:$M$112)</f>
        <v>1</v>
      </c>
    </row>
    <row r="103" customFormat="false" ht="15" hidden="false" customHeight="true" outlineLevel="0" collapsed="false">
      <c r="B103" s="67" t="n">
        <v>2036</v>
      </c>
      <c r="C103" s="32" t="n">
        <f aca="false">Assumptions!$D$24+$B103-Assumptions!$C$6</f>
        <v>54</v>
      </c>
      <c r="D103" s="20" t="n">
        <f aca="false">INDEX(Household_Base!$C$65:$AF$65,MATCH($B103,Household_Base!$C$5:$AF$5,0))</f>
        <v>1726539.57703113</v>
      </c>
      <c r="E103" s="20" t="n">
        <f aca="false">INDEX(Household_Base!$C$22:$AF$22,MATCH($B103,Household_Base!$C$5:$AF$5,0))*Assumptions!$C$111/12+Assumptions!$C$112*INDEX(Assumptions!$C$9:$AF$9,MATCH($B103,Assumptions!$C$6:$AF$6,0))</f>
        <v>221771.687636109</v>
      </c>
      <c r="F103" s="63" t="n">
        <f aca="false">IF($D103&gt;=$E103,1,0)</f>
        <v>1</v>
      </c>
      <c r="G103" s="20" t="n">
        <f aca="false">MIN($C80:$AF80)</f>
        <v>1785349.08054698</v>
      </c>
      <c r="H103" s="18" t="n">
        <f aca="false">IF($G103&gt;=1000000000000,"n/a",INDEX($C$5:$AF$5,MATCH($G103,$C80:$AF80,0)))</f>
        <v>2037</v>
      </c>
      <c r="I103" s="63" t="n">
        <f aca="false">IF($G103&gt;=0,1,0)</f>
        <v>1</v>
      </c>
      <c r="J103" s="20" t="n">
        <f aca="false">INDEX(Household_Base!$C$62:$AF$62,MATCH($B103,Household_Base!$C$5:$AF$5,0))*INDEX(Returns!$C$16:$AF$16,MATCH(Assumptions!$C$109,Returns!$C$5:$AF$5,0))/INDEX(Returns!$C$16:$AF$16,MATCH($B103,Returns!$C$5:$AF$5,0))+INDEX(Returns!$C$16:$AF$16,MATCH(Assumptions!$C$109,Returns!$C$5:$AF$5,0))*(INDEX(Returns!$C$22:$AF$22,MATCH(Assumptions!$C$109,Returns!$C$5:$AF$5,0))-INDEX(Returns!$C$22:$AF$22,MATCH($B103,Returns!$C$5:$AF$5,0)))+INDEX(Household_Base!$C$63:$AF$63,MATCH($B103,Household_Base!$C$5:$AF$5,0))*INDEX(Returns!$C$17:$AF$17,MATCH(Assumptions!$C$109,Returns!$C$5:$AF$5,0))/INDEX(Returns!$C$17:$AF$17,MATCH($B103,Returns!$C$5:$AF$5,0))</f>
        <v>10374395.9986184</v>
      </c>
      <c r="K103" s="20" t="n">
        <f aca="false">INDEX(Household_Base!$C$24:$AF$24,MATCH(Assumptions!$C$109,Household_Base!$C$5:$AF$5,0))/Assumptions!$C$113/(1-Assumptions!$C$114)</f>
        <v>2764385.21000312</v>
      </c>
      <c r="L103" s="63" t="n">
        <f aca="false">IF($J103&gt;=$K103,1,0)</f>
        <v>1</v>
      </c>
      <c r="M103" s="66" t="n">
        <f aca="false">MIN($F103,$I103,$L103)</f>
        <v>1</v>
      </c>
      <c r="N103" s="66" t="n">
        <f aca="false">MIN($M103:$M$112)</f>
        <v>1</v>
      </c>
    </row>
    <row r="104" customFormat="false" ht="15" hidden="false" customHeight="true" outlineLevel="0" collapsed="false">
      <c r="B104" s="67" t="n">
        <v>2037</v>
      </c>
      <c r="C104" s="32" t="n">
        <f aca="false">Assumptions!$D$24+$B104-Assumptions!$C$6</f>
        <v>55</v>
      </c>
      <c r="D104" s="20" t="n">
        <f aca="false">INDEX(Household_Base!$C$65:$AF$65,MATCH($B104,Household_Base!$C$5:$AF$5,0))</f>
        <v>1977068.25424608</v>
      </c>
      <c r="E104" s="20" t="n">
        <f aca="false">INDEX(Household_Base!$C$22:$AF$22,MATCH($B104,Household_Base!$C$5:$AF$5,0))*Assumptions!$C$111/12+Assumptions!$C$112*INDEX(Assumptions!$C$9:$AF$9,MATCH($B104,Assumptions!$C$6:$AF$6,0))</f>
        <v>226207.121388831</v>
      </c>
      <c r="F104" s="63" t="n">
        <f aca="false">IF($D104&gt;=$E104,1,0)</f>
        <v>1</v>
      </c>
      <c r="G104" s="20" t="n">
        <f aca="false">MIN($C81:$AF81)</f>
        <v>2046599.92066232</v>
      </c>
      <c r="H104" s="18" t="n">
        <f aca="false">IF($G104&gt;=1000000000000,"n/a",INDEX($C$5:$AF$5,MATCH($G104,$C81:$AF81,0)))</f>
        <v>2038</v>
      </c>
      <c r="I104" s="63" t="n">
        <f aca="false">IF($G104&gt;=0,1,0)</f>
        <v>1</v>
      </c>
      <c r="J104" s="20" t="n">
        <f aca="false">INDEX(Household_Base!$C$62:$AF$62,MATCH($B104,Household_Base!$C$5:$AF$5,0))*INDEX(Returns!$C$16:$AF$16,MATCH(Assumptions!$C$109,Returns!$C$5:$AF$5,0))/INDEX(Returns!$C$16:$AF$16,MATCH($B104,Returns!$C$5:$AF$5,0))+INDEX(Returns!$C$16:$AF$16,MATCH(Assumptions!$C$109,Returns!$C$5:$AF$5,0))*(INDEX(Returns!$C$22:$AF$22,MATCH(Assumptions!$C$109,Returns!$C$5:$AF$5,0))-INDEX(Returns!$C$22:$AF$22,MATCH($B104,Returns!$C$5:$AF$5,0)))+INDEX(Household_Base!$C$63:$AF$63,MATCH($B104,Household_Base!$C$5:$AF$5,0))*INDEX(Returns!$C$17:$AF$17,MATCH(Assumptions!$C$109,Returns!$C$5:$AF$5,0))/INDEX(Returns!$C$17:$AF$17,MATCH($B104,Returns!$C$5:$AF$5,0))</f>
        <v>10575263.3672961</v>
      </c>
      <c r="K104" s="20" t="n">
        <f aca="false">INDEX(Household_Base!$C$24:$AF$24,MATCH(Assumptions!$C$109,Household_Base!$C$5:$AF$5,0))/Assumptions!$C$113/(1-Assumptions!$C$114)</f>
        <v>2764385.21000312</v>
      </c>
      <c r="L104" s="63" t="n">
        <f aca="false">IF($J104&gt;=$K104,1,0)</f>
        <v>1</v>
      </c>
      <c r="M104" s="66" t="n">
        <f aca="false">MIN($F104,$I104,$L104)</f>
        <v>1</v>
      </c>
      <c r="N104" s="66" t="n">
        <f aca="false">MIN($M104:$M$112)</f>
        <v>1</v>
      </c>
    </row>
    <row r="105" customFormat="false" ht="15" hidden="false" customHeight="true" outlineLevel="0" collapsed="false">
      <c r="B105" s="67" t="n">
        <v>2038</v>
      </c>
      <c r="C105" s="32" t="n">
        <f aca="false">Assumptions!$D$24+$B105-Assumptions!$C$6</f>
        <v>56</v>
      </c>
      <c r="D105" s="20" t="n">
        <f aca="false">INDEX(Household_Base!$C$65:$AF$65,MATCH($B105,Household_Base!$C$5:$AF$5,0))</f>
        <v>2242153.4778354</v>
      </c>
      <c r="E105" s="20" t="n">
        <f aca="false">INDEX(Household_Base!$C$22:$AF$22,MATCH($B105,Household_Base!$C$5:$AF$5,0))*Assumptions!$C$111/12+Assumptions!$C$112*INDEX(Assumptions!$C$9:$AF$9,MATCH($B105,Assumptions!$C$6:$AF$6,0))</f>
        <v>230731.263816608</v>
      </c>
      <c r="F105" s="63" t="n">
        <f aca="false">IF($D105&gt;=$E105,1,0)</f>
        <v>1</v>
      </c>
      <c r="G105" s="20" t="n">
        <f aca="false">MIN($C82:$AF82)</f>
        <v>2321832.93238279</v>
      </c>
      <c r="H105" s="18" t="n">
        <f aca="false">IF($G105&gt;=1000000000000,"n/a",INDEX($C$5:$AF$5,MATCH($G105,$C82:$AF82,0)))</f>
        <v>2039</v>
      </c>
      <c r="I105" s="63" t="n">
        <f aca="false">IF($G105&gt;=0,1,0)</f>
        <v>1</v>
      </c>
      <c r="J105" s="20" t="n">
        <f aca="false">INDEX(Household_Base!$C$62:$AF$62,MATCH($B105,Household_Base!$C$5:$AF$5,0))*INDEX(Returns!$C$16:$AF$16,MATCH(Assumptions!$C$109,Returns!$C$5:$AF$5,0))/INDEX(Returns!$C$16:$AF$16,MATCH($B105,Returns!$C$5:$AF$5,0))+INDEX(Returns!$C$16:$AF$16,MATCH(Assumptions!$C$109,Returns!$C$5:$AF$5,0))*(INDEX(Returns!$C$22:$AF$22,MATCH(Assumptions!$C$109,Returns!$C$5:$AF$5,0))-INDEX(Returns!$C$22:$AF$22,MATCH($B105,Returns!$C$5:$AF$5,0)))+INDEX(Household_Base!$C$63:$AF$63,MATCH($B105,Household_Base!$C$5:$AF$5,0))*INDEX(Returns!$C$17:$AF$17,MATCH(Assumptions!$C$109,Returns!$C$5:$AF$5,0))/INDEX(Returns!$C$17:$AF$17,MATCH($B105,Returns!$C$5:$AF$5,0))</f>
        <v>10766799.0927738</v>
      </c>
      <c r="K105" s="20" t="n">
        <f aca="false">INDEX(Household_Base!$C$24:$AF$24,MATCH(Assumptions!$C$109,Household_Base!$C$5:$AF$5,0))/Assumptions!$C$113/(1-Assumptions!$C$114)</f>
        <v>2764385.21000312</v>
      </c>
      <c r="L105" s="63" t="n">
        <f aca="false">IF($J105&gt;=$K105,1,0)</f>
        <v>1</v>
      </c>
      <c r="M105" s="66" t="n">
        <f aca="false">MIN($F105,$I105,$L105)</f>
        <v>1</v>
      </c>
      <c r="N105" s="66" t="n">
        <f aca="false">MIN($M105:$M$112)</f>
        <v>1</v>
      </c>
    </row>
    <row r="106" customFormat="false" ht="15" hidden="false" customHeight="true" outlineLevel="0" collapsed="false">
      <c r="B106" s="67" t="n">
        <v>2039</v>
      </c>
      <c r="C106" s="32" t="n">
        <f aca="false">Assumptions!$D$24+$B106-Assumptions!$C$6</f>
        <v>57</v>
      </c>
      <c r="D106" s="20" t="n">
        <f aca="false">INDEX(Household_Base!$C$65:$AF$65,MATCH($B106,Household_Base!$C$5:$AF$5,0))</f>
        <v>2521297.56069933</v>
      </c>
      <c r="E106" s="20" t="n">
        <f aca="false">INDEX(Household_Base!$C$22:$AF$22,MATCH($B106,Household_Base!$C$5:$AF$5,0))*Assumptions!$C$111/12+Assumptions!$C$112*INDEX(Assumptions!$C$9:$AF$9,MATCH($B106,Assumptions!$C$6:$AF$6,0))</f>
        <v>235345.88909294</v>
      </c>
      <c r="F106" s="63" t="n">
        <f aca="false">IF($D106&gt;=$E106,1,0)</f>
        <v>1</v>
      </c>
      <c r="G106" s="20" t="n">
        <f aca="false">MIN($C83:$AF83)</f>
        <v>2610387.91177596</v>
      </c>
      <c r="H106" s="18" t="n">
        <f aca="false">IF($G106&gt;=1000000000000,"n/a",INDEX($C$5:$AF$5,MATCH($G106,$C83:$AF83,0)))</f>
        <v>2040</v>
      </c>
      <c r="I106" s="63" t="n">
        <f aca="false">IF($G106&gt;=0,1,0)</f>
        <v>1</v>
      </c>
      <c r="J106" s="20" t="n">
        <f aca="false">INDEX(Household_Base!$C$62:$AF$62,MATCH($B106,Household_Base!$C$5:$AF$5,0))*INDEX(Returns!$C$16:$AF$16,MATCH(Assumptions!$C$109,Returns!$C$5:$AF$5,0))/INDEX(Returns!$C$16:$AF$16,MATCH($B106,Returns!$C$5:$AF$5,0))+INDEX(Returns!$C$16:$AF$16,MATCH(Assumptions!$C$109,Returns!$C$5:$AF$5,0))*(INDEX(Returns!$C$22:$AF$22,MATCH(Assumptions!$C$109,Returns!$C$5:$AF$5,0))-INDEX(Returns!$C$22:$AF$22,MATCH($B106,Returns!$C$5:$AF$5,0)))+INDEX(Household_Base!$C$63:$AF$63,MATCH($B106,Household_Base!$C$5:$AF$5,0))*INDEX(Returns!$C$17:$AF$17,MATCH(Assumptions!$C$109,Returns!$C$5:$AF$5,0))/INDEX(Returns!$C$17:$AF$17,MATCH($B106,Returns!$C$5:$AF$5,0))</f>
        <v>10949747.6835384</v>
      </c>
      <c r="K106" s="20" t="n">
        <f aca="false">INDEX(Household_Base!$C$24:$AF$24,MATCH(Assumptions!$C$109,Household_Base!$C$5:$AF$5,0))/Assumptions!$C$113/(1-Assumptions!$C$114)</f>
        <v>2764385.21000312</v>
      </c>
      <c r="L106" s="63" t="n">
        <f aca="false">IF($J106&gt;=$K106,1,0)</f>
        <v>1</v>
      </c>
      <c r="M106" s="66" t="n">
        <f aca="false">MIN($F106,$I106,$L106)</f>
        <v>1</v>
      </c>
      <c r="N106" s="66" t="n">
        <f aca="false">MIN($M106:$M$112)</f>
        <v>1</v>
      </c>
    </row>
    <row r="107" customFormat="false" ht="15" hidden="false" customHeight="true" outlineLevel="0" collapsed="false">
      <c r="B107" s="67" t="n">
        <v>2040</v>
      </c>
      <c r="C107" s="32" t="n">
        <f aca="false">Assumptions!$D$24+$B107-Assumptions!$C$6</f>
        <v>58</v>
      </c>
      <c r="D107" s="20" t="n">
        <f aca="false">INDEX(Household_Base!$C$65:$AF$65,MATCH($B107,Household_Base!$C$5:$AF$5,0))</f>
        <v>2813841.83265884</v>
      </c>
      <c r="E107" s="20" t="n">
        <f aca="false">INDEX(Household_Base!$C$22:$AF$22,MATCH($B107,Household_Base!$C$5:$AF$5,0))*Assumptions!$C$111/12+Assumptions!$C$112*INDEX(Assumptions!$C$9:$AF$9,MATCH($B107,Assumptions!$C$6:$AF$6,0))</f>
        <v>240052.806874799</v>
      </c>
      <c r="F107" s="63" t="n">
        <f aca="false">IF($D107&gt;=$E107,1,0)</f>
        <v>1</v>
      </c>
      <c r="G107" s="20" t="n">
        <f aca="false">MIN($C84:$AF84)</f>
        <v>2911440.00654795</v>
      </c>
      <c r="H107" s="18" t="n">
        <f aca="false">IF($G107&gt;=1000000000000,"n/a",INDEX($C$5:$AF$5,MATCH($G107,$C84:$AF84,0)))</f>
        <v>2041</v>
      </c>
      <c r="I107" s="63" t="n">
        <f aca="false">IF($G107&gt;=0,1,0)</f>
        <v>1</v>
      </c>
      <c r="J107" s="20" t="n">
        <f aca="false">INDEX(Household_Base!$C$62:$AF$62,MATCH($B107,Household_Base!$C$5:$AF$5,0))*INDEX(Returns!$C$16:$AF$16,MATCH(Assumptions!$C$109,Returns!$C$5:$AF$5,0))/INDEX(Returns!$C$16:$AF$16,MATCH($B107,Returns!$C$5:$AF$5,0))+INDEX(Returns!$C$16:$AF$16,MATCH(Assumptions!$C$109,Returns!$C$5:$AF$5,0))*(INDEX(Returns!$C$22:$AF$22,MATCH(Assumptions!$C$109,Returns!$C$5:$AF$5,0))-INDEX(Returns!$C$22:$AF$22,MATCH($B107,Returns!$C$5:$AF$5,0)))+INDEX(Household_Base!$C$63:$AF$63,MATCH($B107,Household_Base!$C$5:$AF$5,0))*INDEX(Returns!$C$17:$AF$17,MATCH(Assumptions!$C$109,Returns!$C$5:$AF$5,0))/INDEX(Returns!$C$17:$AF$17,MATCH($B107,Returns!$C$5:$AF$5,0))</f>
        <v>11124799.5781024</v>
      </c>
      <c r="K107" s="20" t="n">
        <f aca="false">INDEX(Household_Base!$C$24:$AF$24,MATCH(Assumptions!$C$109,Household_Base!$C$5:$AF$5,0))/Assumptions!$C$113/(1-Assumptions!$C$114)</f>
        <v>2764385.21000312</v>
      </c>
      <c r="L107" s="63" t="n">
        <f aca="false">IF($J107&gt;=$K107,1,0)</f>
        <v>1</v>
      </c>
      <c r="M107" s="66" t="n">
        <f aca="false">MIN($F107,$I107,$L107)</f>
        <v>1</v>
      </c>
      <c r="N107" s="66" t="n">
        <f aca="false">MIN($M107:$M$112)</f>
        <v>1</v>
      </c>
    </row>
    <row r="108" customFormat="false" ht="15" hidden="false" customHeight="true" outlineLevel="0" collapsed="false">
      <c r="B108" s="67" t="n">
        <v>2041</v>
      </c>
      <c r="C108" s="32" t="n">
        <f aca="false">Assumptions!$D$24+$B108-Assumptions!$C$6</f>
        <v>59</v>
      </c>
      <c r="D108" s="20" t="n">
        <f aca="false">INDEX(Household_Base!$C$65:$AF$65,MATCH($B108,Household_Base!$C$5:$AF$5,0))</f>
        <v>3118963.00584848</v>
      </c>
      <c r="E108" s="20" t="n">
        <f aca="false">INDEX(Household_Base!$C$22:$AF$22,MATCH($B108,Household_Base!$C$5:$AF$5,0))*Assumptions!$C$111/12+Assumptions!$C$112*INDEX(Assumptions!$C$9:$AF$9,MATCH($B108,Assumptions!$C$6:$AF$6,0))</f>
        <v>244853.863012295</v>
      </c>
      <c r="F108" s="63" t="n">
        <f aca="false">IF($D108&gt;=$E108,1,0)</f>
        <v>1</v>
      </c>
      <c r="G108" s="20" t="n">
        <f aca="false">MIN($C85:$AF85)</f>
        <v>3223998.27692893</v>
      </c>
      <c r="H108" s="18" t="n">
        <f aca="false">IF($G108&gt;=1000000000000,"n/a",INDEX($C$5:$AF$5,MATCH($G108,$C85:$AF85,0)))</f>
        <v>2042</v>
      </c>
      <c r="I108" s="63" t="n">
        <f aca="false">IF($G108&gt;=0,1,0)</f>
        <v>1</v>
      </c>
      <c r="J108" s="20" t="n">
        <f aca="false">INDEX(Household_Base!$C$62:$AF$62,MATCH($B108,Household_Base!$C$5:$AF$5,0))*INDEX(Returns!$C$16:$AF$16,MATCH(Assumptions!$C$109,Returns!$C$5:$AF$5,0))/INDEX(Returns!$C$16:$AF$16,MATCH($B108,Returns!$C$5:$AF$5,0))+INDEX(Returns!$C$16:$AF$16,MATCH(Assumptions!$C$109,Returns!$C$5:$AF$5,0))*(INDEX(Returns!$C$22:$AF$22,MATCH(Assumptions!$C$109,Returns!$C$5:$AF$5,0))-INDEX(Returns!$C$22:$AF$22,MATCH($B108,Returns!$C$5:$AF$5,0)))+INDEX(Household_Base!$C$63:$AF$63,MATCH($B108,Household_Base!$C$5:$AF$5,0))*INDEX(Returns!$C$17:$AF$17,MATCH(Assumptions!$C$109,Returns!$C$5:$AF$5,0))/INDEX(Returns!$C$17:$AF$17,MATCH($B108,Returns!$C$5:$AF$5,0))</f>
        <v>11292596.9407944</v>
      </c>
      <c r="K108" s="20" t="n">
        <f aca="false">INDEX(Household_Base!$C$24:$AF$24,MATCH(Assumptions!$C$109,Household_Base!$C$5:$AF$5,0))/Assumptions!$C$113/(1-Assumptions!$C$114)</f>
        <v>2764385.21000312</v>
      </c>
      <c r="L108" s="63" t="n">
        <f aca="false">IF($J108&gt;=$K108,1,0)</f>
        <v>1</v>
      </c>
      <c r="M108" s="66" t="n">
        <f aca="false">MIN($F108,$I108,$L108)</f>
        <v>1</v>
      </c>
      <c r="N108" s="66" t="n">
        <f aca="false">MIN($M108:$M$112)</f>
        <v>1</v>
      </c>
    </row>
    <row r="109" customFormat="false" ht="15" hidden="false" customHeight="true" outlineLevel="0" collapsed="false">
      <c r="B109" s="67" t="n">
        <v>2042</v>
      </c>
      <c r="C109" s="32" t="n">
        <f aca="false">Assumptions!$D$24+$B109-Assumptions!$C$6</f>
        <v>60</v>
      </c>
      <c r="D109" s="20" t="n">
        <f aca="false">INDEX(Household_Base!$C$65:$AF$65,MATCH($B109,Household_Base!$C$5:$AF$5,0))</f>
        <v>3435671.73621548</v>
      </c>
      <c r="E109" s="20" t="n">
        <f aca="false">INDEX(Household_Base!$C$22:$AF$22,MATCH($B109,Household_Base!$C$5:$AF$5,0))*Assumptions!$C$111/12+Assumptions!$C$112*INDEX(Assumptions!$C$9:$AF$9,MATCH($B109,Assumptions!$C$6:$AF$6,0))</f>
        <v>249750.940272541</v>
      </c>
      <c r="F109" s="63" t="n">
        <f aca="false">IF($D109&gt;=$E109,1,0)</f>
        <v>1</v>
      </c>
      <c r="G109" s="20" t="n">
        <f aca="false">MIN($C86:$AF86)</f>
        <v>3546906.63533118</v>
      </c>
      <c r="H109" s="18" t="n">
        <f aca="false">IF($G109&gt;=1000000000000,"n/a",INDEX($C$5:$AF$5,MATCH($G109,$C86:$AF86,0)))</f>
        <v>2043</v>
      </c>
      <c r="I109" s="63" t="n">
        <f aca="false">IF($G109&gt;=0,1,0)</f>
        <v>1</v>
      </c>
      <c r="J109" s="20" t="n">
        <f aca="false">INDEX(Household_Base!$C$62:$AF$62,MATCH($B109,Household_Base!$C$5:$AF$5,0))*INDEX(Returns!$C$16:$AF$16,MATCH(Assumptions!$C$109,Returns!$C$5:$AF$5,0))/INDEX(Returns!$C$16:$AF$16,MATCH($B109,Returns!$C$5:$AF$5,0))+INDEX(Returns!$C$16:$AF$16,MATCH(Assumptions!$C$109,Returns!$C$5:$AF$5,0))*(INDEX(Returns!$C$22:$AF$22,MATCH(Assumptions!$C$109,Returns!$C$5:$AF$5,0))-INDEX(Returns!$C$22:$AF$22,MATCH($B109,Returns!$C$5:$AF$5,0)))+INDEX(Household_Base!$C$63:$AF$63,MATCH($B109,Household_Base!$C$5:$AF$5,0))*INDEX(Returns!$C$17:$AF$17,MATCH(Assumptions!$C$109,Returns!$C$5:$AF$5,0))/INDEX(Returns!$C$17:$AF$17,MATCH($B109,Returns!$C$5:$AF$5,0))</f>
        <v>11453920.3338886</v>
      </c>
      <c r="K109" s="20" t="n">
        <f aca="false">INDEX(Household_Base!$C$24:$AF$24,MATCH(Assumptions!$C$109,Household_Base!$C$5:$AF$5,0))/Assumptions!$C$113/(1-Assumptions!$C$114)</f>
        <v>2764385.21000312</v>
      </c>
      <c r="L109" s="63" t="n">
        <f aca="false">IF($J109&gt;=$K109,1,0)</f>
        <v>1</v>
      </c>
      <c r="M109" s="66" t="n">
        <f aca="false">MIN($F109,$I109,$L109)</f>
        <v>1</v>
      </c>
      <c r="N109" s="66" t="n">
        <f aca="false">MIN($M109:$M$112)</f>
        <v>1</v>
      </c>
    </row>
    <row r="110" customFormat="false" ht="15" hidden="false" customHeight="true" outlineLevel="0" collapsed="false">
      <c r="B110" s="67" t="n">
        <v>2043</v>
      </c>
      <c r="C110" s="32" t="n">
        <f aca="false">Assumptions!$D$24+$B110-Assumptions!$C$6</f>
        <v>61</v>
      </c>
      <c r="D110" s="20" t="n">
        <f aca="false">INDEX(Household_Base!$C$65:$AF$65,MATCH($B110,Household_Base!$C$5:$AF$5,0))</f>
        <v>3762813.56380346</v>
      </c>
      <c r="E110" s="20" t="n">
        <f aca="false">INDEX(Household_Base!$C$22:$AF$22,MATCH($B110,Household_Base!$C$5:$AF$5,0))*Assumptions!$C$111/12+Assumptions!$C$112*INDEX(Assumptions!$C$9:$AF$9,MATCH($B110,Assumptions!$C$6:$AF$6,0))</f>
        <v>254745.959077991</v>
      </c>
      <c r="F110" s="63" t="n">
        <f aca="false">IF($D110&gt;=$E110,1,0)</f>
        <v>1</v>
      </c>
      <c r="G110" s="20" t="n">
        <f aca="false">MIN($C87:$AF87)</f>
        <v>3878847.31092124</v>
      </c>
      <c r="H110" s="18" t="n">
        <f aca="false">IF($G110&gt;=1000000000000,"n/a",INDEX($C$5:$AF$5,MATCH($G110,$C87:$AF87,0)))</f>
        <v>2044</v>
      </c>
      <c r="I110" s="63" t="n">
        <f aca="false">IF($G110&gt;=0,1,0)</f>
        <v>1</v>
      </c>
      <c r="J110" s="20" t="n">
        <f aca="false">INDEX(Household_Base!$C$62:$AF$62,MATCH($B110,Household_Base!$C$5:$AF$5,0))*INDEX(Returns!$C$16:$AF$16,MATCH(Assumptions!$C$109,Returns!$C$5:$AF$5,0))/INDEX(Returns!$C$16:$AF$16,MATCH($B110,Returns!$C$5:$AF$5,0))+INDEX(Returns!$C$16:$AF$16,MATCH(Assumptions!$C$109,Returns!$C$5:$AF$5,0))*(INDEX(Returns!$C$22:$AF$22,MATCH(Assumptions!$C$109,Returns!$C$5:$AF$5,0))-INDEX(Returns!$C$22:$AF$22,MATCH($B110,Returns!$C$5:$AF$5,0)))+INDEX(Household_Base!$C$63:$AF$63,MATCH($B110,Household_Base!$C$5:$AF$5,0))*INDEX(Returns!$C$17:$AF$17,MATCH(Assumptions!$C$109,Returns!$C$5:$AF$5,0))/INDEX(Returns!$C$17:$AF$17,MATCH($B110,Returns!$C$5:$AF$5,0))</f>
        <v>11609483.6517353</v>
      </c>
      <c r="K110" s="20" t="n">
        <f aca="false">INDEX(Household_Base!$C$24:$AF$24,MATCH(Assumptions!$C$109,Household_Base!$C$5:$AF$5,0))/Assumptions!$C$113/(1-Assumptions!$C$114)</f>
        <v>2764385.21000312</v>
      </c>
      <c r="L110" s="63" t="n">
        <f aca="false">IF($J110&gt;=$K110,1,0)</f>
        <v>1</v>
      </c>
      <c r="M110" s="66" t="n">
        <f aca="false">MIN($F110,$I110,$L110)</f>
        <v>1</v>
      </c>
      <c r="N110" s="66" t="n">
        <f aca="false">MIN($M110:$M$112)</f>
        <v>1</v>
      </c>
    </row>
    <row r="111" customFormat="false" ht="15" hidden="false" customHeight="true" outlineLevel="0" collapsed="false">
      <c r="B111" s="67" t="n">
        <v>2044</v>
      </c>
      <c r="C111" s="32" t="n">
        <f aca="false">Assumptions!$D$24+$B111-Assumptions!$C$6</f>
        <v>62</v>
      </c>
      <c r="D111" s="20" t="n">
        <f aca="false">INDEX(Household_Base!$C$65:$AF$65,MATCH($B111,Household_Base!$C$5:$AF$5,0))</f>
        <v>4099072.37796295</v>
      </c>
      <c r="E111" s="20" t="n">
        <f aca="false">INDEX(Household_Base!$C$22:$AF$22,MATCH($B111,Household_Base!$C$5:$AF$5,0))*Assumptions!$C$111/12+Assumptions!$C$112*INDEX(Assumptions!$C$9:$AF$9,MATCH($B111,Assumptions!$C$6:$AF$6,0))</f>
        <v>259840.878259551</v>
      </c>
      <c r="F111" s="63" t="n">
        <f aca="false">IF($D111&gt;=$E111,1,0)</f>
        <v>1</v>
      </c>
      <c r="G111" s="20" t="n">
        <f aca="false">MIN($C88:$AF88)</f>
        <v>4289225.5949939</v>
      </c>
      <c r="H111" s="18" t="n">
        <f aca="false">IF($G111&gt;=1000000000000,"n/a",INDEX($C$5:$AF$5,MATCH($G111,$C88:$AF88,0)))</f>
        <v>2045</v>
      </c>
      <c r="I111" s="63" t="n">
        <f aca="false">IF($G111&gt;=0,1,0)</f>
        <v>1</v>
      </c>
      <c r="J111" s="20" t="n">
        <f aca="false">INDEX(Household_Base!$C$62:$AF$62,MATCH($B111,Household_Base!$C$5:$AF$5,0))*INDEX(Returns!$C$16:$AF$16,MATCH(Assumptions!$C$109,Returns!$C$5:$AF$5,0))/INDEX(Returns!$C$16:$AF$16,MATCH($B111,Returns!$C$5:$AF$5,0))+INDEX(Returns!$C$16:$AF$16,MATCH(Assumptions!$C$109,Returns!$C$5:$AF$5,0))*(INDEX(Returns!$C$22:$AF$22,MATCH(Assumptions!$C$109,Returns!$C$5:$AF$5,0))-INDEX(Returns!$C$22:$AF$22,MATCH($B111,Returns!$C$5:$AF$5,0)))+INDEX(Household_Base!$C$63:$AF$63,MATCH($B111,Household_Base!$C$5:$AF$5,0))*INDEX(Returns!$C$17:$AF$17,MATCH(Assumptions!$C$109,Returns!$C$5:$AF$5,0))/INDEX(Returns!$C$17:$AF$17,MATCH($B111,Returns!$C$5:$AF$5,0))</f>
        <v>11759942.7342417</v>
      </c>
      <c r="K111" s="20" t="n">
        <f aca="false">INDEX(Household_Base!$C$24:$AF$24,MATCH(Assumptions!$C$109,Household_Base!$C$5:$AF$5,0))/Assumptions!$C$113/(1-Assumptions!$C$114)</f>
        <v>2764385.21000312</v>
      </c>
      <c r="L111" s="63" t="n">
        <f aca="false">IF($J111&gt;=$K111,1,0)</f>
        <v>1</v>
      </c>
      <c r="M111" s="66" t="n">
        <f aca="false">MIN($F111,$I111,$L111)</f>
        <v>1</v>
      </c>
      <c r="N111" s="66" t="n">
        <f aca="false">MIN($M111:$M$112)</f>
        <v>1</v>
      </c>
    </row>
    <row r="112" customFormat="false" ht="15" hidden="false" customHeight="true" outlineLevel="0" collapsed="false">
      <c r="B112" s="67" t="n">
        <v>2045</v>
      </c>
      <c r="C112" s="32" t="n">
        <f aca="false">Assumptions!$D$24+$B112-Assumptions!$C$6</f>
        <v>63</v>
      </c>
      <c r="D112" s="20" t="n">
        <f aca="false">INDEX(Household_Base!$C$65:$AF$65,MATCH($B112,Household_Base!$C$5:$AF$5,0))</f>
        <v>4478415.83719189</v>
      </c>
      <c r="E112" s="20" t="n">
        <f aca="false">INDEX(Household_Base!$C$22:$AF$22,MATCH($B112,Household_Base!$C$5:$AF$5,0))*Assumptions!$C$111/12+Assumptions!$C$112*INDEX(Assumptions!$C$9:$AF$9,MATCH($B112,Assumptions!$C$6:$AF$6,0))</f>
        <v>229598.369640177</v>
      </c>
      <c r="F112" s="63" t="n">
        <f aca="false">IF($D112&gt;=$E112,1,0)</f>
        <v>1</v>
      </c>
      <c r="G112" s="20" t="n">
        <f aca="false">MIN($C89:$AF89)</f>
        <v>4672814.44308604</v>
      </c>
      <c r="H112" s="18" t="n">
        <f aca="false">IF($G112&gt;=1000000000000,"n/a",INDEX($C$5:$AF$5,MATCH($G112,$C89:$AF89,0)))</f>
        <v>2046</v>
      </c>
      <c r="I112" s="63" t="n">
        <f aca="false">IF($G112&gt;=0,1,0)</f>
        <v>1</v>
      </c>
      <c r="J112" s="20" t="n">
        <f aca="false">INDEX(Household_Base!$C$62:$AF$62,MATCH($B112,Household_Base!$C$5:$AF$5,0))*INDEX(Returns!$C$16:$AF$16,MATCH(Assumptions!$C$109,Returns!$C$5:$AF$5,0))/INDEX(Returns!$C$16:$AF$16,MATCH($B112,Returns!$C$5:$AF$5,0))+INDEX(Returns!$C$16:$AF$16,MATCH(Assumptions!$C$109,Returns!$C$5:$AF$5,0))*(INDEX(Returns!$C$22:$AF$22,MATCH(Assumptions!$C$109,Returns!$C$5:$AF$5,0))-INDEX(Returns!$C$22:$AF$22,MATCH($B112,Returns!$C$5:$AF$5,0)))+INDEX(Household_Base!$C$63:$AF$63,MATCH($B112,Household_Base!$C$5:$AF$5,0))*INDEX(Returns!$C$17:$AF$17,MATCH(Assumptions!$C$109,Returns!$C$5:$AF$5,0))/INDEX(Returns!$C$17:$AF$17,MATCH($B112,Returns!$C$5:$AF$5,0))</f>
        <v>11905903.0234432</v>
      </c>
      <c r="K112" s="20" t="n">
        <f aca="false">INDEX(Household_Base!$C$24:$AF$24,MATCH(Assumptions!$C$109,Household_Base!$C$5:$AF$5,0))/Assumptions!$C$113/(1-Assumptions!$C$114)</f>
        <v>2764385.21000312</v>
      </c>
      <c r="L112" s="63" t="n">
        <f aca="false">IF($J112&gt;=$K112,1,0)</f>
        <v>1</v>
      </c>
      <c r="M112" s="66" t="n">
        <f aca="false">MIN($F112,$I112,$L112)</f>
        <v>1</v>
      </c>
      <c r="N112" s="66" t="n">
        <f aca="false">MIN($M112:$M$112)</f>
        <v>1</v>
      </c>
    </row>
    <row r="114" customFormat="false" ht="15" hidden="false" customHeight="true" outlineLevel="0" collapsed="false">
      <c r="A114" s="30" t="s">
        <v>509</v>
      </c>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customFormat="false" ht="15" hidden="false" customHeight="true" outlineLevel="0" collapsed="false">
      <c r="B115" s="16" t="s">
        <v>510</v>
      </c>
      <c r="C115" s="69" t="n">
        <f aca="false">IFERROR(INDEX($B93:$B112,MATCH(1,$N93:$N112,0)),"never")</f>
        <v>2026</v>
      </c>
    </row>
    <row r="116" customFormat="false" ht="15" hidden="false" customHeight="true" outlineLevel="0" collapsed="false">
      <c r="B116" s="16" t="s">
        <v>511</v>
      </c>
      <c r="C116" s="70" t="n">
        <f aca="false">IF(ISNUMBER($C115),Assumptions!$D$24+$C115-Assumptions!$C$6,"n/a")</f>
        <v>44</v>
      </c>
    </row>
    <row r="117" customFormat="false" ht="15" hidden="false" customHeight="true" outlineLevel="0" collapsed="false">
      <c r="B117" s="16" t="s">
        <v>512</v>
      </c>
      <c r="C117" s="69" t="n">
        <f aca="false">IFERROR(INDEX($C$5:$AF$5,MATCH(1,$C$9:$AF$9,0))-1,"never")</f>
        <v>2031</v>
      </c>
    </row>
    <row r="118" customFormat="false" ht="15" hidden="false" customHeight="true" outlineLevel="0" collapsed="false">
      <c r="B118" s="16" t="s">
        <v>511</v>
      </c>
      <c r="C118" s="70" t="n">
        <f aca="false">IF(ISNUMBER($C117),Assumptions!$D$24+$C117-Assumptions!$C$6,"n/a")</f>
        <v>49</v>
      </c>
    </row>
    <row r="119" customFormat="false" ht="15" hidden="false" customHeight="true" outlineLevel="0" collapsed="false">
      <c r="B119" s="16" t="s">
        <v>513</v>
      </c>
      <c r="C119" s="69" t="n">
        <f aca="false">IFERROR(INDEX($C$5:$AF$5,MATCH(1,$C$10:$AF$10,0))-1,"never")</f>
        <v>2033</v>
      </c>
    </row>
    <row r="120" customFormat="false" ht="15" hidden="false" customHeight="true" outlineLevel="0" collapsed="false">
      <c r="B120" s="16" t="s">
        <v>511</v>
      </c>
      <c r="C120" s="70" t="n">
        <f aca="false">IF(ISNUMBER($C119),Assumptions!$D$24+$C119-Assumptions!$C$6,"n/a")</f>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2" min="3" style="1" width="13"/>
  </cols>
  <sheetData>
    <row r="1" customFormat="false" ht="17.25" hidden="false" customHeight="true" outlineLevel="0" collapsed="false">
      <c r="A1" s="28" t="s">
        <v>514</v>
      </c>
    </row>
    <row r="2" customFormat="false" ht="15" hidden="false" customHeight="true" outlineLevel="0" collapsed="false">
      <c r="A2" s="29" t="s">
        <v>515</v>
      </c>
    </row>
    <row r="4" customFormat="false" ht="15" hidden="false" customHeight="true" outlineLevel="0" collapsed="false">
      <c r="A4" s="30" t="s">
        <v>516</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412</v>
      </c>
      <c r="C6" s="48" t="n">
        <f aca="false">Assumptions!C$9</f>
        <v>1</v>
      </c>
      <c r="D6" s="48" t="n">
        <f aca="false">Assumptions!D$9</f>
        <v>1.04</v>
      </c>
      <c r="E6" s="48" t="n">
        <f aca="false">Assumptions!E$9</f>
        <v>1.0816</v>
      </c>
      <c r="F6" s="48" t="n">
        <f aca="false">Assumptions!F$9</f>
        <v>1.103232</v>
      </c>
      <c r="G6" s="48" t="n">
        <f aca="false">Assumptions!G$9</f>
        <v>1.12529664</v>
      </c>
      <c r="H6" s="48" t="n">
        <f aca="false">Assumptions!H$9</f>
        <v>1.1478025728</v>
      </c>
      <c r="I6" s="48" t="n">
        <f aca="false">Assumptions!I$9</f>
        <v>1.170758624256</v>
      </c>
      <c r="J6" s="48" t="n">
        <f aca="false">Assumptions!J$9</f>
        <v>1.19417379674112</v>
      </c>
      <c r="K6" s="48" t="n">
        <f aca="false">Assumptions!K$9</f>
        <v>1.21805727267594</v>
      </c>
      <c r="L6" s="48" t="n">
        <f aca="false">Assumptions!L$9</f>
        <v>1.24241841812946</v>
      </c>
      <c r="M6" s="48" t="n">
        <f aca="false">Assumptions!M$9</f>
        <v>1.26726678649205</v>
      </c>
      <c r="N6" s="48" t="n">
        <f aca="false">Assumptions!N$9</f>
        <v>1.29261212222189</v>
      </c>
      <c r="O6" s="48" t="n">
        <f aca="false">Assumptions!O$9</f>
        <v>1.31846436466633</v>
      </c>
      <c r="P6" s="48" t="n">
        <f aca="false">Assumptions!P$9</f>
        <v>1.34483365195966</v>
      </c>
      <c r="Q6" s="48" t="n">
        <f aca="false">Assumptions!Q$9</f>
        <v>1.37173032499885</v>
      </c>
      <c r="R6" s="48" t="n">
        <f aca="false">Assumptions!R$9</f>
        <v>1.39916493149883</v>
      </c>
      <c r="S6" s="48" t="n">
        <f aca="false">Assumptions!S$9</f>
        <v>1.4271482301288</v>
      </c>
      <c r="T6" s="48" t="n">
        <f aca="false">Assumptions!T$9</f>
        <v>1.45569119473138</v>
      </c>
      <c r="U6" s="48" t="n">
        <f aca="false">Assumptions!U$9</f>
        <v>1.48480501862601</v>
      </c>
      <c r="V6" s="48" t="n">
        <f aca="false">Assumptions!V$9</f>
        <v>1.51450111899853</v>
      </c>
      <c r="W6" s="48" t="n">
        <f aca="false">Assumptions!W$9</f>
        <v>1.5447911413785</v>
      </c>
      <c r="X6" s="48" t="n">
        <f aca="false">Assumptions!X$9</f>
        <v>1.57568696420607</v>
      </c>
      <c r="Y6" s="48" t="n">
        <f aca="false">Assumptions!Y$9</f>
        <v>1.60720070349019</v>
      </c>
      <c r="Z6" s="48" t="n">
        <f aca="false">Assumptions!Z$9</f>
        <v>1.63934471755999</v>
      </c>
      <c r="AA6" s="48" t="n">
        <f aca="false">Assumptions!AA$9</f>
        <v>1.67213161191119</v>
      </c>
      <c r="AB6" s="48" t="n">
        <f aca="false">Assumptions!AB$9</f>
        <v>1.70557424414942</v>
      </c>
      <c r="AC6" s="48" t="n">
        <f aca="false">Assumptions!AC$9</f>
        <v>1.7396857290324</v>
      </c>
      <c r="AD6" s="48" t="n">
        <f aca="false">Assumptions!AD$9</f>
        <v>1.77447944361305</v>
      </c>
      <c r="AE6" s="48" t="n">
        <f aca="false">Assumptions!AE$9</f>
        <v>1.80996903248531</v>
      </c>
      <c r="AF6" s="48" t="n">
        <f aca="false">Assumptions!AF$9</f>
        <v>1.84616841313502</v>
      </c>
    </row>
    <row r="8" customFormat="false" ht="15" hidden="false" customHeight="true" outlineLevel="0" collapsed="false">
      <c r="B8" s="16" t="s">
        <v>517</v>
      </c>
      <c r="C8" s="58" t="n">
        <f aca="false">IF(C5&lt;Assumptions!$C$98,Assumptions!$C$21*C6,IF(C5=Assumptions!$C$98,(Assumptions!$C$99-1)/12*Assumptions!$C$21*C6+Assumptions!$C$100/12*Assumptions!$C$101,IF(C5=Assumptions!$C$104,Assumptions!$C$102/12*Assumptions!$C$101*0.5+Assumptions!$C$105/12*Assumptions!$C$103,Assumptions!$C$103*C6/Assumptions!$E$9)))</f>
        <v>170000</v>
      </c>
      <c r="D8" s="58" t="n">
        <f aca="false">IF(D5&lt;Assumptions!$C$98,Assumptions!$C$21*D6,IF(D5=Assumptions!$C$98,(Assumptions!$C$99-1)/12*Assumptions!$C$21*D6+Assumptions!$C$100/12*Assumptions!$C$101,IF(D5=Assumptions!$C$104,Assumptions!$C$102/12*Assumptions!$C$101*0.5+Assumptions!$C$105/12*Assumptions!$C$103,Assumptions!$C$103*D6/Assumptions!$E$9)))</f>
        <v>143400</v>
      </c>
      <c r="E8" s="58" t="n">
        <f aca="false">IF(E5&lt;Assumptions!$C$98,Assumptions!$C$21*E6,IF(E5=Assumptions!$C$98,(Assumptions!$C$99-1)/12*Assumptions!$C$21*E6+Assumptions!$C$100/12*Assumptions!$C$101,IF(E5=Assumptions!$C$104,Assumptions!$C$102/12*Assumptions!$C$101*0.5+Assumptions!$C$105/12*Assumptions!$C$103,Assumptions!$C$103*E6/Assumptions!$E$9)))</f>
        <v>148750</v>
      </c>
      <c r="F8" s="58" t="n">
        <f aca="false">IF(F5&lt;Assumptions!$C$98,Assumptions!$C$21*F6,IF(F5=Assumptions!$C$98,(Assumptions!$C$99-1)/12*Assumptions!$C$21*F6+Assumptions!$C$100/12*Assumptions!$C$101,IF(F5=Assumptions!$C$104,Assumptions!$C$102/12*Assumptions!$C$101*0.5+Assumptions!$C$105/12*Assumptions!$C$103,Assumptions!$C$103*F6/Assumptions!$E$9)))</f>
        <v>183600</v>
      </c>
      <c r="G8" s="58" t="n">
        <f aca="false">IF(G5&lt;Assumptions!$C$98,Assumptions!$C$21*G6,IF(G5=Assumptions!$C$98,(Assumptions!$C$99-1)/12*Assumptions!$C$21*G6+Assumptions!$C$100/12*Assumptions!$C$101,IF(G5=Assumptions!$C$104,Assumptions!$C$102/12*Assumptions!$C$101*0.5+Assumptions!$C$105/12*Assumptions!$C$103,Assumptions!$C$103*G6/Assumptions!$E$9)))</f>
        <v>187272</v>
      </c>
      <c r="H8" s="58" t="n">
        <f aca="false">IF(H5&lt;Assumptions!$C$98,Assumptions!$C$21*H6,IF(H5=Assumptions!$C$98,(Assumptions!$C$99-1)/12*Assumptions!$C$21*H6+Assumptions!$C$100/12*Assumptions!$C$101,IF(H5=Assumptions!$C$104,Assumptions!$C$102/12*Assumptions!$C$101*0.5+Assumptions!$C$105/12*Assumptions!$C$103,Assumptions!$C$103*H6/Assumptions!$E$9)))</f>
        <v>191017.44</v>
      </c>
      <c r="I8" s="58" t="n">
        <f aca="false">IF(I5&lt;Assumptions!$C$98,Assumptions!$C$21*I6,IF(I5=Assumptions!$C$98,(Assumptions!$C$99-1)/12*Assumptions!$C$21*I6+Assumptions!$C$100/12*Assumptions!$C$101,IF(I5=Assumptions!$C$104,Assumptions!$C$102/12*Assumptions!$C$101*0.5+Assumptions!$C$105/12*Assumptions!$C$103,Assumptions!$C$103*I6/Assumptions!$E$9)))</f>
        <v>194837.7888</v>
      </c>
      <c r="J8" s="58" t="n">
        <f aca="false">IF(J5&lt;Assumptions!$C$98,Assumptions!$C$21*J6,IF(J5=Assumptions!$C$98,(Assumptions!$C$99-1)/12*Assumptions!$C$21*J6+Assumptions!$C$100/12*Assumptions!$C$101,IF(J5=Assumptions!$C$104,Assumptions!$C$102/12*Assumptions!$C$101*0.5+Assumptions!$C$105/12*Assumptions!$C$103,Assumptions!$C$103*J6/Assumptions!$E$9)))</f>
        <v>198734.544576</v>
      </c>
      <c r="K8" s="58" t="n">
        <f aca="false">IF(K5&lt;Assumptions!$C$98,Assumptions!$C$21*K6,IF(K5=Assumptions!$C$98,(Assumptions!$C$99-1)/12*Assumptions!$C$21*K6+Assumptions!$C$100/12*Assumptions!$C$101,IF(K5=Assumptions!$C$104,Assumptions!$C$102/12*Assumptions!$C$101*0.5+Assumptions!$C$105/12*Assumptions!$C$103,Assumptions!$C$103*K6/Assumptions!$E$9)))</f>
        <v>202709.23546752</v>
      </c>
      <c r="L8" s="58" t="n">
        <f aca="false">IF(L5&lt;Assumptions!$C$98,Assumptions!$C$21*L6,IF(L5=Assumptions!$C$98,(Assumptions!$C$99-1)/12*Assumptions!$C$21*L6+Assumptions!$C$100/12*Assumptions!$C$101,IF(L5=Assumptions!$C$104,Assumptions!$C$102/12*Assumptions!$C$101*0.5+Assumptions!$C$105/12*Assumptions!$C$103,Assumptions!$C$103*L6/Assumptions!$E$9)))</f>
        <v>206763.42017687</v>
      </c>
      <c r="M8" s="58" t="n">
        <f aca="false">IF(M5&lt;Assumptions!$C$98,Assumptions!$C$21*M6,IF(M5=Assumptions!$C$98,(Assumptions!$C$99-1)/12*Assumptions!$C$21*M6+Assumptions!$C$100/12*Assumptions!$C$101,IF(M5=Assumptions!$C$104,Assumptions!$C$102/12*Assumptions!$C$101*0.5+Assumptions!$C$105/12*Assumptions!$C$103,Assumptions!$C$103*M6/Assumptions!$E$9)))</f>
        <v>210898.688580408</v>
      </c>
      <c r="N8" s="58" t="n">
        <f aca="false">IF(N5&lt;Assumptions!$C$98,Assumptions!$C$21*N6,IF(N5=Assumptions!$C$98,(Assumptions!$C$99-1)/12*Assumptions!$C$21*N6+Assumptions!$C$100/12*Assumptions!$C$101,IF(N5=Assumptions!$C$104,Assumptions!$C$102/12*Assumptions!$C$101*0.5+Assumptions!$C$105/12*Assumptions!$C$103,Assumptions!$C$103*N6/Assumptions!$E$9)))</f>
        <v>215116.662352016</v>
      </c>
      <c r="O8" s="58" t="n">
        <f aca="false">IF(O5&lt;Assumptions!$C$98,Assumptions!$C$21*O6,IF(O5=Assumptions!$C$98,(Assumptions!$C$99-1)/12*Assumptions!$C$21*O6+Assumptions!$C$100/12*Assumptions!$C$101,IF(O5=Assumptions!$C$104,Assumptions!$C$102/12*Assumptions!$C$101*0.5+Assumptions!$C$105/12*Assumptions!$C$103,Assumptions!$C$103*O6/Assumptions!$E$9)))</f>
        <v>219418.995599056</v>
      </c>
      <c r="P8" s="58" t="n">
        <f aca="false">IF(P5&lt;Assumptions!$C$98,Assumptions!$C$21*P6,IF(P5=Assumptions!$C$98,(Assumptions!$C$99-1)/12*Assumptions!$C$21*P6+Assumptions!$C$100/12*Assumptions!$C$101,IF(P5=Assumptions!$C$104,Assumptions!$C$102/12*Assumptions!$C$101*0.5+Assumptions!$C$105/12*Assumptions!$C$103,Assumptions!$C$103*P6/Assumptions!$E$9)))</f>
        <v>223807.375511037</v>
      </c>
      <c r="Q8" s="58" t="n">
        <f aca="false">IF(Q5&lt;Assumptions!$C$98,Assumptions!$C$21*Q6,IF(Q5=Assumptions!$C$98,(Assumptions!$C$99-1)/12*Assumptions!$C$21*Q6+Assumptions!$C$100/12*Assumptions!$C$101,IF(Q5=Assumptions!$C$104,Assumptions!$C$102/12*Assumptions!$C$101*0.5+Assumptions!$C$105/12*Assumptions!$C$103,Assumptions!$C$103*Q6/Assumptions!$E$9)))</f>
        <v>228283.523021258</v>
      </c>
      <c r="R8" s="58" t="n">
        <f aca="false">IF(R5&lt;Assumptions!$C$98,Assumptions!$C$21*R6,IF(R5=Assumptions!$C$98,(Assumptions!$C$99-1)/12*Assumptions!$C$21*R6+Assumptions!$C$100/12*Assumptions!$C$101,IF(R5=Assumptions!$C$104,Assumptions!$C$102/12*Assumptions!$C$101*0.5+Assumptions!$C$105/12*Assumptions!$C$103,Assumptions!$C$103*R6/Assumptions!$E$9)))</f>
        <v>232849.193481683</v>
      </c>
      <c r="S8" s="58" t="n">
        <f aca="false">IF(S5&lt;Assumptions!$C$98,Assumptions!$C$21*S6,IF(S5=Assumptions!$C$98,(Assumptions!$C$99-1)/12*Assumptions!$C$21*S6+Assumptions!$C$100/12*Assumptions!$C$101,IF(S5=Assumptions!$C$104,Assumptions!$C$102/12*Assumptions!$C$101*0.5+Assumptions!$C$105/12*Assumptions!$C$103,Assumptions!$C$103*S6/Assumptions!$E$9)))</f>
        <v>237506.177351317</v>
      </c>
      <c r="T8" s="58" t="n">
        <f aca="false">IF(T5&lt;Assumptions!$C$98,Assumptions!$C$21*T6,IF(T5=Assumptions!$C$98,(Assumptions!$C$99-1)/12*Assumptions!$C$21*T6+Assumptions!$C$100/12*Assumptions!$C$101,IF(T5=Assumptions!$C$104,Assumptions!$C$102/12*Assumptions!$C$101*0.5+Assumptions!$C$105/12*Assumptions!$C$103,Assumptions!$C$103*T6/Assumptions!$E$9)))</f>
        <v>242256.300898343</v>
      </c>
      <c r="U8" s="58" t="n">
        <f aca="false">IF(U5&lt;Assumptions!$C$98,Assumptions!$C$21*U6,IF(U5=Assumptions!$C$98,(Assumptions!$C$99-1)/12*Assumptions!$C$21*U6+Assumptions!$C$100/12*Assumptions!$C$101,IF(U5=Assumptions!$C$104,Assumptions!$C$102/12*Assumptions!$C$101*0.5+Assumptions!$C$105/12*Assumptions!$C$103,Assumptions!$C$103*U6/Assumptions!$E$9)))</f>
        <v>247101.42691631</v>
      </c>
      <c r="V8" s="58" t="n">
        <f aca="false">IF(V5&lt;Assumptions!$C$98,Assumptions!$C$21*V6,IF(V5=Assumptions!$C$98,(Assumptions!$C$99-1)/12*Assumptions!$C$21*V6+Assumptions!$C$100/12*Assumptions!$C$101,IF(V5=Assumptions!$C$104,Assumptions!$C$102/12*Assumptions!$C$101*0.5+Assumptions!$C$105/12*Assumptions!$C$103,Assumptions!$C$103*V6/Assumptions!$E$9)))</f>
        <v>252043.455454636</v>
      </c>
      <c r="W8" s="58" t="n">
        <f aca="false">IF(W5&lt;Assumptions!$C$98,Assumptions!$C$21*W6,IF(W5=Assumptions!$C$98,(Assumptions!$C$99-1)/12*Assumptions!$C$21*W6+Assumptions!$C$100/12*Assumptions!$C$101,IF(W5=Assumptions!$C$104,Assumptions!$C$102/12*Assumptions!$C$101*0.5+Assumptions!$C$105/12*Assumptions!$C$103,Assumptions!$C$103*W6/Assumptions!$E$9)))</f>
        <v>257084.324563729</v>
      </c>
      <c r="X8" s="58" t="n">
        <f aca="false">IF(X5&lt;Assumptions!$C$98,Assumptions!$C$21*X6,IF(X5=Assumptions!$C$98,(Assumptions!$C$99-1)/12*Assumptions!$C$21*X6+Assumptions!$C$100/12*Assumptions!$C$101,IF(X5=Assumptions!$C$104,Assumptions!$C$102/12*Assumptions!$C$101*0.5+Assumptions!$C$105/12*Assumptions!$C$103,Assumptions!$C$103*X6/Assumptions!$E$9)))</f>
        <v>262226.011055004</v>
      </c>
      <c r="Y8" s="58" t="n">
        <f aca="false">IF(Y5&lt;Assumptions!$C$98,Assumptions!$C$21*Y6,IF(Y5=Assumptions!$C$98,(Assumptions!$C$99-1)/12*Assumptions!$C$21*Y6+Assumptions!$C$100/12*Assumptions!$C$101,IF(Y5=Assumptions!$C$104,Assumptions!$C$102/12*Assumptions!$C$101*0.5+Assumptions!$C$105/12*Assumptions!$C$103,Assumptions!$C$103*Y6/Assumptions!$E$9)))</f>
        <v>267470.531276104</v>
      </c>
      <c r="Z8" s="58" t="n">
        <f aca="false">IF(Z5&lt;Assumptions!$C$98,Assumptions!$C$21*Z6,IF(Z5=Assumptions!$C$98,(Assumptions!$C$99-1)/12*Assumptions!$C$21*Z6+Assumptions!$C$100/12*Assumptions!$C$101,IF(Z5=Assumptions!$C$104,Assumptions!$C$102/12*Assumptions!$C$101*0.5+Assumptions!$C$105/12*Assumptions!$C$103,Assumptions!$C$103*Z6/Assumptions!$E$9)))</f>
        <v>272819.941901626</v>
      </c>
      <c r="AA8" s="58" t="n">
        <f aca="false">IF(AA5&lt;Assumptions!$C$98,Assumptions!$C$21*AA6,IF(AA5=Assumptions!$C$98,(Assumptions!$C$99-1)/12*Assumptions!$C$21*AA6+Assumptions!$C$100/12*Assumptions!$C$101,IF(AA5=Assumptions!$C$104,Assumptions!$C$102/12*Assumptions!$C$101*0.5+Assumptions!$C$105/12*Assumptions!$C$103,Assumptions!$C$103*AA6/Assumptions!$E$9)))</f>
        <v>278276.340739659</v>
      </c>
      <c r="AB8" s="58" t="n">
        <f aca="false">IF(AB5&lt;Assumptions!$C$98,Assumptions!$C$21*AB6,IF(AB5=Assumptions!$C$98,(Assumptions!$C$99-1)/12*Assumptions!$C$21*AB6+Assumptions!$C$100/12*Assumptions!$C$101,IF(AB5=Assumptions!$C$104,Assumptions!$C$102/12*Assumptions!$C$101*0.5+Assumptions!$C$105/12*Assumptions!$C$103,Assumptions!$C$103*AB6/Assumptions!$E$9)))</f>
        <v>283841.867554452</v>
      </c>
      <c r="AC8" s="58" t="n">
        <f aca="false">IF(AC5&lt;Assumptions!$C$98,Assumptions!$C$21*AC6,IF(AC5=Assumptions!$C$98,(Assumptions!$C$99-1)/12*Assumptions!$C$21*AC6+Assumptions!$C$100/12*Assumptions!$C$101,IF(AC5=Assumptions!$C$104,Assumptions!$C$102/12*Assumptions!$C$101*0.5+Assumptions!$C$105/12*Assumptions!$C$103,Assumptions!$C$103*AC6/Assumptions!$E$9)))</f>
        <v>289518.704905541</v>
      </c>
      <c r="AD8" s="58" t="n">
        <f aca="false">IF(AD5&lt;Assumptions!$C$98,Assumptions!$C$21*AD6,IF(AD5=Assumptions!$C$98,(Assumptions!$C$99-1)/12*Assumptions!$C$21*AD6+Assumptions!$C$100/12*Assumptions!$C$101,IF(AD5=Assumptions!$C$104,Assumptions!$C$102/12*Assumptions!$C$101*0.5+Assumptions!$C$105/12*Assumptions!$C$103,Assumptions!$C$103*AD6/Assumptions!$E$9)))</f>
        <v>295309.079003652</v>
      </c>
      <c r="AE8" s="58" t="n">
        <f aca="false">IF(AE5&lt;Assumptions!$C$98,Assumptions!$C$21*AE6,IF(AE5=Assumptions!$C$98,(Assumptions!$C$99-1)/12*Assumptions!$C$21*AE6+Assumptions!$C$100/12*Assumptions!$C$101,IF(AE5=Assumptions!$C$104,Assumptions!$C$102/12*Assumptions!$C$101*0.5+Assumptions!$C$105/12*Assumptions!$C$103,Assumptions!$C$103*AE6/Assumptions!$E$9)))</f>
        <v>301215.260583725</v>
      </c>
      <c r="AF8" s="58" t="n">
        <f aca="false">IF(AF5&lt;Assumptions!$C$98,Assumptions!$C$21*AF6,IF(AF5=Assumptions!$C$98,(Assumptions!$C$99-1)/12*Assumptions!$C$21*AF6+Assumptions!$C$100/12*Assumptions!$C$101,IF(AF5=Assumptions!$C$104,Assumptions!$C$102/12*Assumptions!$C$101*0.5+Assumptions!$C$105/12*Assumptions!$C$103,Assumptions!$C$103*AF6/Assumptions!$E$9)))</f>
        <v>307239.565795399</v>
      </c>
    </row>
    <row r="9" customFormat="false" ht="15" hidden="false" customHeight="true" outlineLevel="0" collapsed="false">
      <c r="B9" s="6" t="s">
        <v>518</v>
      </c>
      <c r="C9" s="17" t="n">
        <f aca="false">MM_Income!C$9</f>
        <v>100000</v>
      </c>
      <c r="D9" s="17" t="n">
        <f aca="false">MM_Income!D$9</f>
        <v>110000</v>
      </c>
      <c r="E9" s="17" t="n">
        <f aca="false">MM_Income!E$9</f>
        <v>114400</v>
      </c>
      <c r="F9" s="17" t="n">
        <f aca="false">MM_Income!F$9</f>
        <v>116688</v>
      </c>
      <c r="G9" s="17" t="n">
        <f aca="false">MM_Income!G$9</f>
        <v>119021.76</v>
      </c>
      <c r="H9" s="17" t="n">
        <f aca="false">MM_Income!H$9</f>
        <v>121402.1952</v>
      </c>
      <c r="I9" s="17" t="n">
        <f aca="false">MM_Income!I$9</f>
        <v>123830.239104</v>
      </c>
      <c r="J9" s="17" t="n">
        <f aca="false">MM_Income!J$9</f>
        <v>126306.84388608</v>
      </c>
      <c r="K9" s="17" t="n">
        <f aca="false">MM_Income!K$9</f>
        <v>128832.980763802</v>
      </c>
      <c r="L9" s="17" t="n">
        <f aca="false">MM_Income!L$9</f>
        <v>131409.640379078</v>
      </c>
      <c r="M9" s="17" t="n">
        <f aca="false">MM_Income!M$9</f>
        <v>134037.833186659</v>
      </c>
      <c r="N9" s="17" t="n">
        <f aca="false">MM_Income!N$9</f>
        <v>136718.589850392</v>
      </c>
      <c r="O9" s="17" t="n">
        <f aca="false">MM_Income!O$9</f>
        <v>139452.9616474</v>
      </c>
      <c r="P9" s="17" t="n">
        <f aca="false">MM_Income!P$9</f>
        <v>142242.020880348</v>
      </c>
      <c r="Q9" s="17" t="n">
        <f aca="false">MM_Income!Q$9</f>
        <v>145086.861297955</v>
      </c>
      <c r="R9" s="17" t="n">
        <f aca="false">MM_Income!R$9</f>
        <v>147988.598523914</v>
      </c>
      <c r="S9" s="17" t="n">
        <f aca="false">MM_Income!S$9</f>
        <v>150948.370494393</v>
      </c>
      <c r="T9" s="17" t="n">
        <f aca="false">MM_Income!T$9</f>
        <v>153967.337904281</v>
      </c>
      <c r="U9" s="17" t="n">
        <f aca="false">MM_Income!U$9</f>
        <v>157046.684662366</v>
      </c>
      <c r="V9" s="17" t="n">
        <f aca="false">MM_Income!V$9</f>
        <v>160187.618355613</v>
      </c>
      <c r="W9" s="17" t="n">
        <f aca="false">MM_Income!W$9</f>
        <v>163391.370722726</v>
      </c>
      <c r="X9" s="17" t="n">
        <f aca="false">MM_Income!X$9</f>
        <v>166659.19813718</v>
      </c>
      <c r="Y9" s="17" t="n">
        <f aca="false">MM_Income!Y$9</f>
        <v>169992.382099924</v>
      </c>
      <c r="Z9" s="17" t="n">
        <f aca="false">MM_Income!Z$9</f>
        <v>173392.229741922</v>
      </c>
      <c r="AA9" s="17" t="n">
        <f aca="false">MM_Income!AA$9</f>
        <v>176860.074336761</v>
      </c>
      <c r="AB9" s="17" t="n">
        <f aca="false">MM_Income!AB$9</f>
        <v>180397.275823496</v>
      </c>
      <c r="AC9" s="17" t="n">
        <f aca="false">MM_Income!AC$9</f>
        <v>184005.221339966</v>
      </c>
      <c r="AD9" s="17" t="n">
        <f aca="false">MM_Income!AD$9</f>
        <v>187685.325766765</v>
      </c>
      <c r="AE9" s="17" t="n">
        <f aca="false">MM_Income!AE$9</f>
        <v>191439.032282101</v>
      </c>
      <c r="AF9" s="17" t="n">
        <f aca="false">MM_Income!AF$9</f>
        <v>195267.812927743</v>
      </c>
    </row>
    <row r="10" customFormat="false" ht="15" hidden="false" customHeight="true" outlineLevel="0" collapsed="false">
      <c r="B10" s="56" t="s">
        <v>338</v>
      </c>
      <c r="C10" s="20" t="n">
        <f aca="false">C9*Assumptions!$C$28</f>
        <v>7000</v>
      </c>
      <c r="D10" s="20" t="n">
        <f aca="false">D9*Assumptions!$C$28</f>
        <v>7700</v>
      </c>
      <c r="E10" s="20" t="n">
        <f aca="false">E9*Assumptions!$C$28</f>
        <v>8008</v>
      </c>
      <c r="F10" s="20" t="n">
        <f aca="false">F9*Assumptions!$C$28</f>
        <v>8168.16</v>
      </c>
      <c r="G10" s="20" t="n">
        <f aca="false">G9*Assumptions!$C$28</f>
        <v>8331.5232</v>
      </c>
      <c r="H10" s="20" t="n">
        <f aca="false">H9*Assumptions!$C$28</f>
        <v>8498.153664</v>
      </c>
      <c r="I10" s="20" t="n">
        <f aca="false">I9*Assumptions!$C$28</f>
        <v>8668.11673728</v>
      </c>
      <c r="J10" s="20" t="n">
        <f aca="false">J9*Assumptions!$C$28</f>
        <v>8841.4790720256</v>
      </c>
      <c r="K10" s="20" t="n">
        <f aca="false">K9*Assumptions!$C$28</f>
        <v>9018.30865346612</v>
      </c>
      <c r="L10" s="20" t="n">
        <f aca="false">L9*Assumptions!$C$28</f>
        <v>9198.67482653544</v>
      </c>
      <c r="M10" s="20" t="n">
        <f aca="false">M9*Assumptions!$C$28</f>
        <v>9382.64832306615</v>
      </c>
      <c r="N10" s="20" t="n">
        <f aca="false">N9*Assumptions!$C$28</f>
        <v>9570.30128952747</v>
      </c>
      <c r="O10" s="20" t="n">
        <f aca="false">O9*Assumptions!$C$28</f>
        <v>9761.70731531802</v>
      </c>
      <c r="P10" s="20" t="n">
        <f aca="false">P9*Assumptions!$C$28</f>
        <v>9956.94146162438</v>
      </c>
      <c r="Q10" s="20" t="n">
        <f aca="false">Q9*Assumptions!$C$28</f>
        <v>10156.0802908569</v>
      </c>
      <c r="R10" s="20" t="n">
        <f aca="false">R9*Assumptions!$C$28</f>
        <v>10359.201896674</v>
      </c>
      <c r="S10" s="20" t="n">
        <f aca="false">S9*Assumptions!$C$28</f>
        <v>10566.3859346075</v>
      </c>
      <c r="T10" s="20" t="n">
        <f aca="false">T9*Assumptions!$C$28</f>
        <v>10777.7136532996</v>
      </c>
      <c r="U10" s="20" t="n">
        <f aca="false">U9*Assumptions!$C$28</f>
        <v>10993.2679263656</v>
      </c>
      <c r="V10" s="20" t="n">
        <f aca="false">V9*Assumptions!$C$28</f>
        <v>11213.1332848929</v>
      </c>
      <c r="W10" s="20" t="n">
        <f aca="false">W9*Assumptions!$C$28</f>
        <v>11437.3959505908</v>
      </c>
      <c r="X10" s="20" t="n">
        <f aca="false">X9*Assumptions!$C$28</f>
        <v>11666.1438696026</v>
      </c>
      <c r="Y10" s="20" t="n">
        <f aca="false">Y9*Assumptions!$C$28</f>
        <v>11899.4667469947</v>
      </c>
      <c r="Z10" s="20" t="n">
        <f aca="false">Z9*Assumptions!$C$28</f>
        <v>12137.4560819346</v>
      </c>
      <c r="AA10" s="20" t="n">
        <f aca="false">AA9*Assumptions!$C$28</f>
        <v>12380.2052035733</v>
      </c>
      <c r="AB10" s="20" t="n">
        <f aca="false">AB9*Assumptions!$C$28</f>
        <v>12627.8093076447</v>
      </c>
      <c r="AC10" s="20" t="n">
        <f aca="false">AC9*Assumptions!$C$28</f>
        <v>12880.3654937976</v>
      </c>
      <c r="AD10" s="20" t="n">
        <f aca="false">AD9*Assumptions!$C$28</f>
        <v>13137.9728036736</v>
      </c>
      <c r="AE10" s="20" t="n">
        <f aca="false">AE9*Assumptions!$C$28</f>
        <v>13400.732259747</v>
      </c>
      <c r="AF10" s="20" t="n">
        <f aca="false">AF9*Assumptions!$C$28</f>
        <v>13668.746904942</v>
      </c>
    </row>
    <row r="11" customFormat="false" ht="15" hidden="false" customHeight="true" outlineLevel="0" collapsed="false">
      <c r="B11" s="56" t="s">
        <v>339</v>
      </c>
      <c r="C11" s="20" t="n">
        <f aca="false">C9*Assumptions!$C$29</f>
        <v>14000</v>
      </c>
      <c r="D11" s="20" t="n">
        <f aca="false">D9*Assumptions!$C$29</f>
        <v>15400</v>
      </c>
      <c r="E11" s="20" t="n">
        <f aca="false">E9*Assumptions!$C$29</f>
        <v>16016</v>
      </c>
      <c r="F11" s="20" t="n">
        <f aca="false">F9*Assumptions!$C$29</f>
        <v>16336.32</v>
      </c>
      <c r="G11" s="20" t="n">
        <f aca="false">G9*Assumptions!$C$29</f>
        <v>16663.0464</v>
      </c>
      <c r="H11" s="20" t="n">
        <f aca="false">H9*Assumptions!$C$29</f>
        <v>16996.307328</v>
      </c>
      <c r="I11" s="20" t="n">
        <f aca="false">I9*Assumptions!$C$29</f>
        <v>17336.23347456</v>
      </c>
      <c r="J11" s="20" t="n">
        <f aca="false">J9*Assumptions!$C$29</f>
        <v>17682.9581440512</v>
      </c>
      <c r="K11" s="20" t="n">
        <f aca="false">K9*Assumptions!$C$29</f>
        <v>18036.6173069322</v>
      </c>
      <c r="L11" s="20" t="n">
        <f aca="false">L9*Assumptions!$C$29</f>
        <v>18397.3496530709</v>
      </c>
      <c r="M11" s="20" t="n">
        <f aca="false">M9*Assumptions!$C$29</f>
        <v>18765.2966461323</v>
      </c>
      <c r="N11" s="20" t="n">
        <f aca="false">N9*Assumptions!$C$29</f>
        <v>19140.6025790549</v>
      </c>
      <c r="O11" s="20" t="n">
        <f aca="false">O9*Assumptions!$C$29</f>
        <v>19523.414630636</v>
      </c>
      <c r="P11" s="20" t="n">
        <f aca="false">P9*Assumptions!$C$29</f>
        <v>19913.8829232488</v>
      </c>
      <c r="Q11" s="20" t="n">
        <f aca="false">Q9*Assumptions!$C$29</f>
        <v>20312.1605817137</v>
      </c>
      <c r="R11" s="20" t="n">
        <f aca="false">R9*Assumptions!$C$29</f>
        <v>20718.403793348</v>
      </c>
      <c r="S11" s="20" t="n">
        <f aca="false">S9*Assumptions!$C$29</f>
        <v>21132.771869215</v>
      </c>
      <c r="T11" s="20" t="n">
        <f aca="false">T9*Assumptions!$C$29</f>
        <v>21555.4273065993</v>
      </c>
      <c r="U11" s="20" t="n">
        <f aca="false">U9*Assumptions!$C$29</f>
        <v>21986.5358527313</v>
      </c>
      <c r="V11" s="20" t="n">
        <f aca="false">V9*Assumptions!$C$29</f>
        <v>22426.2665697859</v>
      </c>
      <c r="W11" s="20" t="n">
        <f aca="false">W9*Assumptions!$C$29</f>
        <v>22874.7919011816</v>
      </c>
      <c r="X11" s="20" t="n">
        <f aca="false">X9*Assumptions!$C$29</f>
        <v>23332.2877392052</v>
      </c>
      <c r="Y11" s="20" t="n">
        <f aca="false">Y9*Assumptions!$C$29</f>
        <v>23798.9334939893</v>
      </c>
      <c r="Z11" s="20" t="n">
        <f aca="false">Z9*Assumptions!$C$29</f>
        <v>24274.9121638691</v>
      </c>
      <c r="AA11" s="20" t="n">
        <f aca="false">AA9*Assumptions!$C$29</f>
        <v>24760.4104071465</v>
      </c>
      <c r="AB11" s="20" t="n">
        <f aca="false">AB9*Assumptions!$C$29</f>
        <v>25255.6186152894</v>
      </c>
      <c r="AC11" s="20" t="n">
        <f aca="false">AC9*Assumptions!$C$29</f>
        <v>25760.7309875952</v>
      </c>
      <c r="AD11" s="20" t="n">
        <f aca="false">AD9*Assumptions!$C$29</f>
        <v>26275.9456073471</v>
      </c>
      <c r="AE11" s="20" t="n">
        <f aca="false">AE9*Assumptions!$C$29</f>
        <v>26801.4645194941</v>
      </c>
      <c r="AF11" s="20" t="n">
        <f aca="false">AF9*Assumptions!$C$29</f>
        <v>27337.493809884</v>
      </c>
    </row>
    <row r="12" customFormat="false" ht="15" hidden="false" customHeight="true" outlineLevel="0" collapsed="false">
      <c r="B12" s="56" t="s">
        <v>340</v>
      </c>
      <c r="C12" s="20" t="n">
        <f aca="false">C10+C11</f>
        <v>21000</v>
      </c>
      <c r="D12" s="20" t="n">
        <f aca="false">D10+D11</f>
        <v>23100</v>
      </c>
      <c r="E12" s="20" t="n">
        <f aca="false">E10+E11</f>
        <v>24024</v>
      </c>
      <c r="F12" s="20" t="n">
        <f aca="false">F10+F11</f>
        <v>24504.48</v>
      </c>
      <c r="G12" s="20" t="n">
        <f aca="false">G10+G11</f>
        <v>24994.5696</v>
      </c>
      <c r="H12" s="20" t="n">
        <f aca="false">H10+H11</f>
        <v>25494.460992</v>
      </c>
      <c r="I12" s="20" t="n">
        <f aca="false">I10+I11</f>
        <v>26004.35021184</v>
      </c>
      <c r="J12" s="20" t="n">
        <f aca="false">J10+J11</f>
        <v>26524.4372160768</v>
      </c>
      <c r="K12" s="20" t="n">
        <f aca="false">K10+K11</f>
        <v>27054.9259603984</v>
      </c>
      <c r="L12" s="20" t="n">
        <f aca="false">L10+L11</f>
        <v>27596.0244796063</v>
      </c>
      <c r="M12" s="20" t="n">
        <f aca="false">M10+M11</f>
        <v>28147.9449691984</v>
      </c>
      <c r="N12" s="20" t="n">
        <f aca="false">N10+N11</f>
        <v>28710.9038685824</v>
      </c>
      <c r="O12" s="20" t="n">
        <f aca="false">O10+O11</f>
        <v>29285.1219459541</v>
      </c>
      <c r="P12" s="20" t="n">
        <f aca="false">P10+P11</f>
        <v>29870.8243848731</v>
      </c>
      <c r="Q12" s="20" t="n">
        <f aca="false">Q10+Q11</f>
        <v>30468.2408725706</v>
      </c>
      <c r="R12" s="20" t="n">
        <f aca="false">R10+R11</f>
        <v>31077.605690022</v>
      </c>
      <c r="S12" s="20" t="n">
        <f aca="false">S10+S11</f>
        <v>31699.1578038225</v>
      </c>
      <c r="T12" s="20" t="n">
        <f aca="false">T10+T11</f>
        <v>32333.1409598989</v>
      </c>
      <c r="U12" s="20" t="n">
        <f aca="false">U10+U11</f>
        <v>32979.8037790969</v>
      </c>
      <c r="V12" s="20" t="n">
        <f aca="false">V10+V11</f>
        <v>33639.3998546788</v>
      </c>
      <c r="W12" s="20" t="n">
        <f aca="false">W10+W11</f>
        <v>34312.1878517724</v>
      </c>
      <c r="X12" s="20" t="n">
        <f aca="false">X10+X11</f>
        <v>34998.4316088078</v>
      </c>
      <c r="Y12" s="20" t="n">
        <f aca="false">Y10+Y11</f>
        <v>35698.400240984</v>
      </c>
      <c r="Z12" s="20" t="n">
        <f aca="false">Z10+Z11</f>
        <v>36412.3682458037</v>
      </c>
      <c r="AA12" s="20" t="n">
        <f aca="false">AA10+AA11</f>
        <v>37140.6156107198</v>
      </c>
      <c r="AB12" s="20" t="n">
        <f aca="false">AB10+AB11</f>
        <v>37883.4279229342</v>
      </c>
      <c r="AC12" s="20" t="n">
        <f aca="false">AC10+AC11</f>
        <v>38641.0964813928</v>
      </c>
      <c r="AD12" s="20" t="n">
        <f aca="false">AD10+AD11</f>
        <v>39413.9184110207</v>
      </c>
      <c r="AE12" s="20" t="n">
        <f aca="false">AE10+AE11</f>
        <v>40202.1967792411</v>
      </c>
      <c r="AF12" s="20" t="n">
        <f aca="false">AF10+AF11</f>
        <v>41006.2407148259</v>
      </c>
    </row>
    <row r="13" customFormat="false" ht="15" hidden="false" customHeight="true" outlineLevel="0" collapsed="false">
      <c r="B13" s="56" t="s">
        <v>519</v>
      </c>
      <c r="C13" s="20" t="n">
        <f aca="false">C8+C11</f>
        <v>184000</v>
      </c>
      <c r="D13" s="20" t="n">
        <f aca="false">D8+D11</f>
        <v>158800</v>
      </c>
      <c r="E13" s="20" t="n">
        <f aca="false">E8+E11</f>
        <v>164766</v>
      </c>
      <c r="F13" s="20" t="n">
        <f aca="false">F8+F11</f>
        <v>199936.32</v>
      </c>
      <c r="G13" s="20" t="n">
        <f aca="false">G8+G11</f>
        <v>203935.0464</v>
      </c>
      <c r="H13" s="20" t="n">
        <f aca="false">H8+H11</f>
        <v>208013.747328</v>
      </c>
      <c r="I13" s="20" t="n">
        <f aca="false">I8+I11</f>
        <v>212174.02227456</v>
      </c>
      <c r="J13" s="20" t="n">
        <f aca="false">J8+J11</f>
        <v>216417.502720051</v>
      </c>
      <c r="K13" s="20" t="n">
        <f aca="false">K8+K11</f>
        <v>220745.852774452</v>
      </c>
      <c r="L13" s="20" t="n">
        <f aca="false">L8+L11</f>
        <v>225160.769829941</v>
      </c>
      <c r="M13" s="20" t="n">
        <f aca="false">M8+M11</f>
        <v>229663.98522654</v>
      </c>
      <c r="N13" s="20" t="n">
        <f aca="false">N8+N11</f>
        <v>234257.264931071</v>
      </c>
      <c r="O13" s="20" t="n">
        <f aca="false">O8+O11</f>
        <v>238942.410229692</v>
      </c>
      <c r="P13" s="20" t="n">
        <f aca="false">P8+P11</f>
        <v>243721.258434286</v>
      </c>
      <c r="Q13" s="20" t="n">
        <f aca="false">Q8+Q11</f>
        <v>248595.683602972</v>
      </c>
      <c r="R13" s="20" t="n">
        <f aca="false">R8+R11</f>
        <v>253567.597275031</v>
      </c>
      <c r="S13" s="20" t="n">
        <f aca="false">S8+S11</f>
        <v>258638.949220532</v>
      </c>
      <c r="T13" s="20" t="n">
        <f aca="false">T8+T11</f>
        <v>263811.728204943</v>
      </c>
      <c r="U13" s="20" t="n">
        <f aca="false">U8+U11</f>
        <v>269087.962769042</v>
      </c>
      <c r="V13" s="20" t="n">
        <f aca="false">V8+V11</f>
        <v>274469.722024422</v>
      </c>
      <c r="W13" s="20" t="n">
        <f aca="false">W8+W11</f>
        <v>279959.116464911</v>
      </c>
      <c r="X13" s="20" t="n">
        <f aca="false">X8+X11</f>
        <v>285558.298794209</v>
      </c>
      <c r="Y13" s="20" t="n">
        <f aca="false">Y8+Y11</f>
        <v>291269.464770093</v>
      </c>
      <c r="Z13" s="20" t="n">
        <f aca="false">Z8+Z11</f>
        <v>297094.854065495</v>
      </c>
      <c r="AA13" s="20" t="n">
        <f aca="false">AA8+AA11</f>
        <v>303036.751146805</v>
      </c>
      <c r="AB13" s="20" t="n">
        <f aca="false">AB8+AB11</f>
        <v>309097.486169741</v>
      </c>
      <c r="AC13" s="20" t="n">
        <f aca="false">AC8+AC11</f>
        <v>315279.435893136</v>
      </c>
      <c r="AD13" s="20" t="n">
        <f aca="false">AD8+AD11</f>
        <v>321585.024610999</v>
      </c>
      <c r="AE13" s="20" t="n">
        <f aca="false">AE8+AE11</f>
        <v>328016.725103219</v>
      </c>
      <c r="AF13" s="20" t="n">
        <f aca="false">AF8+AF11</f>
        <v>334577.059605283</v>
      </c>
    </row>
    <row r="14" customFormat="false" ht="15" hidden="false" customHeight="true" outlineLevel="0" collapsed="false">
      <c r="B14" s="56" t="s">
        <v>520</v>
      </c>
      <c r="C14" s="20" t="n">
        <f aca="false">MAX(Tax_Bands!C$15,Tax_Bands!C$13-MAX(0,C13-Tax_Bands!C$14)/2)</f>
        <v>60000</v>
      </c>
      <c r="D14" s="20" t="n">
        <f aca="false">MAX(Tax_Bands!D$15,Tax_Bands!D$13-MAX(0,D13-Tax_Bands!D$14)/2)</f>
        <v>60000</v>
      </c>
      <c r="E14" s="20" t="n">
        <f aca="false">MAX(Tax_Bands!E$15,Tax_Bands!E$13-MAX(0,E13-Tax_Bands!E$14)/2)</f>
        <v>60000</v>
      </c>
      <c r="F14" s="20" t="n">
        <f aca="false">MAX(Tax_Bands!F$15,Tax_Bands!F$13-MAX(0,F13-Tax_Bands!F$14)/2)</f>
        <v>60000</v>
      </c>
      <c r="G14" s="20" t="n">
        <f aca="false">MAX(Tax_Bands!G$15,Tax_Bands!G$13-MAX(0,G13-Tax_Bands!G$14)/2)</f>
        <v>60000</v>
      </c>
      <c r="H14" s="20" t="n">
        <f aca="false">MAX(Tax_Bands!H$15,Tax_Bands!H$13-MAX(0,H13-Tax_Bands!H$14)/2)</f>
        <v>61200</v>
      </c>
      <c r="I14" s="20" t="n">
        <f aca="false">MAX(Tax_Bands!I$15,Tax_Bands!I$13-MAX(0,I13-Tax_Bands!I$14)/2)</f>
        <v>62424</v>
      </c>
      <c r="J14" s="20" t="n">
        <f aca="false">MAX(Tax_Bands!J$15,Tax_Bands!J$13-MAX(0,J13-Tax_Bands!J$14)/2)</f>
        <v>63672.48</v>
      </c>
      <c r="K14" s="20" t="n">
        <f aca="false">MAX(Tax_Bands!K$15,Tax_Bands!K$13-MAX(0,K13-Tax_Bands!K$14)/2)</f>
        <v>64945.9296</v>
      </c>
      <c r="L14" s="20" t="n">
        <f aca="false">MAX(Tax_Bands!L$15,Tax_Bands!L$13-MAX(0,L13-Tax_Bands!L$14)/2)</f>
        <v>66244.848192</v>
      </c>
      <c r="M14" s="20" t="n">
        <f aca="false">MAX(Tax_Bands!M$15,Tax_Bands!M$13-MAX(0,M13-Tax_Bands!M$14)/2)</f>
        <v>67569.74515584</v>
      </c>
      <c r="N14" s="20" t="n">
        <f aca="false">MAX(Tax_Bands!N$15,Tax_Bands!N$13-MAX(0,N13-Tax_Bands!N$14)/2)</f>
        <v>68921.1400589568</v>
      </c>
      <c r="O14" s="20" t="n">
        <f aca="false">MAX(Tax_Bands!O$15,Tax_Bands!O$13-MAX(0,O13-Tax_Bands!O$14)/2)</f>
        <v>70299.562860136</v>
      </c>
      <c r="P14" s="20" t="n">
        <f aca="false">MAX(Tax_Bands!P$15,Tax_Bands!P$13-MAX(0,P13-Tax_Bands!P$14)/2)</f>
        <v>71705.5541173387</v>
      </c>
      <c r="Q14" s="20" t="n">
        <f aca="false">MAX(Tax_Bands!Q$15,Tax_Bands!Q$13-MAX(0,Q13-Tax_Bands!Q$14)/2)</f>
        <v>73139.6651996854</v>
      </c>
      <c r="R14" s="20" t="n">
        <f aca="false">MAX(Tax_Bands!R$15,Tax_Bands!R$13-MAX(0,R13-Tax_Bands!R$14)/2)</f>
        <v>74602.4585036792</v>
      </c>
      <c r="S14" s="20" t="n">
        <f aca="false">MAX(Tax_Bands!S$15,Tax_Bands!S$13-MAX(0,S13-Tax_Bands!S$14)/2)</f>
        <v>76094.5076737527</v>
      </c>
      <c r="T14" s="20" t="n">
        <f aca="false">MAX(Tax_Bands!T$15,Tax_Bands!T$13-MAX(0,T13-Tax_Bands!T$14)/2)</f>
        <v>77616.3978272278</v>
      </c>
      <c r="U14" s="20" t="n">
        <f aca="false">MAX(Tax_Bands!U$15,Tax_Bands!U$13-MAX(0,U13-Tax_Bands!U$14)/2)</f>
        <v>79168.7257837723</v>
      </c>
      <c r="V14" s="20" t="n">
        <f aca="false">MAX(Tax_Bands!V$15,Tax_Bands!V$13-MAX(0,V13-Tax_Bands!V$14)/2)</f>
        <v>80752.1002994478</v>
      </c>
      <c r="W14" s="20" t="n">
        <f aca="false">MAX(Tax_Bands!W$15,Tax_Bands!W$13-MAX(0,W13-Tax_Bands!W$14)/2)</f>
        <v>82367.1423054368</v>
      </c>
      <c r="X14" s="20" t="n">
        <f aca="false">MAX(Tax_Bands!X$15,Tax_Bands!X$13-MAX(0,X13-Tax_Bands!X$14)/2)</f>
        <v>84014.4851515455</v>
      </c>
      <c r="Y14" s="20" t="n">
        <f aca="false">MAX(Tax_Bands!Y$15,Tax_Bands!Y$13-MAX(0,Y13-Tax_Bands!Y$14)/2)</f>
        <v>85694.7748545764</v>
      </c>
      <c r="Z14" s="20" t="n">
        <f aca="false">MAX(Tax_Bands!Z$15,Tax_Bands!Z$13-MAX(0,Z13-Tax_Bands!Z$14)/2)</f>
        <v>87408.6703516679</v>
      </c>
      <c r="AA14" s="20" t="n">
        <f aca="false">MAX(Tax_Bands!AA$15,Tax_Bands!AA$13-MAX(0,AA13-Tax_Bands!AA$14)/2)</f>
        <v>89156.8437587013</v>
      </c>
      <c r="AB14" s="20" t="n">
        <f aca="false">MAX(Tax_Bands!AB$15,Tax_Bands!AB$13-MAX(0,AB13-Tax_Bands!AB$14)/2)</f>
        <v>90939.9806338753</v>
      </c>
      <c r="AC14" s="20" t="n">
        <f aca="false">MAX(Tax_Bands!AC$15,Tax_Bands!AC$13-MAX(0,AC13-Tax_Bands!AC$14)/2)</f>
        <v>92758.7802465528</v>
      </c>
      <c r="AD14" s="20" t="n">
        <f aca="false">MAX(Tax_Bands!AD$15,Tax_Bands!AD$13-MAX(0,AD13-Tax_Bands!AD$14)/2)</f>
        <v>94613.9558514839</v>
      </c>
      <c r="AE14" s="20" t="n">
        <f aca="false">MAX(Tax_Bands!AE$15,Tax_Bands!AE$13-MAX(0,AE13-Tax_Bands!AE$14)/2)</f>
        <v>96506.2349685136</v>
      </c>
      <c r="AF14" s="20" t="n">
        <f aca="false">MAX(Tax_Bands!AF$15,Tax_Bands!AF$13-MAX(0,AF13-Tax_Bands!AF$14)/2)</f>
        <v>98436.3596678838</v>
      </c>
    </row>
    <row r="15" customFormat="false" ht="15" hidden="false" customHeight="true" outlineLevel="0" collapsed="false">
      <c r="B15" s="16" t="s">
        <v>435</v>
      </c>
      <c r="C15" s="58" t="n">
        <f aca="false">MAX(0,MIN(C14-C12,C8-C10))</f>
        <v>39000</v>
      </c>
      <c r="D15" s="58" t="n">
        <f aca="false">MAX(0,MIN(D14-D12,D8-D10))</f>
        <v>36900</v>
      </c>
      <c r="E15" s="58" t="n">
        <f aca="false">MAX(0,MIN(E14-E12,E8-E10))</f>
        <v>35976</v>
      </c>
      <c r="F15" s="58" t="n">
        <f aca="false">MAX(0,MIN(F14-F12,F8-F10))</f>
        <v>35495.52</v>
      </c>
      <c r="G15" s="58" t="n">
        <f aca="false">MAX(0,MIN(G14-G12,G8-G10))</f>
        <v>35005.4304</v>
      </c>
      <c r="H15" s="58" t="n">
        <f aca="false">MAX(0,MIN(H14-H12,H8-H10))</f>
        <v>35705.539008</v>
      </c>
      <c r="I15" s="58" t="n">
        <f aca="false">MAX(0,MIN(I14-I12,I8-I10))</f>
        <v>36419.64978816</v>
      </c>
      <c r="J15" s="58" t="n">
        <f aca="false">MAX(0,MIN(J14-J12,J8-J10))</f>
        <v>37148.0427839232</v>
      </c>
      <c r="K15" s="58" t="n">
        <f aca="false">MAX(0,MIN(K14-K12,K8-K10))</f>
        <v>37891.0036396017</v>
      </c>
      <c r="L15" s="58" t="n">
        <f aca="false">MAX(0,MIN(L14-L12,L8-L10))</f>
        <v>38648.8237123937</v>
      </c>
      <c r="M15" s="58" t="n">
        <f aca="false">MAX(0,MIN(M14-M12,M8-M10))</f>
        <v>39421.8001866416</v>
      </c>
      <c r="N15" s="58" t="n">
        <f aca="false">MAX(0,MIN(N14-N12,N8-N10))</f>
        <v>40210.2361903744</v>
      </c>
      <c r="O15" s="58" t="n">
        <f aca="false">MAX(0,MIN(O14-O12,O8-O10))</f>
        <v>41014.4409141819</v>
      </c>
      <c r="P15" s="58" t="n">
        <f aca="false">MAX(0,MIN(P14-P12,P8-P10))</f>
        <v>41834.7297324655</v>
      </c>
      <c r="Q15" s="58" t="n">
        <f aca="false">MAX(0,MIN(Q14-Q12,Q8-Q10))</f>
        <v>42671.4243271148</v>
      </c>
      <c r="R15" s="58" t="n">
        <f aca="false">MAX(0,MIN(R14-R12,R8-R10))</f>
        <v>43524.8528136571</v>
      </c>
      <c r="S15" s="58" t="n">
        <f aca="false">MAX(0,MIN(S14-S12,S8-S10))</f>
        <v>44395.3498699303</v>
      </c>
      <c r="T15" s="58" t="n">
        <f aca="false">MAX(0,MIN(T14-T12,T8-T10))</f>
        <v>45283.2568673289</v>
      </c>
      <c r="U15" s="58" t="n">
        <f aca="false">MAX(0,MIN(U14-U12,U8-U10))</f>
        <v>46188.9220046755</v>
      </c>
      <c r="V15" s="58" t="n">
        <f aca="false">MAX(0,MIN(V14-V12,V8-V10))</f>
        <v>47112.700444769</v>
      </c>
      <c r="W15" s="58" t="n">
        <f aca="false">MAX(0,MIN(W14-W12,W8-W10))</f>
        <v>48054.9544536643</v>
      </c>
      <c r="X15" s="58" t="n">
        <f aca="false">MAX(0,MIN(X14-X12,X8-X10))</f>
        <v>49016.0535427377</v>
      </c>
      <c r="Y15" s="58" t="n">
        <f aca="false">MAX(0,MIN(Y14-Y12,Y8-Y10))</f>
        <v>49996.3746135924</v>
      </c>
      <c r="Z15" s="58" t="n">
        <f aca="false">MAX(0,MIN(Z14-Z12,Z8-Z10))</f>
        <v>50996.3021058643</v>
      </c>
      <c r="AA15" s="58" t="n">
        <f aca="false">MAX(0,MIN(AA14-AA12,AA8-AA10))</f>
        <v>52016.2281479815</v>
      </c>
      <c r="AB15" s="58" t="n">
        <f aca="false">MAX(0,MIN(AB14-AB12,AB8-AB10))</f>
        <v>53056.5527109412</v>
      </c>
      <c r="AC15" s="58" t="n">
        <f aca="false">MAX(0,MIN(AC14-AC12,AC8-AC10))</f>
        <v>54117.68376516</v>
      </c>
      <c r="AD15" s="58" t="n">
        <f aca="false">MAX(0,MIN(AD14-AD12,AD8-AD10))</f>
        <v>55200.0374404632</v>
      </c>
      <c r="AE15" s="58" t="n">
        <f aca="false">MAX(0,MIN(AE14-AE12,AE8-AE10))</f>
        <v>56304.0381892725</v>
      </c>
      <c r="AF15" s="58" t="n">
        <f aca="false">MAX(0,MIN(AF14-AF12,AF8-AF10))</f>
        <v>57430.1189530579</v>
      </c>
    </row>
    <row r="16" customFormat="false" ht="15" hidden="false" customHeight="true" outlineLevel="0" collapsed="false">
      <c r="B16" s="56" t="s">
        <v>521</v>
      </c>
      <c r="C16" s="20" t="n">
        <f aca="false">C8-C10</f>
        <v>163000</v>
      </c>
      <c r="D16" s="20" t="n">
        <f aca="false">D8-D10</f>
        <v>135700</v>
      </c>
      <c r="E16" s="20" t="n">
        <f aca="false">E8-E10</f>
        <v>140742</v>
      </c>
      <c r="F16" s="20" t="n">
        <f aca="false">F8-F10</f>
        <v>175431.84</v>
      </c>
      <c r="G16" s="20" t="n">
        <f aca="false">G8-G10</f>
        <v>178940.4768</v>
      </c>
      <c r="H16" s="20" t="n">
        <f aca="false">H8-H10</f>
        <v>182519.286336</v>
      </c>
      <c r="I16" s="20" t="n">
        <f aca="false">I8-I10</f>
        <v>186169.67206272</v>
      </c>
      <c r="J16" s="20" t="n">
        <f aca="false">J8-J10</f>
        <v>189893.065503974</v>
      </c>
      <c r="K16" s="20" t="n">
        <f aca="false">K8-K10</f>
        <v>193690.926814054</v>
      </c>
      <c r="L16" s="20" t="n">
        <f aca="false">L8-L10</f>
        <v>197564.745350335</v>
      </c>
      <c r="M16" s="20" t="n">
        <f aca="false">M8-M10</f>
        <v>201516.040257342</v>
      </c>
      <c r="N16" s="20" t="n">
        <f aca="false">N8-N10</f>
        <v>205546.361062489</v>
      </c>
      <c r="O16" s="20" t="n">
        <f aca="false">O8-O10</f>
        <v>209657.288283738</v>
      </c>
      <c r="P16" s="20" t="n">
        <f aca="false">P8-P10</f>
        <v>213850.434049413</v>
      </c>
      <c r="Q16" s="20" t="n">
        <f aca="false">Q8-Q10</f>
        <v>218127.442730401</v>
      </c>
      <c r="R16" s="20" t="n">
        <f aca="false">R8-R10</f>
        <v>222489.991585009</v>
      </c>
      <c r="S16" s="20" t="n">
        <f aca="false">S8-S10</f>
        <v>226939.79141671</v>
      </c>
      <c r="T16" s="20" t="n">
        <f aca="false">T8-T10</f>
        <v>231478.587245044</v>
      </c>
      <c r="U16" s="20" t="n">
        <f aca="false">U8-U10</f>
        <v>236108.158989945</v>
      </c>
      <c r="V16" s="20" t="n">
        <f aca="false">V8-V10</f>
        <v>240830.322169744</v>
      </c>
      <c r="W16" s="20" t="n">
        <f aca="false">W8-W10</f>
        <v>245646.928613138</v>
      </c>
      <c r="X16" s="20" t="n">
        <f aca="false">X8-X10</f>
        <v>250559.867185401</v>
      </c>
      <c r="Y16" s="20" t="n">
        <f aca="false">Y8-Y10</f>
        <v>255571.064529109</v>
      </c>
      <c r="Z16" s="20" t="n">
        <f aca="false">Z8-Z10</f>
        <v>260682.485819691</v>
      </c>
      <c r="AA16" s="20" t="n">
        <f aca="false">AA8-AA10</f>
        <v>265896.135536085</v>
      </c>
      <c r="AB16" s="20" t="n">
        <f aca="false">AB8-AB10</f>
        <v>271214.058246807</v>
      </c>
      <c r="AC16" s="20" t="n">
        <f aca="false">AC8-AC10</f>
        <v>276638.339411743</v>
      </c>
      <c r="AD16" s="20" t="n">
        <f aca="false">AD8-AD10</f>
        <v>282171.106199978</v>
      </c>
      <c r="AE16" s="20" t="n">
        <f aca="false">AE8-AE10</f>
        <v>287814.528323978</v>
      </c>
      <c r="AF16" s="20" t="n">
        <f aca="false">AF8-AF10</f>
        <v>293570.818890457</v>
      </c>
    </row>
    <row r="17" customFormat="false" ht="15" hidden="false" customHeight="true" outlineLevel="0" collapsed="false">
      <c r="B17" s="56" t="s">
        <v>204</v>
      </c>
      <c r="C17" s="20" t="n">
        <f aca="false">MAX(0,Tax_Bands!C$7-MAX(0,C16-Tax_Bands!C$8)/2)</f>
        <v>0</v>
      </c>
      <c r="D17" s="20" t="n">
        <f aca="false">MAX(0,Tax_Bands!D$7-MAX(0,D16-Tax_Bands!D$8)/2)</f>
        <v>0</v>
      </c>
      <c r="E17" s="20" t="n">
        <f aca="false">MAX(0,Tax_Bands!E$7-MAX(0,E16-Tax_Bands!E$8)/2)</f>
        <v>0</v>
      </c>
      <c r="F17" s="20" t="n">
        <f aca="false">MAX(0,Tax_Bands!F$7-MAX(0,F16-Tax_Bands!F$8)/2)</f>
        <v>0</v>
      </c>
      <c r="G17" s="20" t="n">
        <f aca="false">MAX(0,Tax_Bands!G$7-MAX(0,G16-Tax_Bands!G$8)/2)</f>
        <v>0</v>
      </c>
      <c r="H17" s="20" t="n">
        <f aca="false">MAX(0,Tax_Bands!H$7-MAX(0,H16-Tax_Bands!H$8)/2)</f>
        <v>0</v>
      </c>
      <c r="I17" s="20" t="n">
        <f aca="false">MAX(0,Tax_Bands!I$7-MAX(0,I16-Tax_Bands!I$8)/2)</f>
        <v>0</v>
      </c>
      <c r="J17" s="20" t="n">
        <f aca="false">MAX(0,Tax_Bands!J$7-MAX(0,J16-Tax_Bands!J$8)/2)</f>
        <v>0</v>
      </c>
      <c r="K17" s="20" t="n">
        <f aca="false">MAX(0,Tax_Bands!K$7-MAX(0,K16-Tax_Bands!K$8)/2)</f>
        <v>0</v>
      </c>
      <c r="L17" s="20" t="n">
        <f aca="false">MAX(0,Tax_Bands!L$7-MAX(0,L16-Tax_Bands!L$8)/2)</f>
        <v>0</v>
      </c>
      <c r="M17" s="20" t="n">
        <f aca="false">MAX(0,Tax_Bands!M$7-MAX(0,M16-Tax_Bands!M$8)/2)</f>
        <v>0</v>
      </c>
      <c r="N17" s="20" t="n">
        <f aca="false">MAX(0,Tax_Bands!N$7-MAX(0,N16-Tax_Bands!N$8)/2)</f>
        <v>0</v>
      </c>
      <c r="O17" s="20" t="n">
        <f aca="false">MAX(0,Tax_Bands!O$7-MAX(0,O16-Tax_Bands!O$8)/2)</f>
        <v>0</v>
      </c>
      <c r="P17" s="20" t="n">
        <f aca="false">MAX(0,Tax_Bands!P$7-MAX(0,P16-Tax_Bands!P$8)/2)</f>
        <v>0</v>
      </c>
      <c r="Q17" s="20" t="n">
        <f aca="false">MAX(0,Tax_Bands!Q$7-MAX(0,Q16-Tax_Bands!Q$8)/2)</f>
        <v>0</v>
      </c>
      <c r="R17" s="20" t="n">
        <f aca="false">MAX(0,Tax_Bands!R$7-MAX(0,R16-Tax_Bands!R$8)/2)</f>
        <v>0</v>
      </c>
      <c r="S17" s="20" t="n">
        <f aca="false">MAX(0,Tax_Bands!S$7-MAX(0,S16-Tax_Bands!S$8)/2)</f>
        <v>0</v>
      </c>
      <c r="T17" s="20" t="n">
        <f aca="false">MAX(0,Tax_Bands!T$7-MAX(0,T16-Tax_Bands!T$8)/2)</f>
        <v>0</v>
      </c>
      <c r="U17" s="20" t="n">
        <f aca="false">MAX(0,Tax_Bands!U$7-MAX(0,U16-Tax_Bands!U$8)/2)</f>
        <v>0</v>
      </c>
      <c r="V17" s="20" t="n">
        <f aca="false">MAX(0,Tax_Bands!V$7-MAX(0,V16-Tax_Bands!V$8)/2)</f>
        <v>0</v>
      </c>
      <c r="W17" s="20" t="n">
        <f aca="false">MAX(0,Tax_Bands!W$7-MAX(0,W16-Tax_Bands!W$8)/2)</f>
        <v>0</v>
      </c>
      <c r="X17" s="20" t="n">
        <f aca="false">MAX(0,Tax_Bands!X$7-MAX(0,X16-Tax_Bands!X$8)/2)</f>
        <v>0</v>
      </c>
      <c r="Y17" s="20" t="n">
        <f aca="false">MAX(0,Tax_Bands!Y$7-MAX(0,Y16-Tax_Bands!Y$8)/2)</f>
        <v>0</v>
      </c>
      <c r="Z17" s="20" t="n">
        <f aca="false">MAX(0,Tax_Bands!Z$7-MAX(0,Z16-Tax_Bands!Z$8)/2)</f>
        <v>0</v>
      </c>
      <c r="AA17" s="20" t="n">
        <f aca="false">MAX(0,Tax_Bands!AA$7-MAX(0,AA16-Tax_Bands!AA$8)/2)</f>
        <v>0</v>
      </c>
      <c r="AB17" s="20" t="n">
        <f aca="false">MAX(0,Tax_Bands!AB$7-MAX(0,AB16-Tax_Bands!AB$8)/2)</f>
        <v>0</v>
      </c>
      <c r="AC17" s="20" t="n">
        <f aca="false">MAX(0,Tax_Bands!AC$7-MAX(0,AC16-Tax_Bands!AC$8)/2)</f>
        <v>0</v>
      </c>
      <c r="AD17" s="20" t="n">
        <f aca="false">MAX(0,Tax_Bands!AD$7-MAX(0,AD16-Tax_Bands!AD$8)/2)</f>
        <v>0</v>
      </c>
      <c r="AE17" s="20" t="n">
        <f aca="false">MAX(0,Tax_Bands!AE$7-MAX(0,AE16-Tax_Bands!AE$8)/2)</f>
        <v>0</v>
      </c>
      <c r="AF17" s="20" t="n">
        <f aca="false">MAX(0,Tax_Bands!AF$7-MAX(0,AF16-Tax_Bands!AF$8)/2)</f>
        <v>0</v>
      </c>
    </row>
    <row r="18" customFormat="false" ht="15" hidden="false" customHeight="true" outlineLevel="0" collapsed="false">
      <c r="B18" s="56" t="s">
        <v>347</v>
      </c>
      <c r="C18" s="20" t="n">
        <f aca="false">MAX(0,C16-C17)</f>
        <v>163000</v>
      </c>
      <c r="D18" s="20" t="n">
        <f aca="false">MAX(0,D16-D17)</f>
        <v>135700</v>
      </c>
      <c r="E18" s="20" t="n">
        <f aca="false">MAX(0,E16-E17)</f>
        <v>140742</v>
      </c>
      <c r="F18" s="20" t="n">
        <f aca="false">MAX(0,F16-F17)</f>
        <v>175431.84</v>
      </c>
      <c r="G18" s="20" t="n">
        <f aca="false">MAX(0,G16-G17)</f>
        <v>178940.4768</v>
      </c>
      <c r="H18" s="20" t="n">
        <f aca="false">MAX(0,H16-H17)</f>
        <v>182519.286336</v>
      </c>
      <c r="I18" s="20" t="n">
        <f aca="false">MAX(0,I16-I17)</f>
        <v>186169.67206272</v>
      </c>
      <c r="J18" s="20" t="n">
        <f aca="false">MAX(0,J16-J17)</f>
        <v>189893.065503974</v>
      </c>
      <c r="K18" s="20" t="n">
        <f aca="false">MAX(0,K16-K17)</f>
        <v>193690.926814054</v>
      </c>
      <c r="L18" s="20" t="n">
        <f aca="false">MAX(0,L16-L17)</f>
        <v>197564.745350335</v>
      </c>
      <c r="M18" s="20" t="n">
        <f aca="false">MAX(0,M16-M17)</f>
        <v>201516.040257342</v>
      </c>
      <c r="N18" s="20" t="n">
        <f aca="false">MAX(0,N16-N17)</f>
        <v>205546.361062489</v>
      </c>
      <c r="O18" s="20" t="n">
        <f aca="false">MAX(0,O16-O17)</f>
        <v>209657.288283738</v>
      </c>
      <c r="P18" s="20" t="n">
        <f aca="false">MAX(0,P16-P17)</f>
        <v>213850.434049413</v>
      </c>
      <c r="Q18" s="20" t="n">
        <f aca="false">MAX(0,Q16-Q17)</f>
        <v>218127.442730401</v>
      </c>
      <c r="R18" s="20" t="n">
        <f aca="false">MAX(0,R16-R17)</f>
        <v>222489.991585009</v>
      </c>
      <c r="S18" s="20" t="n">
        <f aca="false">MAX(0,S16-S17)</f>
        <v>226939.79141671</v>
      </c>
      <c r="T18" s="20" t="n">
        <f aca="false">MAX(0,T16-T17)</f>
        <v>231478.587245044</v>
      </c>
      <c r="U18" s="20" t="n">
        <f aca="false">MAX(0,U16-U17)</f>
        <v>236108.158989945</v>
      </c>
      <c r="V18" s="20" t="n">
        <f aca="false">MAX(0,V16-V17)</f>
        <v>240830.322169744</v>
      </c>
      <c r="W18" s="20" t="n">
        <f aca="false">MAX(0,W16-W17)</f>
        <v>245646.928613138</v>
      </c>
      <c r="X18" s="20" t="n">
        <f aca="false">MAX(0,X16-X17)</f>
        <v>250559.867185401</v>
      </c>
      <c r="Y18" s="20" t="n">
        <f aca="false">MAX(0,Y16-Y17)</f>
        <v>255571.064529109</v>
      </c>
      <c r="Z18" s="20" t="n">
        <f aca="false">MAX(0,Z16-Z17)</f>
        <v>260682.485819691</v>
      </c>
      <c r="AA18" s="20" t="n">
        <f aca="false">MAX(0,AA16-AA17)</f>
        <v>265896.135536085</v>
      </c>
      <c r="AB18" s="20" t="n">
        <f aca="false">MAX(0,AB16-AB17)</f>
        <v>271214.058246807</v>
      </c>
      <c r="AC18" s="20" t="n">
        <f aca="false">MAX(0,AC16-AC17)</f>
        <v>276638.339411743</v>
      </c>
      <c r="AD18" s="20" t="n">
        <f aca="false">MAX(0,AD16-AD17)</f>
        <v>282171.106199978</v>
      </c>
      <c r="AE18" s="20" t="n">
        <f aca="false">MAX(0,AE16-AE17)</f>
        <v>287814.528323978</v>
      </c>
      <c r="AF18" s="20" t="n">
        <f aca="false">MAX(0,AF16-AF17)</f>
        <v>293570.818890457</v>
      </c>
    </row>
    <row r="19" customFormat="false" ht="15" hidden="false" customHeight="true" outlineLevel="0" collapsed="false">
      <c r="B19" s="56" t="s">
        <v>522</v>
      </c>
      <c r="C19" s="20" t="n">
        <f aca="false">Tax_Bands!C$18*MIN(C18,Tax_Bands!C$9)+Tax_Bands!C$19*MAX(0,MIN(C18,Tax_Bands!C$10)-Tax_Bands!C$9)+Tax_Bands!C$20*MAX(0,C18-Tax_Bands!C$10)</f>
        <v>59553</v>
      </c>
      <c r="D19" s="20" t="n">
        <f aca="false">Tax_Bands!D$18*MIN(D18,Tax_Bands!D$9)+Tax_Bands!D$19*MAX(0,MIN(D18,Tax_Bands!D$10)-Tax_Bands!D$9)+Tax_Bands!D$20*MAX(0,D18-Tax_Bands!D$10)</f>
        <v>47268</v>
      </c>
      <c r="E19" s="20" t="n">
        <f aca="false">Tax_Bands!E$18*MIN(E18,Tax_Bands!E$9)+Tax_Bands!E$19*MAX(0,MIN(E18,Tax_Bands!E$10)-Tax_Bands!E$9)+Tax_Bands!E$20*MAX(0,E18-Tax_Bands!E$10)</f>
        <v>49536.9</v>
      </c>
      <c r="F19" s="20" t="n">
        <f aca="false">Tax_Bands!F$18*MIN(F18,Tax_Bands!F$9)+Tax_Bands!F$19*MAX(0,MIN(F18,Tax_Bands!F$10)-Tax_Bands!F$9)+Tax_Bands!F$20*MAX(0,F18-Tax_Bands!F$10)</f>
        <v>65147.328</v>
      </c>
      <c r="G19" s="20" t="n">
        <f aca="false">Tax_Bands!G$18*MIN(G18,Tax_Bands!G$9)+Tax_Bands!G$19*MAX(0,MIN(G18,Tax_Bands!G$10)-Tax_Bands!G$9)+Tax_Bands!G$20*MAX(0,G18-Tax_Bands!G$10)</f>
        <v>66726.21456</v>
      </c>
      <c r="H19" s="20" t="n">
        <f aca="false">Tax_Bands!H$18*MIN(H18,Tax_Bands!H$9)+Tax_Bands!H$19*MAX(0,MIN(H18,Tax_Bands!H$10)-Tax_Bands!H$9)+Tax_Bands!H$20*MAX(0,H18-Tax_Bands!H$10)</f>
        <v>68060.7388512</v>
      </c>
      <c r="I19" s="20" t="n">
        <f aca="false">Tax_Bands!I$18*MIN(I18,Tax_Bands!I$9)+Tax_Bands!I$19*MAX(0,MIN(I18,Tax_Bands!I$10)-Tax_Bands!I$9)+Tax_Bands!I$20*MAX(0,I18-Tax_Bands!I$10)</f>
        <v>69421.953628224</v>
      </c>
      <c r="J19" s="20" t="n">
        <f aca="false">Tax_Bands!J$18*MIN(J18,Tax_Bands!J$9)+Tax_Bands!J$19*MAX(0,MIN(J18,Tax_Bands!J$10)-Tax_Bands!J$9)+Tax_Bands!J$20*MAX(0,J18-Tax_Bands!J$10)</f>
        <v>70810.3927007885</v>
      </c>
      <c r="K19" s="20" t="n">
        <f aca="false">Tax_Bands!K$18*MIN(K18,Tax_Bands!K$9)+Tax_Bands!K$19*MAX(0,MIN(K18,Tax_Bands!K$10)-Tax_Bands!K$9)+Tax_Bands!K$20*MAX(0,K18-Tax_Bands!K$10)</f>
        <v>72226.6005548043</v>
      </c>
      <c r="L19" s="20" t="n">
        <f aca="false">Tax_Bands!L$18*MIN(L18,Tax_Bands!L$9)+Tax_Bands!L$19*MAX(0,MIN(L18,Tax_Bands!L$10)-Tax_Bands!L$9)+Tax_Bands!L$20*MAX(0,L18-Tax_Bands!L$10)</f>
        <v>73671.1325659004</v>
      </c>
      <c r="M19" s="20" t="n">
        <f aca="false">Tax_Bands!M$18*MIN(M18,Tax_Bands!M$9)+Tax_Bands!M$19*MAX(0,MIN(M18,Tax_Bands!M$10)-Tax_Bands!M$9)+Tax_Bands!M$20*MAX(0,M18-Tax_Bands!M$10)</f>
        <v>75144.5552172184</v>
      </c>
      <c r="N19" s="20" t="n">
        <f aca="false">Tax_Bands!N$18*MIN(N18,Tax_Bands!N$9)+Tax_Bands!N$19*MAX(0,MIN(N18,Tax_Bands!N$10)-Tax_Bands!N$9)+Tax_Bands!N$20*MAX(0,N18-Tax_Bands!N$10)</f>
        <v>76647.4463215627</v>
      </c>
      <c r="O19" s="20" t="n">
        <f aca="false">Tax_Bands!O$18*MIN(O18,Tax_Bands!O$9)+Tax_Bands!O$19*MAX(0,MIN(O18,Tax_Bands!O$10)-Tax_Bands!O$9)+Tax_Bands!O$20*MAX(0,O18-Tax_Bands!O$10)</f>
        <v>78180.395247994</v>
      </c>
      <c r="P19" s="20" t="n">
        <f aca="false">Tax_Bands!P$18*MIN(P18,Tax_Bands!P$9)+Tax_Bands!P$19*MAX(0,MIN(P18,Tax_Bands!P$10)-Tax_Bands!P$9)+Tax_Bands!P$20*MAX(0,P18-Tax_Bands!P$10)</f>
        <v>79744.0031529539</v>
      </c>
      <c r="Q19" s="20" t="n">
        <f aca="false">Tax_Bands!Q$18*MIN(Q18,Tax_Bands!Q$9)+Tax_Bands!Q$19*MAX(0,MIN(Q18,Tax_Bands!Q$10)-Tax_Bands!Q$9)+Tax_Bands!Q$20*MAX(0,Q18-Tax_Bands!Q$10)</f>
        <v>81338.8832160129</v>
      </c>
      <c r="R19" s="20" t="n">
        <f aca="false">Tax_Bands!R$18*MIN(R18,Tax_Bands!R$9)+Tax_Bands!R$19*MAX(0,MIN(R18,Tax_Bands!R$10)-Tax_Bands!R$9)+Tax_Bands!R$20*MAX(0,R18-Tax_Bands!R$10)</f>
        <v>82965.6608803332</v>
      </c>
      <c r="S19" s="20" t="n">
        <f aca="false">Tax_Bands!S$18*MIN(S18,Tax_Bands!S$9)+Tax_Bands!S$19*MAX(0,MIN(S18,Tax_Bands!S$10)-Tax_Bands!S$9)+Tax_Bands!S$20*MAX(0,S18-Tax_Bands!S$10)</f>
        <v>84624.9740979399</v>
      </c>
      <c r="T19" s="20" t="n">
        <f aca="false">Tax_Bands!T$18*MIN(T18,Tax_Bands!T$9)+Tax_Bands!T$19*MAX(0,MIN(T18,Tax_Bands!T$10)-Tax_Bands!T$9)+Tax_Bands!T$20*MAX(0,T18-Tax_Bands!T$10)</f>
        <v>86317.4735798987</v>
      </c>
      <c r="U19" s="20" t="n">
        <f aca="false">Tax_Bands!U$18*MIN(U18,Tax_Bands!U$9)+Tax_Bands!U$19*MAX(0,MIN(U18,Tax_Bands!U$10)-Tax_Bands!U$9)+Tax_Bands!U$20*MAX(0,U18-Tax_Bands!U$10)</f>
        <v>88043.8230514966</v>
      </c>
      <c r="V19" s="20" t="n">
        <f aca="false">Tax_Bands!V$18*MIN(V18,Tax_Bands!V$9)+Tax_Bands!V$19*MAX(0,MIN(V18,Tax_Bands!V$10)-Tax_Bands!V$9)+Tax_Bands!V$20*MAX(0,V18-Tax_Bands!V$10)</f>
        <v>89804.6995125266</v>
      </c>
      <c r="W19" s="20" t="n">
        <f aca="false">Tax_Bands!W$18*MIN(W18,Tax_Bands!W$9)+Tax_Bands!W$19*MAX(0,MIN(W18,Tax_Bands!W$10)-Tax_Bands!W$9)+Tax_Bands!W$20*MAX(0,W18-Tax_Bands!W$10)</f>
        <v>91600.7935027771</v>
      </c>
      <c r="X19" s="20" t="n">
        <f aca="false">Tax_Bands!X$18*MIN(X18,Tax_Bands!X$9)+Tax_Bands!X$19*MAX(0,MIN(X18,Tax_Bands!X$10)-Tax_Bands!X$9)+Tax_Bands!X$20*MAX(0,X18-Tax_Bands!X$10)</f>
        <v>93432.8093728327</v>
      </c>
      <c r="Y19" s="20" t="n">
        <f aca="false">Tax_Bands!Y$18*MIN(Y18,Tax_Bands!Y$9)+Tax_Bands!Y$19*MAX(0,MIN(Y18,Tax_Bands!Y$10)-Tax_Bands!Y$9)+Tax_Bands!Y$20*MAX(0,Y18-Tax_Bands!Y$10)</f>
        <v>95301.4655602893</v>
      </c>
      <c r="Z19" s="20" t="n">
        <f aca="false">Tax_Bands!Z$18*MIN(Z18,Tax_Bands!Z$9)+Tax_Bands!Z$19*MAX(0,MIN(Z18,Tax_Bands!Z$10)-Tax_Bands!Z$9)+Tax_Bands!Z$20*MAX(0,Z18-Tax_Bands!Z$10)</f>
        <v>97207.4948714951</v>
      </c>
      <c r="AA19" s="20" t="n">
        <f aca="false">Tax_Bands!AA$18*MIN(AA18,Tax_Bands!AA$9)+Tax_Bands!AA$19*MAX(0,MIN(AA18,Tax_Bands!AA$10)-Tax_Bands!AA$9)+Tax_Bands!AA$20*MAX(0,AA18-Tax_Bands!AA$10)</f>
        <v>99151.644768925</v>
      </c>
      <c r="AB19" s="20" t="n">
        <f aca="false">Tax_Bands!AB$18*MIN(AB18,Tax_Bands!AB$9)+Tax_Bands!AB$19*MAX(0,MIN(AB18,Tax_Bands!AB$10)-Tax_Bands!AB$9)+Tax_Bands!AB$20*MAX(0,AB18-Tax_Bands!AB$10)</f>
        <v>101134.677664303</v>
      </c>
      <c r="AC19" s="20" t="n">
        <f aca="false">Tax_Bands!AC$18*MIN(AC18,Tax_Bands!AC$9)+Tax_Bands!AC$19*MAX(0,MIN(AC18,Tax_Bands!AC$10)-Tax_Bands!AC$9)+Tax_Bands!AC$20*MAX(0,AC18-Tax_Bands!AC$10)</f>
        <v>103157.37121759</v>
      </c>
      <c r="AD19" s="20" t="n">
        <f aca="false">Tax_Bands!AD$18*MIN(AD18,Tax_Bands!AD$9)+Tax_Bands!AD$19*MAX(0,MIN(AD18,Tax_Bands!AD$10)-Tax_Bands!AD$9)+Tax_Bands!AD$20*MAX(0,AD18-Tax_Bands!AD$10)</f>
        <v>105220.518641941</v>
      </c>
      <c r="AE19" s="20" t="n">
        <f aca="false">Tax_Bands!AE$18*MIN(AE18,Tax_Bands!AE$9)+Tax_Bands!AE$19*MAX(0,MIN(AE18,Tax_Bands!AE$10)-Tax_Bands!AE$9)+Tax_Bands!AE$20*MAX(0,AE18-Tax_Bands!AE$10)</f>
        <v>107324.92901478</v>
      </c>
      <c r="AF19" s="20" t="n">
        <f aca="false">Tax_Bands!AF$18*MIN(AF18,Tax_Bands!AF$9)+Tax_Bands!AF$19*MAX(0,MIN(AF18,Tax_Bands!AF$10)-Tax_Bands!AF$9)+Tax_Bands!AF$20*MAX(0,AF18-Tax_Bands!AF$10)</f>
        <v>109471.427595076</v>
      </c>
    </row>
    <row r="20" customFormat="false" ht="15" hidden="false" customHeight="true" outlineLevel="0" collapsed="false">
      <c r="B20" s="56" t="s">
        <v>349</v>
      </c>
      <c r="C20" s="20" t="n">
        <f aca="false">Tax_Bands!C$21*MAX(0,MIN(C8,Tax_Bands!C$12)-Tax_Bands!C$11)+Tax_Bands!C$22*MAX(0,C8-Tax_Bands!C$12)</f>
        <v>5410.6</v>
      </c>
      <c r="D20" s="20" t="n">
        <f aca="false">Tax_Bands!D$21*MAX(0,MIN(D8,Tax_Bands!D$12)-Tax_Bands!D$11)+Tax_Bands!D$22*MAX(0,D8-Tax_Bands!D$12)</f>
        <v>4878.6</v>
      </c>
      <c r="E20" s="20" t="n">
        <f aca="false">Tax_Bands!E$21*MAX(0,MIN(E8,Tax_Bands!E$12)-Tax_Bands!E$11)+Tax_Bands!E$22*MAX(0,E8-Tax_Bands!E$12)</f>
        <v>4985.6</v>
      </c>
      <c r="F20" s="20" t="n">
        <f aca="false">Tax_Bands!F$21*MAX(0,MIN(F8,Tax_Bands!F$12)-Tax_Bands!F$11)+Tax_Bands!F$22*MAX(0,F8-Tax_Bands!F$12)</f>
        <v>5682.6</v>
      </c>
      <c r="G20" s="20" t="n">
        <f aca="false">Tax_Bands!G$21*MAX(0,MIN(G8,Tax_Bands!G$12)-Tax_Bands!G$11)+Tax_Bands!G$22*MAX(0,G8-Tax_Bands!G$12)</f>
        <v>5756.04</v>
      </c>
      <c r="H20" s="20" t="n">
        <f aca="false">Tax_Bands!H$21*MAX(0,MIN(H8,Tax_Bands!H$12)-Tax_Bands!H$11)+Tax_Bands!H$22*MAX(0,H8-Tax_Bands!H$12)</f>
        <v>5871.1608</v>
      </c>
      <c r="I20" s="20" t="n">
        <f aca="false">Tax_Bands!I$21*MAX(0,MIN(I8,Tax_Bands!I$12)-Tax_Bands!I$11)+Tax_Bands!I$22*MAX(0,I8-Tax_Bands!I$12)</f>
        <v>5988.584016</v>
      </c>
      <c r="J20" s="20" t="n">
        <f aca="false">Tax_Bands!J$21*MAX(0,MIN(J8,Tax_Bands!J$12)-Tax_Bands!J$11)+Tax_Bands!J$22*MAX(0,J8-Tax_Bands!J$12)</f>
        <v>6108.35569632</v>
      </c>
      <c r="K20" s="20" t="n">
        <f aca="false">Tax_Bands!K$21*MAX(0,MIN(K8,Tax_Bands!K$12)-Tax_Bands!K$11)+Tax_Bands!K$22*MAX(0,K8-Tax_Bands!K$12)</f>
        <v>6230.5228102464</v>
      </c>
      <c r="L20" s="20" t="n">
        <f aca="false">Tax_Bands!L$21*MAX(0,MIN(L8,Tax_Bands!L$12)-Tax_Bands!L$11)+Tax_Bands!L$22*MAX(0,L8-Tax_Bands!L$12)</f>
        <v>6355.13326645133</v>
      </c>
      <c r="M20" s="20" t="n">
        <f aca="false">Tax_Bands!M$21*MAX(0,MIN(M8,Tax_Bands!M$12)-Tax_Bands!M$11)+Tax_Bands!M$22*MAX(0,M8-Tax_Bands!M$12)</f>
        <v>6482.23593178036</v>
      </c>
      <c r="N20" s="20" t="n">
        <f aca="false">Tax_Bands!N$21*MAX(0,MIN(N8,Tax_Bands!N$12)-Tax_Bands!N$11)+Tax_Bands!N$22*MAX(0,N8-Tax_Bands!N$12)</f>
        <v>6611.88065041596</v>
      </c>
      <c r="O20" s="20" t="n">
        <f aca="false">Tax_Bands!O$21*MAX(0,MIN(O8,Tax_Bands!O$12)-Tax_Bands!O$11)+Tax_Bands!O$22*MAX(0,O8-Tax_Bands!O$12)</f>
        <v>6744.11826342428</v>
      </c>
      <c r="P20" s="20" t="n">
        <f aca="false">Tax_Bands!P$21*MAX(0,MIN(P8,Tax_Bands!P$12)-Tax_Bands!P$11)+Tax_Bands!P$22*MAX(0,P8-Tax_Bands!P$12)</f>
        <v>6879.00062869277</v>
      </c>
      <c r="Q20" s="20" t="n">
        <f aca="false">Tax_Bands!Q$21*MAX(0,MIN(Q8,Tax_Bands!Q$12)-Tax_Bands!Q$11)+Tax_Bands!Q$22*MAX(0,Q8-Tax_Bands!Q$12)</f>
        <v>7016.58064126662</v>
      </c>
      <c r="R20" s="20" t="n">
        <f aca="false">Tax_Bands!R$21*MAX(0,MIN(R8,Tax_Bands!R$12)-Tax_Bands!R$11)+Tax_Bands!R$22*MAX(0,R8-Tax_Bands!R$12)</f>
        <v>7156.91225409196</v>
      </c>
      <c r="S20" s="20" t="n">
        <f aca="false">Tax_Bands!S$21*MAX(0,MIN(S8,Tax_Bands!S$12)-Tax_Bands!S$11)+Tax_Bands!S$22*MAX(0,S8-Tax_Bands!S$12)</f>
        <v>7300.0504991738</v>
      </c>
      <c r="T20" s="20" t="n">
        <f aca="false">Tax_Bands!T$21*MAX(0,MIN(T8,Tax_Bands!T$12)-Tax_Bands!T$11)+Tax_Bands!T$22*MAX(0,T8-Tax_Bands!T$12)</f>
        <v>7446.05150915727</v>
      </c>
      <c r="U20" s="20" t="n">
        <f aca="false">Tax_Bands!U$21*MAX(0,MIN(U8,Tax_Bands!U$12)-Tax_Bands!U$11)+Tax_Bands!U$22*MAX(0,U8-Tax_Bands!U$12)</f>
        <v>7594.97253934042</v>
      </c>
      <c r="V20" s="20" t="n">
        <f aca="false">Tax_Bands!V$21*MAX(0,MIN(V8,Tax_Bands!V$12)-Tax_Bands!V$11)+Tax_Bands!V$22*MAX(0,V8-Tax_Bands!V$12)</f>
        <v>7746.87199012723</v>
      </c>
      <c r="W20" s="20" t="n">
        <f aca="false">Tax_Bands!W$21*MAX(0,MIN(W8,Tax_Bands!W$12)-Tax_Bands!W$11)+Tax_Bands!W$22*MAX(0,W8-Tax_Bands!W$12)</f>
        <v>7901.80942992977</v>
      </c>
      <c r="X20" s="20" t="n">
        <f aca="false">Tax_Bands!X$21*MAX(0,MIN(X8,Tax_Bands!X$12)-Tax_Bands!X$11)+Tax_Bands!X$22*MAX(0,X8-Tax_Bands!X$12)</f>
        <v>8059.84561852837</v>
      </c>
      <c r="Y20" s="20" t="n">
        <f aca="false">Tax_Bands!Y$21*MAX(0,MIN(Y8,Tax_Bands!Y$12)-Tax_Bands!Y$11)+Tax_Bands!Y$22*MAX(0,Y8-Tax_Bands!Y$12)</f>
        <v>8221.04253089893</v>
      </c>
      <c r="Z20" s="20" t="n">
        <f aca="false">Tax_Bands!Z$21*MAX(0,MIN(Z8,Tax_Bands!Z$12)-Tax_Bands!Z$11)+Tax_Bands!Z$22*MAX(0,Z8-Tax_Bands!Z$12)</f>
        <v>8385.46338151691</v>
      </c>
      <c r="AA20" s="20" t="n">
        <f aca="false">Tax_Bands!AA$21*MAX(0,MIN(AA8,Tax_Bands!AA$12)-Tax_Bands!AA$11)+Tax_Bands!AA$22*MAX(0,AA8-Tax_Bands!AA$12)</f>
        <v>8553.17264914725</v>
      </c>
      <c r="AB20" s="20" t="n">
        <f aca="false">Tax_Bands!AB$21*MAX(0,MIN(AB8,Tax_Bands!AB$12)-Tax_Bands!AB$11)+Tax_Bands!AB$22*MAX(0,AB8-Tax_Bands!AB$12)</f>
        <v>8724.2361021302</v>
      </c>
      <c r="AC20" s="20" t="n">
        <f aca="false">Tax_Bands!AC$21*MAX(0,MIN(AC8,Tax_Bands!AC$12)-Tax_Bands!AC$11)+Tax_Bands!AC$22*MAX(0,AC8-Tax_Bands!AC$12)</f>
        <v>8898.7208241728</v>
      </c>
      <c r="AD20" s="20" t="n">
        <f aca="false">Tax_Bands!AD$21*MAX(0,MIN(AD8,Tax_Bands!AD$12)-Tax_Bands!AD$11)+Tax_Bands!AD$22*MAX(0,AD8-Tax_Bands!AD$12)</f>
        <v>9076.69524065626</v>
      </c>
      <c r="AE20" s="20" t="n">
        <f aca="false">Tax_Bands!AE$21*MAX(0,MIN(AE8,Tax_Bands!AE$12)-Tax_Bands!AE$11)+Tax_Bands!AE$22*MAX(0,AE8-Tax_Bands!AE$12)</f>
        <v>9258.22914546938</v>
      </c>
      <c r="AF20" s="20" t="n">
        <f aca="false">Tax_Bands!AF$21*MAX(0,MIN(AF8,Tax_Bands!AF$12)-Tax_Bands!AF$11)+Tax_Bands!AF$22*MAX(0,AF8-Tax_Bands!AF$12)</f>
        <v>9443.39372837877</v>
      </c>
    </row>
    <row r="21" customFormat="false" ht="15" hidden="false" customHeight="true" outlineLevel="0" collapsed="false">
      <c r="B21" s="16" t="s">
        <v>523</v>
      </c>
      <c r="C21" s="59" t="n">
        <f aca="false">C16-C19-C20</f>
        <v>98036.4</v>
      </c>
      <c r="D21" s="59" t="n">
        <f aca="false">D16-D19-D20</f>
        <v>83553.4</v>
      </c>
      <c r="E21" s="59" t="n">
        <f aca="false">E16-E19-E20</f>
        <v>86219.5</v>
      </c>
      <c r="F21" s="59" t="n">
        <f aca="false">F16-F19-F20</f>
        <v>104601.912</v>
      </c>
      <c r="G21" s="59" t="n">
        <f aca="false">G16-G19-G20</f>
        <v>106458.22224</v>
      </c>
      <c r="H21" s="59" t="n">
        <f aca="false">H16-H19-H20</f>
        <v>108587.3866848</v>
      </c>
      <c r="I21" s="59" t="n">
        <f aca="false">I16-I19-I20</f>
        <v>110759.134418496</v>
      </c>
      <c r="J21" s="59" t="n">
        <f aca="false">J16-J19-J20</f>
        <v>112974.317106866</v>
      </c>
      <c r="K21" s="59" t="n">
        <f aca="false">K16-K19-K20</f>
        <v>115233.803449003</v>
      </c>
      <c r="L21" s="59" t="n">
        <f aca="false">L16-L19-L20</f>
        <v>117538.479517983</v>
      </c>
      <c r="M21" s="59" t="n">
        <f aca="false">M16-M19-M20</f>
        <v>119889.249108343</v>
      </c>
      <c r="N21" s="59" t="n">
        <f aca="false">N16-N19-N20</f>
        <v>122287.03409051</v>
      </c>
      <c r="O21" s="59" t="n">
        <f aca="false">O16-O19-O20</f>
        <v>124732.77477232</v>
      </c>
      <c r="P21" s="59" t="n">
        <f aca="false">P16-P19-P20</f>
        <v>127227.430267766</v>
      </c>
      <c r="Q21" s="59" t="n">
        <f aca="false">Q16-Q19-Q20</f>
        <v>129771.978873122</v>
      </c>
      <c r="R21" s="59" t="n">
        <f aca="false">R16-R19-R20</f>
        <v>132367.418450584</v>
      </c>
      <c r="S21" s="59" t="n">
        <f aca="false">S16-S19-S20</f>
        <v>135014.766819596</v>
      </c>
      <c r="T21" s="59" t="n">
        <f aca="false">T16-T19-T20</f>
        <v>137715.062155988</v>
      </c>
      <c r="U21" s="59" t="n">
        <f aca="false">U16-U19-U20</f>
        <v>140469.363399108</v>
      </c>
      <c r="V21" s="59" t="n">
        <f aca="false">V16-V19-V20</f>
        <v>143278.75066709</v>
      </c>
      <c r="W21" s="59" t="n">
        <f aca="false">W16-W19-W20</f>
        <v>146144.325680432</v>
      </c>
      <c r="X21" s="59" t="n">
        <f aca="false">X16-X19-X20</f>
        <v>149067.21219404</v>
      </c>
      <c r="Y21" s="59" t="n">
        <f aca="false">Y16-Y19-Y20</f>
        <v>152048.556437921</v>
      </c>
      <c r="Z21" s="59" t="n">
        <f aca="false">Z16-Z19-Z20</f>
        <v>155089.527566679</v>
      </c>
      <c r="AA21" s="59" t="n">
        <f aca="false">AA16-AA19-AA20</f>
        <v>158191.318118013</v>
      </c>
      <c r="AB21" s="59" t="n">
        <f aca="false">AB16-AB19-AB20</f>
        <v>161355.144480373</v>
      </c>
      <c r="AC21" s="59" t="n">
        <f aca="false">AC16-AC19-AC20</f>
        <v>164582.247369981</v>
      </c>
      <c r="AD21" s="59" t="n">
        <f aca="false">AD16-AD19-AD20</f>
        <v>167873.89231738</v>
      </c>
      <c r="AE21" s="59" t="n">
        <f aca="false">AE16-AE19-AE20</f>
        <v>171231.370163728</v>
      </c>
      <c r="AF21" s="59" t="n">
        <f aca="false">AF16-AF19-AF20</f>
        <v>174655.997567003</v>
      </c>
    </row>
    <row r="22" customFormat="false" ht="15" hidden="false" customHeight="true" outlineLevel="0" collapsed="false">
      <c r="B22" s="6" t="s">
        <v>524</v>
      </c>
      <c r="C22" s="17" t="n">
        <f aca="false">DM_Income!C$22</f>
        <v>103906.4</v>
      </c>
      <c r="D22" s="17" t="n">
        <f aca="false">DM_Income!D$22</f>
        <v>107591.2</v>
      </c>
      <c r="E22" s="17" t="n">
        <f aca="false">DM_Income!E$22</f>
        <v>111423.392</v>
      </c>
      <c r="F22" s="17" t="n">
        <f aca="false">DM_Income!F$22</f>
        <v>113416.13184</v>
      </c>
      <c r="G22" s="17" t="n">
        <f aca="false">DM_Income!G$22</f>
        <v>115448.7264768</v>
      </c>
      <c r="H22" s="17" t="n">
        <f aca="false">DM_Income!H$22</f>
        <v>117757.701006336</v>
      </c>
      <c r="I22" s="17" t="n">
        <f aca="false">DM_Income!I$22</f>
        <v>120112.855026463</v>
      </c>
      <c r="J22" s="17" t="n">
        <f aca="false">DM_Income!J$22</f>
        <v>122515.112126992</v>
      </c>
      <c r="K22" s="17" t="n">
        <f aca="false">DM_Income!K$22</f>
        <v>124965.414369532</v>
      </c>
      <c r="L22" s="17" t="n">
        <f aca="false">DM_Income!L$22</f>
        <v>127464.722656922</v>
      </c>
      <c r="M22" s="17" t="n">
        <f aca="false">DM_Income!M$22</f>
        <v>130014.017110061</v>
      </c>
      <c r="N22" s="17" t="n">
        <f aca="false">DM_Income!N$22</f>
        <v>132614.297452262</v>
      </c>
      <c r="O22" s="17" t="n">
        <f aca="false">DM_Income!O$22</f>
        <v>135266.583401307</v>
      </c>
      <c r="P22" s="17" t="n">
        <f aca="false">DM_Income!P$22</f>
        <v>137971.915069334</v>
      </c>
      <c r="Q22" s="17" t="n">
        <f aca="false">DM_Income!Q$22</f>
        <v>140731.35337072</v>
      </c>
      <c r="R22" s="17" t="n">
        <f aca="false">DM_Income!R$22</f>
        <v>143545.980438135</v>
      </c>
      <c r="S22" s="17" t="n">
        <f aca="false">DM_Income!S$22</f>
        <v>146416.900046897</v>
      </c>
      <c r="T22" s="17" t="n">
        <f aca="false">DM_Income!T$22</f>
        <v>149345.238047835</v>
      </c>
      <c r="U22" s="17" t="n">
        <f aca="false">DM_Income!U$22</f>
        <v>152332.142808792</v>
      </c>
      <c r="V22" s="17" t="n">
        <f aca="false">DM_Income!V$22</f>
        <v>155378.785664968</v>
      </c>
      <c r="W22" s="17" t="n">
        <f aca="false">DM_Income!W$22</f>
        <v>158486.361378267</v>
      </c>
      <c r="X22" s="17" t="n">
        <f aca="false">DM_Income!X$22</f>
        <v>161656.088605832</v>
      </c>
      <c r="Y22" s="17" t="n">
        <f aca="false">DM_Income!Y$22</f>
        <v>164889.210377949</v>
      </c>
      <c r="Z22" s="17" t="n">
        <f aca="false">DM_Income!Z$22</f>
        <v>168186.994585508</v>
      </c>
      <c r="AA22" s="17" t="n">
        <f aca="false">DM_Income!AA$22</f>
        <v>171550.734477218</v>
      </c>
      <c r="AB22" s="17" t="n">
        <f aca="false">DM_Income!AB$22</f>
        <v>174981.749166763</v>
      </c>
      <c r="AC22" s="17" t="n">
        <f aca="false">DM_Income!AC$22</f>
        <v>178481.384150098</v>
      </c>
      <c r="AD22" s="17" t="n">
        <f aca="false">DM_Income!AD$22</f>
        <v>182051.0118331</v>
      </c>
      <c r="AE22" s="17" t="n">
        <f aca="false">DM_Income!AE$22</f>
        <v>185692.032069762</v>
      </c>
      <c r="AF22" s="17" t="n">
        <f aca="false">DM_Income!AF$22</f>
        <v>189405.872711157</v>
      </c>
    </row>
    <row r="23" customFormat="false" ht="15" hidden="false" customHeight="true" outlineLevel="0" collapsed="false">
      <c r="B23" s="6" t="s">
        <v>436</v>
      </c>
      <c r="C23" s="17" t="n">
        <f aca="false">DM_Income!C$15</f>
        <v>28800</v>
      </c>
      <c r="D23" s="17" t="n">
        <f aca="false">DM_Income!D$15</f>
        <v>27552</v>
      </c>
      <c r="E23" s="17" t="n">
        <f aca="false">DM_Income!E$15</f>
        <v>26254.08</v>
      </c>
      <c r="F23" s="17" t="n">
        <f aca="false">DM_Income!F$15</f>
        <v>25579.1616</v>
      </c>
      <c r="G23" s="17" t="n">
        <f aca="false">DM_Income!G$15</f>
        <v>24890.744832</v>
      </c>
      <c r="H23" s="17" t="n">
        <f aca="false">DM_Income!H$15</f>
        <v>25388.55972864</v>
      </c>
      <c r="I23" s="17" t="n">
        <f aca="false">DM_Income!I$15</f>
        <v>25896.3309232128</v>
      </c>
      <c r="J23" s="17" t="n">
        <f aca="false">DM_Income!J$15</f>
        <v>26414.257541677</v>
      </c>
      <c r="K23" s="17" t="n">
        <f aca="false">DM_Income!K$15</f>
        <v>26942.5426925106</v>
      </c>
      <c r="L23" s="17" t="n">
        <f aca="false">DM_Income!L$15</f>
        <v>27481.3935463608</v>
      </c>
      <c r="M23" s="17" t="n">
        <f aca="false">DM_Income!M$15</f>
        <v>28031.021417288</v>
      </c>
      <c r="N23" s="17" t="n">
        <f aca="false">DM_Income!N$15</f>
        <v>28591.6418456338</v>
      </c>
      <c r="O23" s="17" t="n">
        <f aca="false">DM_Income!O$15</f>
        <v>29163.4746825465</v>
      </c>
      <c r="P23" s="17" t="n">
        <f aca="false">DM_Income!P$15</f>
        <v>29746.7441761974</v>
      </c>
      <c r="Q23" s="17" t="n">
        <f aca="false">DM_Income!Q$15</f>
        <v>30341.6790597213</v>
      </c>
      <c r="R23" s="17" t="n">
        <f aca="false">DM_Income!R$15</f>
        <v>30948.5126409158</v>
      </c>
      <c r="S23" s="17" t="n">
        <f aca="false">DM_Income!S$15</f>
        <v>31567.4828937341</v>
      </c>
      <c r="T23" s="17" t="n">
        <f aca="false">DM_Income!T$15</f>
        <v>32198.8325516088</v>
      </c>
      <c r="U23" s="17" t="n">
        <f aca="false">DM_Income!U$15</f>
        <v>32842.8092026409</v>
      </c>
      <c r="V23" s="17" t="n">
        <f aca="false">DM_Income!V$15</f>
        <v>33499.6653866938</v>
      </c>
      <c r="W23" s="17" t="n">
        <f aca="false">DM_Income!W$15</f>
        <v>34169.6586944276</v>
      </c>
      <c r="X23" s="17" t="n">
        <f aca="false">DM_Income!X$15</f>
        <v>34853.0518683162</v>
      </c>
      <c r="Y23" s="17" t="n">
        <f aca="false">DM_Income!Y$15</f>
        <v>35550.1129056825</v>
      </c>
      <c r="Z23" s="17" t="n">
        <f aca="false">DM_Income!Z$15</f>
        <v>36261.1151637962</v>
      </c>
      <c r="AA23" s="17" t="n">
        <f aca="false">DM_Income!AA$15</f>
        <v>36986.3374670721</v>
      </c>
      <c r="AB23" s="17" t="n">
        <f aca="false">DM_Income!AB$15</f>
        <v>37726.0642164135</v>
      </c>
      <c r="AC23" s="17" t="n">
        <f aca="false">DM_Income!AC$15</f>
        <v>38480.5855007418</v>
      </c>
      <c r="AD23" s="17" t="n">
        <f aca="false">DM_Income!AD$15</f>
        <v>39250.1972107566</v>
      </c>
      <c r="AE23" s="17" t="n">
        <f aca="false">DM_Income!AE$15</f>
        <v>40035.2011549718</v>
      </c>
      <c r="AF23" s="17" t="n">
        <f aca="false">DM_Income!AF$15</f>
        <v>40835.9051780712</v>
      </c>
    </row>
    <row r="24" customFormat="false" ht="15" hidden="false" customHeight="true" outlineLevel="0" collapsed="false">
      <c r="B24" s="16" t="s">
        <v>416</v>
      </c>
      <c r="C24" s="59" t="n">
        <f aca="false">C21+C22</f>
        <v>201942.8</v>
      </c>
      <c r="D24" s="59" t="n">
        <f aca="false">D21+D22</f>
        <v>191144.6</v>
      </c>
      <c r="E24" s="59" t="n">
        <f aca="false">E21+E22</f>
        <v>197642.892</v>
      </c>
      <c r="F24" s="59" t="n">
        <f aca="false">F21+F22</f>
        <v>218018.04384</v>
      </c>
      <c r="G24" s="59" t="n">
        <f aca="false">G21+G22</f>
        <v>221906.9487168</v>
      </c>
      <c r="H24" s="59" t="n">
        <f aca="false">H21+H22</f>
        <v>226345.087691136</v>
      </c>
      <c r="I24" s="59" t="n">
        <f aca="false">I21+I22</f>
        <v>230871.989444959</v>
      </c>
      <c r="J24" s="59" t="n">
        <f aca="false">J21+J22</f>
        <v>235489.429233858</v>
      </c>
      <c r="K24" s="59" t="n">
        <f aca="false">K21+K22</f>
        <v>240199.217818535</v>
      </c>
      <c r="L24" s="59" t="n">
        <f aca="false">L21+L22</f>
        <v>245003.202174906</v>
      </c>
      <c r="M24" s="59" t="n">
        <f aca="false">M21+M22</f>
        <v>249903.266218404</v>
      </c>
      <c r="N24" s="59" t="n">
        <f aca="false">N21+N22</f>
        <v>254901.331542772</v>
      </c>
      <c r="O24" s="59" t="n">
        <f aca="false">O21+O22</f>
        <v>259999.358173627</v>
      </c>
      <c r="P24" s="59" t="n">
        <f aca="false">P21+P22</f>
        <v>265199.3453371</v>
      </c>
      <c r="Q24" s="59" t="n">
        <f aca="false">Q21+Q22</f>
        <v>270503.332243842</v>
      </c>
      <c r="R24" s="59" t="n">
        <f aca="false">R21+R22</f>
        <v>275913.398888719</v>
      </c>
      <c r="S24" s="59" t="n">
        <f aca="false">S21+S22</f>
        <v>281431.666866493</v>
      </c>
      <c r="T24" s="59" t="n">
        <f aca="false">T21+T22</f>
        <v>287060.300203823</v>
      </c>
      <c r="U24" s="59" t="n">
        <f aca="false">U21+U22</f>
        <v>292801.5062079</v>
      </c>
      <c r="V24" s="59" t="n">
        <f aca="false">V21+V22</f>
        <v>298657.536332058</v>
      </c>
      <c r="W24" s="59" t="n">
        <f aca="false">W21+W22</f>
        <v>304630.687058699</v>
      </c>
      <c r="X24" s="59" t="n">
        <f aca="false">X21+X22</f>
        <v>310723.300799873</v>
      </c>
      <c r="Y24" s="59" t="n">
        <f aca="false">Y21+Y22</f>
        <v>316937.76681587</v>
      </c>
      <c r="Z24" s="59" t="n">
        <f aca="false">Z21+Z22</f>
        <v>323276.522152188</v>
      </c>
      <c r="AA24" s="59" t="n">
        <f aca="false">AA21+AA22</f>
        <v>329742.052595231</v>
      </c>
      <c r="AB24" s="59" t="n">
        <f aca="false">AB21+AB22</f>
        <v>336336.893647136</v>
      </c>
      <c r="AC24" s="59" t="n">
        <f aca="false">AC21+AC22</f>
        <v>343063.631520079</v>
      </c>
      <c r="AD24" s="59" t="n">
        <f aca="false">AD21+AD22</f>
        <v>349924.90415048</v>
      </c>
      <c r="AE24" s="59" t="n">
        <f aca="false">AE21+AE22</f>
        <v>356923.40223349</v>
      </c>
      <c r="AF24" s="59" t="n">
        <f aca="false">AF21+AF22</f>
        <v>364061.87027816</v>
      </c>
    </row>
    <row r="25" customFormat="false" ht="15" hidden="false" customHeight="true" outlineLevel="0" collapsed="false">
      <c r="A25" s="30" t="s">
        <v>525</v>
      </c>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customFormat="false" ht="15" hidden="false" customHeight="true" outlineLevel="0" collapsed="false">
      <c r="B26" s="6" t="s">
        <v>526</v>
      </c>
      <c r="C26" s="17" t="n">
        <f aca="false">Household_Base!C$22</f>
        <v>125400</v>
      </c>
      <c r="D26" s="17" t="n">
        <f aca="false">Household_Base!D$22</f>
        <v>130416</v>
      </c>
      <c r="E26" s="17" t="n">
        <f aca="false">Household_Base!E$22</f>
        <v>123951.36</v>
      </c>
      <c r="F26" s="17" t="n">
        <f aca="false">Household_Base!F$22</f>
        <v>102600.576</v>
      </c>
      <c r="G26" s="17" t="n">
        <f aca="false">Household_Base!G$22</f>
        <v>104652.58752</v>
      </c>
      <c r="H26" s="17" t="n">
        <f aca="false">Household_Base!H$22</f>
        <v>106745.6392704</v>
      </c>
      <c r="I26" s="17" t="n">
        <f aca="false">Household_Base!I$22</f>
        <v>108880.552055808</v>
      </c>
      <c r="J26" s="17" t="n">
        <f aca="false">Household_Base!J$22</f>
        <v>111058.163096924</v>
      </c>
      <c r="K26" s="17" t="n">
        <f aca="false">Household_Base!K$22</f>
        <v>91354.2954506957</v>
      </c>
      <c r="L26" s="17" t="n">
        <f aca="false">Household_Base!L$22</f>
        <v>93181.3813597096</v>
      </c>
      <c r="M26" s="17" t="n">
        <f aca="false">Household_Base!M$22</f>
        <v>95045.0089869038</v>
      </c>
      <c r="N26" s="17" t="n">
        <f aca="false">Household_Base!N$22</f>
        <v>96945.9091666419</v>
      </c>
      <c r="O26" s="17" t="n">
        <f aca="false">Household_Base!O$22</f>
        <v>98884.8273499747</v>
      </c>
      <c r="P26" s="17" t="n">
        <f aca="false">Household_Base!P$22</f>
        <v>100862.523896974</v>
      </c>
      <c r="Q26" s="17" t="n">
        <f aca="false">Household_Base!Q$22</f>
        <v>102879.774374914</v>
      </c>
      <c r="R26" s="17" t="n">
        <f aca="false">Household_Base!R$22</f>
        <v>104937.369862412</v>
      </c>
      <c r="S26" s="17" t="n">
        <f aca="false">Household_Base!S$22</f>
        <v>107036.11725966</v>
      </c>
      <c r="T26" s="17" t="n">
        <f aca="false">Household_Base!T$22</f>
        <v>109176.839604853</v>
      </c>
      <c r="U26" s="17" t="n">
        <f aca="false">Household_Base!U$22</f>
        <v>111360.376396951</v>
      </c>
      <c r="V26" s="17" t="n">
        <f aca="false">Household_Base!V$22</f>
        <v>78148.257740324</v>
      </c>
      <c r="W26" s="17" t="n">
        <f aca="false">Household_Base!W$22</f>
        <v>79711.2228951305</v>
      </c>
      <c r="X26" s="17" t="n">
        <f aca="false">Household_Base!X$22</f>
        <v>81305.4473530331</v>
      </c>
      <c r="Y26" s="17" t="n">
        <f aca="false">Household_Base!Y$22</f>
        <v>82931.5563000937</v>
      </c>
      <c r="Z26" s="17" t="n">
        <f aca="false">Household_Base!Z$22</f>
        <v>84590.1874260956</v>
      </c>
      <c r="AA26" s="17" t="n">
        <f aca="false">Household_Base!AA$22</f>
        <v>86281.9911746175</v>
      </c>
      <c r="AB26" s="17" t="n">
        <f aca="false">Household_Base!AB$22</f>
        <v>88007.6309981099</v>
      </c>
      <c r="AC26" s="17" t="n">
        <f aca="false">Household_Base!AC$22</f>
        <v>89767.7836180721</v>
      </c>
      <c r="AD26" s="17" t="n">
        <f aca="false">Household_Base!AD$22</f>
        <v>91563.1392904335</v>
      </c>
      <c r="AE26" s="17" t="n">
        <f aca="false">Household_Base!AE$22</f>
        <v>93394.4020762422</v>
      </c>
      <c r="AF26" s="17" t="n">
        <f aca="false">Household_Base!AF$22</f>
        <v>95262.290117767</v>
      </c>
    </row>
    <row r="27" customFormat="false" ht="15" hidden="false" customHeight="true" outlineLevel="0" collapsed="false">
      <c r="B27" s="56" t="s">
        <v>527</v>
      </c>
      <c r="C27" s="17" t="n">
        <f aca="false">-Children!C$57</f>
        <v>-0</v>
      </c>
      <c r="D27" s="17" t="n">
        <f aca="false">-Children!D$57</f>
        <v>-0</v>
      </c>
      <c r="E27" s="17" t="n">
        <f aca="false">-Children!E$57</f>
        <v>-0</v>
      </c>
      <c r="F27" s="17" t="n">
        <f aca="false">-Children!F$57</f>
        <v>-0</v>
      </c>
      <c r="G27" s="17" t="n">
        <f aca="false">-Children!G$57</f>
        <v>-0</v>
      </c>
      <c r="H27" s="17" t="n">
        <f aca="false">-Children!H$57</f>
        <v>-0</v>
      </c>
      <c r="I27" s="17" t="n">
        <f aca="false">-Children!I$57</f>
        <v>-0</v>
      </c>
      <c r="J27" s="17" t="n">
        <f aca="false">-Children!J$57</f>
        <v>-0</v>
      </c>
      <c r="K27" s="17" t="n">
        <f aca="false">-Children!K$57</f>
        <v>-0</v>
      </c>
      <c r="L27" s="17" t="n">
        <f aca="false">-Children!L$57</f>
        <v>-0</v>
      </c>
      <c r="M27" s="17" t="n">
        <f aca="false">-Children!M$57</f>
        <v>-0</v>
      </c>
      <c r="N27" s="17" t="n">
        <f aca="false">-Children!N$57</f>
        <v>-0</v>
      </c>
      <c r="O27" s="17" t="n">
        <f aca="false">-Children!O$57</f>
        <v>-0</v>
      </c>
      <c r="P27" s="17" t="n">
        <f aca="false">-Children!P$57</f>
        <v>-0</v>
      </c>
      <c r="Q27" s="17" t="n">
        <f aca="false">-Children!Q$57</f>
        <v>-0</v>
      </c>
      <c r="R27" s="17" t="n">
        <f aca="false">-Children!R$57</f>
        <v>-0</v>
      </c>
      <c r="S27" s="17" t="n">
        <f aca="false">-Children!S$57</f>
        <v>-0</v>
      </c>
      <c r="T27" s="17" t="n">
        <f aca="false">-Children!T$57</f>
        <v>-0</v>
      </c>
      <c r="U27" s="17" t="n">
        <f aca="false">-Children!U$57</f>
        <v>-0</v>
      </c>
      <c r="V27" s="17" t="n">
        <f aca="false">-Children!V$57</f>
        <v>-0</v>
      </c>
      <c r="W27" s="17" t="n">
        <f aca="false">-Children!W$57</f>
        <v>-0</v>
      </c>
      <c r="X27" s="17" t="n">
        <f aca="false">-Children!X$57</f>
        <v>-0</v>
      </c>
      <c r="Y27" s="17" t="n">
        <f aca="false">-Children!Y$57</f>
        <v>-0</v>
      </c>
      <c r="Z27" s="17" t="n">
        <f aca="false">-Children!Z$57</f>
        <v>-0</v>
      </c>
      <c r="AA27" s="17" t="n">
        <f aca="false">-Children!AA$57</f>
        <v>-0</v>
      </c>
      <c r="AB27" s="17" t="n">
        <f aca="false">-Children!AB$57</f>
        <v>-0</v>
      </c>
      <c r="AC27" s="17" t="n">
        <f aca="false">-Children!AC$57</f>
        <v>-0</v>
      </c>
      <c r="AD27" s="17" t="n">
        <f aca="false">-Children!AD$57</f>
        <v>-0</v>
      </c>
      <c r="AE27" s="17" t="n">
        <f aca="false">-Children!AE$57</f>
        <v>-0</v>
      </c>
      <c r="AF27" s="17" t="n">
        <f aca="false">-Children!AF$57</f>
        <v>-0</v>
      </c>
    </row>
    <row r="28" customFormat="false" ht="15" hidden="false" customHeight="true" outlineLevel="0" collapsed="false">
      <c r="B28" s="56" t="s">
        <v>528</v>
      </c>
      <c r="C28" s="17" t="n">
        <f aca="false">Children!C$64</f>
        <v>0</v>
      </c>
      <c r="D28" s="17" t="n">
        <f aca="false">Children!D$64</f>
        <v>0</v>
      </c>
      <c r="E28" s="17" t="n">
        <f aca="false">Children!E$64</f>
        <v>0</v>
      </c>
      <c r="F28" s="17" t="n">
        <f aca="false">Children!F$64</f>
        <v>0</v>
      </c>
      <c r="G28" s="17" t="n">
        <f aca="false">Children!G$64</f>
        <v>0</v>
      </c>
      <c r="H28" s="17" t="n">
        <f aca="false">Children!H$64</f>
        <v>0</v>
      </c>
      <c r="I28" s="17" t="n">
        <f aca="false">Children!I$64</f>
        <v>0</v>
      </c>
      <c r="J28" s="17" t="n">
        <f aca="false">Children!J$64</f>
        <v>0</v>
      </c>
      <c r="K28" s="17" t="n">
        <f aca="false">Children!K$64</f>
        <v>0</v>
      </c>
      <c r="L28" s="17" t="n">
        <f aca="false">Children!L$64</f>
        <v>0</v>
      </c>
      <c r="M28" s="17" t="n">
        <f aca="false">Children!M$64</f>
        <v>0</v>
      </c>
      <c r="N28" s="17" t="n">
        <f aca="false">Children!N$64</f>
        <v>0</v>
      </c>
      <c r="O28" s="17" t="n">
        <f aca="false">Children!O$64</f>
        <v>0</v>
      </c>
      <c r="P28" s="17" t="n">
        <f aca="false">Children!P$64</f>
        <v>0</v>
      </c>
      <c r="Q28" s="17" t="n">
        <f aca="false">Children!Q$64</f>
        <v>0</v>
      </c>
      <c r="R28" s="17" t="n">
        <f aca="false">Children!R$64</f>
        <v>0</v>
      </c>
      <c r="S28" s="17" t="n">
        <f aca="false">Children!S$64</f>
        <v>0</v>
      </c>
      <c r="T28" s="17" t="n">
        <f aca="false">Children!T$64</f>
        <v>0</v>
      </c>
      <c r="U28" s="17" t="n">
        <f aca="false">Children!U$64</f>
        <v>0</v>
      </c>
      <c r="V28" s="17" t="n">
        <f aca="false">Children!V$64</f>
        <v>0</v>
      </c>
      <c r="W28" s="17" t="n">
        <f aca="false">Children!W$64</f>
        <v>0</v>
      </c>
      <c r="X28" s="17" t="n">
        <f aca="false">Children!X$64</f>
        <v>0</v>
      </c>
      <c r="Y28" s="17" t="n">
        <f aca="false">Children!Y$64</f>
        <v>0</v>
      </c>
      <c r="Z28" s="17" t="n">
        <f aca="false">Children!Z$64</f>
        <v>0</v>
      </c>
      <c r="AA28" s="17" t="n">
        <f aca="false">Children!AA$64</f>
        <v>0</v>
      </c>
      <c r="AB28" s="17" t="n">
        <f aca="false">Children!AB$64</f>
        <v>0</v>
      </c>
      <c r="AC28" s="17" t="n">
        <f aca="false">Children!AC$64</f>
        <v>0</v>
      </c>
      <c r="AD28" s="17" t="n">
        <f aca="false">Children!AD$64</f>
        <v>0</v>
      </c>
      <c r="AE28" s="17" t="n">
        <f aca="false">Children!AE$64</f>
        <v>0</v>
      </c>
      <c r="AF28" s="17" t="n">
        <f aca="false">Children!AF$64</f>
        <v>0</v>
      </c>
    </row>
    <row r="29" customFormat="false" ht="15" hidden="false" customHeight="true" outlineLevel="0" collapsed="false">
      <c r="B29" s="56" t="s">
        <v>529</v>
      </c>
      <c r="C29" s="17" t="n">
        <f aca="false">Children!C$61</f>
        <v>0</v>
      </c>
      <c r="D29" s="17" t="n">
        <f aca="false">Children!D$61</f>
        <v>0</v>
      </c>
      <c r="E29" s="17" t="n">
        <f aca="false">Children!E$61</f>
        <v>11681.28</v>
      </c>
      <c r="F29" s="17" t="n">
        <f aca="false">Children!F$61</f>
        <v>35744.7168</v>
      </c>
      <c r="G29" s="17" t="n">
        <f aca="false">Children!G$61</f>
        <v>36459.611136</v>
      </c>
      <c r="H29" s="17" t="n">
        <f aca="false">Children!H$61</f>
        <v>24792.53557248</v>
      </c>
      <c r="I29" s="17" t="n">
        <f aca="false">Children!I$61</f>
        <v>0</v>
      </c>
      <c r="J29" s="17" t="n">
        <f aca="false">Children!J$61</f>
        <v>0</v>
      </c>
      <c r="K29" s="17" t="n">
        <f aca="false">Children!K$61</f>
        <v>0</v>
      </c>
      <c r="L29" s="17" t="n">
        <f aca="false">Children!L$61</f>
        <v>0</v>
      </c>
      <c r="M29" s="17" t="n">
        <f aca="false">Children!M$61</f>
        <v>0</v>
      </c>
      <c r="N29" s="17" t="n">
        <f aca="false">Children!N$61</f>
        <v>0</v>
      </c>
      <c r="O29" s="17" t="n">
        <f aca="false">Children!O$61</f>
        <v>0</v>
      </c>
      <c r="P29" s="17" t="n">
        <f aca="false">Children!P$61</f>
        <v>0</v>
      </c>
      <c r="Q29" s="17" t="n">
        <f aca="false">Children!Q$61</f>
        <v>0</v>
      </c>
      <c r="R29" s="17" t="n">
        <f aca="false">Children!R$61</f>
        <v>0</v>
      </c>
      <c r="S29" s="17" t="n">
        <f aca="false">Children!S$61</f>
        <v>0</v>
      </c>
      <c r="T29" s="17" t="n">
        <f aca="false">Children!T$61</f>
        <v>0</v>
      </c>
      <c r="U29" s="17" t="n">
        <f aca="false">Children!U$61</f>
        <v>0</v>
      </c>
      <c r="V29" s="17" t="n">
        <f aca="false">Children!V$61</f>
        <v>0</v>
      </c>
      <c r="W29" s="17" t="n">
        <f aca="false">Children!W$61</f>
        <v>0</v>
      </c>
      <c r="X29" s="17" t="n">
        <f aca="false">Children!X$61</f>
        <v>0</v>
      </c>
      <c r="Y29" s="17" t="n">
        <f aca="false">Children!Y$61</f>
        <v>0</v>
      </c>
      <c r="Z29" s="17" t="n">
        <f aca="false">Children!Z$61</f>
        <v>0</v>
      </c>
      <c r="AA29" s="17" t="n">
        <f aca="false">Children!AA$61</f>
        <v>0</v>
      </c>
      <c r="AB29" s="17" t="n">
        <f aca="false">Children!AB$61</f>
        <v>0</v>
      </c>
      <c r="AC29" s="17" t="n">
        <f aca="false">Children!AC$61</f>
        <v>0</v>
      </c>
      <c r="AD29" s="17" t="n">
        <f aca="false">Children!AD$61</f>
        <v>0</v>
      </c>
      <c r="AE29" s="17" t="n">
        <f aca="false">Children!AE$61</f>
        <v>0</v>
      </c>
      <c r="AF29" s="17" t="n">
        <f aca="false">Children!AF$61</f>
        <v>0</v>
      </c>
    </row>
    <row r="30" customFormat="false" ht="15" hidden="false" customHeight="true" outlineLevel="0" collapsed="false">
      <c r="B30" s="56" t="s">
        <v>530</v>
      </c>
      <c r="C30" s="17" t="n">
        <f aca="false">Children!C$62</f>
        <v>0</v>
      </c>
      <c r="D30" s="17" t="n">
        <f aca="false">Children!D$62</f>
        <v>3120</v>
      </c>
      <c r="E30" s="17" t="n">
        <f aca="false">Children!E$62</f>
        <v>6489.6</v>
      </c>
      <c r="F30" s="17" t="n">
        <f aca="false">Children!F$62</f>
        <v>6619.392</v>
      </c>
      <c r="G30" s="17" t="n">
        <f aca="false">Children!G$62</f>
        <v>6751.77984</v>
      </c>
      <c r="H30" s="17" t="n">
        <f aca="false">Children!H$62</f>
        <v>6886.8154368</v>
      </c>
      <c r="I30" s="17" t="n">
        <f aca="false">Children!I$62</f>
        <v>7024.551745536</v>
      </c>
      <c r="J30" s="17" t="n">
        <f aca="false">Children!J$62</f>
        <v>7165.04278044672</v>
      </c>
      <c r="K30" s="17" t="n">
        <f aca="false">Children!K$62</f>
        <v>7308.34363605566</v>
      </c>
      <c r="L30" s="17" t="n">
        <f aca="false">Children!L$62</f>
        <v>7454.51050877677</v>
      </c>
      <c r="M30" s="17" t="n">
        <f aca="false">Children!M$62</f>
        <v>7603.60071895231</v>
      </c>
      <c r="N30" s="17" t="n">
        <f aca="false">Children!N$62</f>
        <v>7755.67273333135</v>
      </c>
      <c r="O30" s="17" t="n">
        <f aca="false">Children!O$62</f>
        <v>7910.78618799798</v>
      </c>
      <c r="P30" s="17" t="n">
        <f aca="false">Children!P$62</f>
        <v>8069.00191175794</v>
      </c>
      <c r="Q30" s="17" t="n">
        <f aca="false">Children!Q$62</f>
        <v>8230.3819499931</v>
      </c>
      <c r="R30" s="17" t="n">
        <f aca="false">Children!R$62</f>
        <v>8394.98958899296</v>
      </c>
      <c r="S30" s="17" t="n">
        <f aca="false">Children!S$62</f>
        <v>8562.88938077282</v>
      </c>
      <c r="T30" s="17" t="n">
        <f aca="false">Children!T$62</f>
        <v>8734.14716838827</v>
      </c>
      <c r="U30" s="17" t="n">
        <f aca="false">Children!U$62</f>
        <v>8908.83011175604</v>
      </c>
      <c r="V30" s="17" t="n">
        <f aca="false">Children!V$62</f>
        <v>9087.00671399116</v>
      </c>
      <c r="W30" s="17" t="n">
        <f aca="false">Children!W$62</f>
        <v>9268.74684827099</v>
      </c>
      <c r="X30" s="17" t="n">
        <f aca="false">Children!X$62</f>
        <v>9454.1217852364</v>
      </c>
      <c r="Y30" s="17" t="n">
        <f aca="false">Children!Y$62</f>
        <v>9643.20422094113</v>
      </c>
      <c r="Z30" s="17" t="n">
        <f aca="false">Children!Z$62</f>
        <v>9836.06830535996</v>
      </c>
      <c r="AA30" s="17" t="n">
        <f aca="false">Children!AA$62</f>
        <v>10032.7896714672</v>
      </c>
      <c r="AB30" s="17" t="n">
        <f aca="false">Children!AB$62</f>
        <v>10233.4454648965</v>
      </c>
      <c r="AC30" s="17" t="n">
        <f aca="false">Children!AC$62</f>
        <v>10438.1143741944</v>
      </c>
      <c r="AD30" s="17" t="n">
        <f aca="false">Children!AD$62</f>
        <v>10646.8766616783</v>
      </c>
      <c r="AE30" s="17" t="n">
        <f aca="false">Children!AE$62</f>
        <v>10859.8141949119</v>
      </c>
      <c r="AF30" s="17" t="n">
        <f aca="false">Children!AF$62</f>
        <v>11077.0104788101</v>
      </c>
    </row>
    <row r="31" customFormat="false" ht="15" hidden="false" customHeight="true" outlineLevel="0" collapsed="false">
      <c r="B31" s="16" t="s">
        <v>531</v>
      </c>
      <c r="C31" s="59" t="n">
        <f aca="false">SUM(C26:C30)</f>
        <v>125400</v>
      </c>
      <c r="D31" s="59" t="n">
        <f aca="false">SUM(D26:D30)</f>
        <v>133536</v>
      </c>
      <c r="E31" s="59" t="n">
        <f aca="false">SUM(E26:E30)</f>
        <v>142122.24</v>
      </c>
      <c r="F31" s="59" t="n">
        <f aca="false">SUM(F26:F30)</f>
        <v>144964.6848</v>
      </c>
      <c r="G31" s="59" t="n">
        <f aca="false">SUM(G26:G30)</f>
        <v>147863.978496</v>
      </c>
      <c r="H31" s="59" t="n">
        <f aca="false">SUM(H26:H30)</f>
        <v>138424.99027968</v>
      </c>
      <c r="I31" s="59" t="n">
        <f aca="false">SUM(I26:I30)</f>
        <v>115905.103801344</v>
      </c>
      <c r="J31" s="59" t="n">
        <f aca="false">SUM(J26:J30)</f>
        <v>118223.205877371</v>
      </c>
      <c r="K31" s="59" t="n">
        <f aca="false">SUM(K26:K30)</f>
        <v>98662.6390867514</v>
      </c>
      <c r="L31" s="59" t="n">
        <f aca="false">SUM(L26:L30)</f>
        <v>100635.891868486</v>
      </c>
      <c r="M31" s="59" t="n">
        <f aca="false">SUM(M26:M30)</f>
        <v>102648.609705856</v>
      </c>
      <c r="N31" s="59" t="n">
        <f aca="false">SUM(N26:N30)</f>
        <v>104701.581899973</v>
      </c>
      <c r="O31" s="59" t="n">
        <f aca="false">SUM(O26:O30)</f>
        <v>106795.613537973</v>
      </c>
      <c r="P31" s="59" t="n">
        <f aca="false">SUM(P26:P30)</f>
        <v>108931.525808732</v>
      </c>
      <c r="Q31" s="59" t="n">
        <f aca="false">SUM(Q26:Q30)</f>
        <v>111110.156324907</v>
      </c>
      <c r="R31" s="59" t="n">
        <f aca="false">SUM(R26:R30)</f>
        <v>113332.359451405</v>
      </c>
      <c r="S31" s="59" t="n">
        <f aca="false">SUM(S26:S30)</f>
        <v>115599.006640433</v>
      </c>
      <c r="T31" s="59" t="n">
        <f aca="false">SUM(T26:T30)</f>
        <v>117910.986773242</v>
      </c>
      <c r="U31" s="59" t="n">
        <f aca="false">SUM(U26:U30)</f>
        <v>120269.206508707</v>
      </c>
      <c r="V31" s="59" t="n">
        <f aca="false">SUM(V26:V30)</f>
        <v>87235.2644543151</v>
      </c>
      <c r="W31" s="59" t="n">
        <f aca="false">SUM(W26:W30)</f>
        <v>88979.9697434015</v>
      </c>
      <c r="X31" s="59" t="n">
        <f aca="false">SUM(X26:X30)</f>
        <v>90759.5691382695</v>
      </c>
      <c r="Y31" s="59" t="n">
        <f aca="false">SUM(Y26:Y30)</f>
        <v>92574.7605210349</v>
      </c>
      <c r="Z31" s="59" t="n">
        <f aca="false">SUM(Z26:Z30)</f>
        <v>94426.2557314556</v>
      </c>
      <c r="AA31" s="59" t="n">
        <f aca="false">SUM(AA26:AA30)</f>
        <v>96314.7808460847</v>
      </c>
      <c r="AB31" s="59" t="n">
        <f aca="false">SUM(AB26:AB30)</f>
        <v>98241.0764630064</v>
      </c>
      <c r="AC31" s="59" t="n">
        <f aca="false">SUM(AC26:AC30)</f>
        <v>100205.897992267</v>
      </c>
      <c r="AD31" s="59" t="n">
        <f aca="false">SUM(AD26:AD30)</f>
        <v>102210.015952112</v>
      </c>
      <c r="AE31" s="59" t="n">
        <f aca="false">SUM(AE26:AE30)</f>
        <v>104254.216271154</v>
      </c>
      <c r="AF31" s="59" t="n">
        <f aca="false">SUM(AF26:AF30)</f>
        <v>106339.300596577</v>
      </c>
    </row>
    <row r="32" customFormat="false" ht="15" hidden="false" customHeight="true" outlineLevel="0" collapsed="false">
      <c r="B32" s="56" t="s">
        <v>532</v>
      </c>
      <c r="C32" s="20" t="n">
        <f aca="false">C31/C6</f>
        <v>125400</v>
      </c>
      <c r="D32" s="20" t="n">
        <f aca="false">D31/D6</f>
        <v>128400</v>
      </c>
      <c r="E32" s="20" t="n">
        <f aca="false">E31/E6</f>
        <v>131400</v>
      </c>
      <c r="F32" s="20" t="n">
        <f aca="false">F31/F6</f>
        <v>131400</v>
      </c>
      <c r="G32" s="20" t="n">
        <f aca="false">G31/G6</f>
        <v>131400</v>
      </c>
      <c r="H32" s="20" t="n">
        <f aca="false">H31/H6</f>
        <v>120600</v>
      </c>
      <c r="I32" s="20" t="n">
        <f aca="false">I31/I6</f>
        <v>99000</v>
      </c>
      <c r="J32" s="20" t="n">
        <f aca="false">J31/J6</f>
        <v>99000</v>
      </c>
      <c r="K32" s="20" t="n">
        <f aca="false">K31/K6</f>
        <v>81000</v>
      </c>
      <c r="L32" s="20" t="n">
        <f aca="false">L31/L6</f>
        <v>81000</v>
      </c>
      <c r="M32" s="20" t="n">
        <f aca="false">M31/M6</f>
        <v>81000</v>
      </c>
      <c r="N32" s="20" t="n">
        <f aca="false">N31/N6</f>
        <v>81000</v>
      </c>
      <c r="O32" s="20" t="n">
        <f aca="false">O31/O6</f>
        <v>81000</v>
      </c>
      <c r="P32" s="20" t="n">
        <f aca="false">P31/P6</f>
        <v>81000</v>
      </c>
      <c r="Q32" s="20" t="n">
        <f aca="false">Q31/Q6</f>
        <v>81000</v>
      </c>
      <c r="R32" s="20" t="n">
        <f aca="false">R31/R6</f>
        <v>81000</v>
      </c>
      <c r="S32" s="20" t="n">
        <f aca="false">S31/S6</f>
        <v>81000</v>
      </c>
      <c r="T32" s="20" t="n">
        <f aca="false">T31/T6</f>
        <v>81000</v>
      </c>
      <c r="U32" s="20" t="n">
        <f aca="false">U31/U6</f>
        <v>81000</v>
      </c>
      <c r="V32" s="20" t="n">
        <f aca="false">V31/V6</f>
        <v>57600</v>
      </c>
      <c r="W32" s="20" t="n">
        <f aca="false">W31/W6</f>
        <v>57600</v>
      </c>
      <c r="X32" s="20" t="n">
        <f aca="false">X31/X6</f>
        <v>57600</v>
      </c>
      <c r="Y32" s="20" t="n">
        <f aca="false">Y31/Y6</f>
        <v>57600</v>
      </c>
      <c r="Z32" s="20" t="n">
        <f aca="false">Z31/Z6</f>
        <v>57600</v>
      </c>
      <c r="AA32" s="20" t="n">
        <f aca="false">AA31/AA6</f>
        <v>57600</v>
      </c>
      <c r="AB32" s="20" t="n">
        <f aca="false">AB31/AB6</f>
        <v>57600</v>
      </c>
      <c r="AC32" s="20" t="n">
        <f aca="false">AC31/AC6</f>
        <v>57600</v>
      </c>
      <c r="AD32" s="20" t="n">
        <f aca="false">AD31/AD6</f>
        <v>57600</v>
      </c>
      <c r="AE32" s="20" t="n">
        <f aca="false">AE31/AE6</f>
        <v>57600</v>
      </c>
      <c r="AF32" s="20" t="n">
        <f aca="false">AF31/AF6</f>
        <v>57600</v>
      </c>
    </row>
    <row r="33" customFormat="false" ht="15" hidden="false" customHeight="true" outlineLevel="0" collapsed="false">
      <c r="B33" s="56" t="s">
        <v>533</v>
      </c>
      <c r="C33" s="17" t="n">
        <f aca="false">Household_Base!C$24</f>
        <v>75000</v>
      </c>
      <c r="D33" s="17" t="n">
        <f aca="false">Household_Base!D$24</f>
        <v>78000</v>
      </c>
      <c r="E33" s="17" t="n">
        <f aca="false">Household_Base!E$24</f>
        <v>81120</v>
      </c>
      <c r="F33" s="17" t="n">
        <f aca="false">Household_Base!F$24</f>
        <v>82742.4</v>
      </c>
      <c r="G33" s="17" t="n">
        <f aca="false">Household_Base!G$24</f>
        <v>84397.248</v>
      </c>
      <c r="H33" s="17" t="n">
        <f aca="false">Household_Base!H$24</f>
        <v>86085.19296</v>
      </c>
      <c r="I33" s="17" t="n">
        <f aca="false">Household_Base!I$24</f>
        <v>87806.8968192</v>
      </c>
      <c r="J33" s="17" t="n">
        <f aca="false">Household_Base!J$24</f>
        <v>89563.034755584</v>
      </c>
      <c r="K33" s="17" t="n">
        <f aca="false">Household_Base!K$24</f>
        <v>91354.2954506957</v>
      </c>
      <c r="L33" s="17" t="n">
        <f aca="false">Household_Base!L$24</f>
        <v>93181.3813597096</v>
      </c>
      <c r="M33" s="17" t="n">
        <f aca="false">Household_Base!M$24</f>
        <v>95045.0089869038</v>
      </c>
      <c r="N33" s="17" t="n">
        <f aca="false">Household_Base!N$24</f>
        <v>96945.9091666419</v>
      </c>
      <c r="O33" s="17" t="n">
        <f aca="false">Household_Base!O$24</f>
        <v>98884.8273499747</v>
      </c>
      <c r="P33" s="17" t="n">
        <f aca="false">Household_Base!P$24</f>
        <v>100862.523896974</v>
      </c>
      <c r="Q33" s="17" t="n">
        <f aca="false">Household_Base!Q$24</f>
        <v>102879.774374914</v>
      </c>
      <c r="R33" s="17" t="n">
        <f aca="false">Household_Base!R$24</f>
        <v>104937.369862412</v>
      </c>
      <c r="S33" s="17" t="n">
        <f aca="false">Household_Base!S$24</f>
        <v>107036.11725966</v>
      </c>
      <c r="T33" s="17" t="n">
        <f aca="false">Household_Base!T$24</f>
        <v>109176.839604853</v>
      </c>
      <c r="U33" s="17" t="n">
        <f aca="false">Household_Base!U$24</f>
        <v>111360.376396951</v>
      </c>
      <c r="V33" s="17" t="n">
        <f aca="false">Household_Base!V$24</f>
        <v>78148.257740324</v>
      </c>
      <c r="W33" s="17" t="n">
        <f aca="false">Household_Base!W$24</f>
        <v>79711.2228951305</v>
      </c>
      <c r="X33" s="17" t="n">
        <f aca="false">Household_Base!X$24</f>
        <v>81305.4473530331</v>
      </c>
      <c r="Y33" s="17" t="n">
        <f aca="false">Household_Base!Y$24</f>
        <v>82931.5563000937</v>
      </c>
      <c r="Z33" s="17" t="n">
        <f aca="false">Household_Base!Z$24</f>
        <v>84590.1874260956</v>
      </c>
      <c r="AA33" s="17" t="n">
        <f aca="false">Household_Base!AA$24</f>
        <v>86281.9911746175</v>
      </c>
      <c r="AB33" s="17" t="n">
        <f aca="false">Household_Base!AB$24</f>
        <v>88007.6309981099</v>
      </c>
      <c r="AC33" s="17" t="n">
        <f aca="false">Household_Base!AC$24</f>
        <v>89767.7836180721</v>
      </c>
      <c r="AD33" s="17" t="n">
        <f aca="false">Household_Base!AD$24</f>
        <v>91563.1392904335</v>
      </c>
      <c r="AE33" s="17" t="n">
        <f aca="false">Household_Base!AE$24</f>
        <v>93394.4020762422</v>
      </c>
      <c r="AF33" s="17" t="n">
        <f aca="false">Household_Base!AF$24</f>
        <v>95262.290117767</v>
      </c>
    </row>
    <row r="34" customFormat="false" ht="15" hidden="false" customHeight="true" outlineLevel="0" collapsed="false">
      <c r="A34" s="30" t="s">
        <v>534</v>
      </c>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row>
    <row r="35" customFormat="false" ht="15" hidden="false" customHeight="true" outlineLevel="0" collapsed="false">
      <c r="B35" s="6" t="s">
        <v>535</v>
      </c>
      <c r="C35" s="17" t="n">
        <f aca="false">Children!C$63</f>
        <v>18000</v>
      </c>
      <c r="D35" s="17" t="n">
        <f aca="false">Children!D$63</f>
        <v>18000</v>
      </c>
      <c r="E35" s="17" t="n">
        <f aca="false">Children!E$63</f>
        <v>27000</v>
      </c>
      <c r="F35" s="17" t="n">
        <f aca="false">Children!F$63</f>
        <v>27000</v>
      </c>
      <c r="G35" s="17" t="n">
        <f aca="false">Children!G$63</f>
        <v>18000</v>
      </c>
      <c r="H35" s="17" t="n">
        <f aca="false">Children!H$63</f>
        <v>18000</v>
      </c>
      <c r="I35" s="17" t="n">
        <f aca="false">Children!I$63</f>
        <v>9000</v>
      </c>
      <c r="J35" s="17" t="n">
        <f aca="false">Children!J$63</f>
        <v>9000</v>
      </c>
      <c r="K35" s="17" t="n">
        <f aca="false">Children!K$63</f>
        <v>0</v>
      </c>
      <c r="L35" s="17" t="n">
        <f aca="false">Children!L$63</f>
        <v>0</v>
      </c>
      <c r="M35" s="17" t="n">
        <f aca="false">Children!M$63</f>
        <v>0</v>
      </c>
      <c r="N35" s="17" t="n">
        <f aca="false">Children!N$63</f>
        <v>0</v>
      </c>
      <c r="O35" s="17" t="n">
        <f aca="false">Children!O$63</f>
        <v>0</v>
      </c>
      <c r="P35" s="17" t="n">
        <f aca="false">Children!P$63</f>
        <v>0</v>
      </c>
      <c r="Q35" s="17" t="n">
        <f aca="false">Children!Q$63</f>
        <v>0</v>
      </c>
      <c r="R35" s="17" t="n">
        <f aca="false">Children!R$63</f>
        <v>0</v>
      </c>
      <c r="S35" s="17" t="n">
        <f aca="false">Children!S$63</f>
        <v>0</v>
      </c>
      <c r="T35" s="17" t="n">
        <f aca="false">Children!T$63</f>
        <v>0</v>
      </c>
      <c r="U35" s="17" t="n">
        <f aca="false">Children!U$63</f>
        <v>0</v>
      </c>
      <c r="V35" s="17" t="n">
        <f aca="false">Children!V$63</f>
        <v>0</v>
      </c>
      <c r="W35" s="17" t="n">
        <f aca="false">Children!W$63</f>
        <v>0</v>
      </c>
      <c r="X35" s="17" t="n">
        <f aca="false">Children!X$63</f>
        <v>0</v>
      </c>
      <c r="Y35" s="17" t="n">
        <f aca="false">Children!Y$63</f>
        <v>0</v>
      </c>
      <c r="Z35" s="17" t="n">
        <f aca="false">Children!Z$63</f>
        <v>0</v>
      </c>
      <c r="AA35" s="17" t="n">
        <f aca="false">Children!AA$63</f>
        <v>0</v>
      </c>
      <c r="AB35" s="17" t="n">
        <f aca="false">Children!AB$63</f>
        <v>0</v>
      </c>
      <c r="AC35" s="17" t="n">
        <f aca="false">Children!AC$63</f>
        <v>0</v>
      </c>
      <c r="AD35" s="17" t="n">
        <f aca="false">Children!AD$63</f>
        <v>0</v>
      </c>
      <c r="AE35" s="17" t="n">
        <f aca="false">Children!AE$63</f>
        <v>0</v>
      </c>
      <c r="AF35" s="17" t="n">
        <f aca="false">Children!AF$63</f>
        <v>0</v>
      </c>
    </row>
    <row r="36" customFormat="false" ht="15" hidden="false" customHeight="true" outlineLevel="0" collapsed="false">
      <c r="B36" s="16" t="s">
        <v>433</v>
      </c>
      <c r="C36" s="59" t="n">
        <f aca="false">C24-C31-C35</f>
        <v>58542.8</v>
      </c>
      <c r="D36" s="59" t="n">
        <f aca="false">D24-D31-D35</f>
        <v>39608.6</v>
      </c>
      <c r="E36" s="59" t="n">
        <f aca="false">E24-E31-E35</f>
        <v>28520.652</v>
      </c>
      <c r="F36" s="59" t="n">
        <f aca="false">F24-F31-F35</f>
        <v>46053.35904</v>
      </c>
      <c r="G36" s="59" t="n">
        <f aca="false">G24-G31-G35</f>
        <v>56042.9702208</v>
      </c>
      <c r="H36" s="59" t="n">
        <f aca="false">H24-H31-H35</f>
        <v>69920.097411456</v>
      </c>
      <c r="I36" s="59" t="n">
        <f aca="false">I24-I31-I35</f>
        <v>105966.885643615</v>
      </c>
      <c r="J36" s="59" t="n">
        <f aca="false">J24-J31-J35</f>
        <v>108266.223356487</v>
      </c>
      <c r="K36" s="59" t="n">
        <f aca="false">K24-K31-K35</f>
        <v>141536.578731784</v>
      </c>
      <c r="L36" s="59" t="n">
        <f aca="false">L24-L31-L35</f>
        <v>144367.310306419</v>
      </c>
      <c r="M36" s="59" t="n">
        <f aca="false">M24-M31-M35</f>
        <v>147254.656512548</v>
      </c>
      <c r="N36" s="59" t="n">
        <f aca="false">N24-N31-N35</f>
        <v>150199.749642799</v>
      </c>
      <c r="O36" s="59" t="n">
        <f aca="false">O24-O31-O35</f>
        <v>153203.744635655</v>
      </c>
      <c r="P36" s="59" t="n">
        <f aca="false">P24-P31-P35</f>
        <v>156267.819528368</v>
      </c>
      <c r="Q36" s="59" t="n">
        <f aca="false">Q24-Q31-Q35</f>
        <v>159393.175918935</v>
      </c>
      <c r="R36" s="59" t="n">
        <f aca="false">R24-R31-R35</f>
        <v>162581.039437314</v>
      </c>
      <c r="S36" s="59" t="n">
        <f aca="false">S24-S31-S35</f>
        <v>165832.66022606</v>
      </c>
      <c r="T36" s="59" t="n">
        <f aca="false">T24-T31-T35</f>
        <v>169149.313430581</v>
      </c>
      <c r="U36" s="59" t="n">
        <f aca="false">U24-U31-U35</f>
        <v>172532.299699193</v>
      </c>
      <c r="V36" s="59" t="n">
        <f aca="false">V24-V31-V35</f>
        <v>211422.271877742</v>
      </c>
      <c r="W36" s="59" t="n">
        <f aca="false">W24-W31-W35</f>
        <v>215650.717315297</v>
      </c>
      <c r="X36" s="59" t="n">
        <f aca="false">X24-X31-X35</f>
        <v>219963.731661603</v>
      </c>
      <c r="Y36" s="59" t="n">
        <f aca="false">Y24-Y31-Y35</f>
        <v>224363.006294835</v>
      </c>
      <c r="Z36" s="59" t="n">
        <f aca="false">Z24-Z31-Z35</f>
        <v>228850.266420732</v>
      </c>
      <c r="AA36" s="59" t="n">
        <f aca="false">AA24-AA31-AA35</f>
        <v>233427.271749147</v>
      </c>
      <c r="AB36" s="59" t="n">
        <f aca="false">AB24-AB31-AB35</f>
        <v>238095.81718413</v>
      </c>
      <c r="AC36" s="59" t="n">
        <f aca="false">AC24-AC31-AC35</f>
        <v>242857.733527812</v>
      </c>
      <c r="AD36" s="59" t="n">
        <f aca="false">AD24-AD31-AD35</f>
        <v>247714.888198368</v>
      </c>
      <c r="AE36" s="59" t="n">
        <f aca="false">AE24-AE31-AE35</f>
        <v>252669.185962336</v>
      </c>
      <c r="AF36" s="59" t="n">
        <f aca="false">AF24-AF31-AF35</f>
        <v>257722.569681583</v>
      </c>
    </row>
    <row r="37" customFormat="false" ht="15" hidden="false" customHeight="true" outlineLevel="0" collapsed="false">
      <c r="B37" s="16" t="s">
        <v>434</v>
      </c>
      <c r="C37" s="63" t="n">
        <f aca="false">IF(C36&lt;0,1,0)</f>
        <v>0</v>
      </c>
      <c r="D37" s="63" t="n">
        <f aca="false">IF(D36&lt;0,1,0)</f>
        <v>0</v>
      </c>
      <c r="E37" s="63" t="n">
        <f aca="false">IF(E36&lt;0,1,0)</f>
        <v>0</v>
      </c>
      <c r="F37" s="63" t="n">
        <f aca="false">IF(F36&lt;0,1,0)</f>
        <v>0</v>
      </c>
      <c r="G37" s="63" t="n">
        <f aca="false">IF(G36&lt;0,1,0)</f>
        <v>0</v>
      </c>
      <c r="H37" s="63" t="n">
        <f aca="false">IF(H36&lt;0,1,0)</f>
        <v>0</v>
      </c>
      <c r="I37" s="63" t="n">
        <f aca="false">IF(I36&lt;0,1,0)</f>
        <v>0</v>
      </c>
      <c r="J37" s="63" t="n">
        <f aca="false">IF(J36&lt;0,1,0)</f>
        <v>0</v>
      </c>
      <c r="K37" s="63" t="n">
        <f aca="false">IF(K36&lt;0,1,0)</f>
        <v>0</v>
      </c>
      <c r="L37" s="63" t="n">
        <f aca="false">IF(L36&lt;0,1,0)</f>
        <v>0</v>
      </c>
      <c r="M37" s="63" t="n">
        <f aca="false">IF(M36&lt;0,1,0)</f>
        <v>0</v>
      </c>
      <c r="N37" s="63" t="n">
        <f aca="false">IF(N36&lt;0,1,0)</f>
        <v>0</v>
      </c>
      <c r="O37" s="63" t="n">
        <f aca="false">IF(O36&lt;0,1,0)</f>
        <v>0</v>
      </c>
      <c r="P37" s="63" t="n">
        <f aca="false">IF(P36&lt;0,1,0)</f>
        <v>0</v>
      </c>
      <c r="Q37" s="63" t="n">
        <f aca="false">IF(Q36&lt;0,1,0)</f>
        <v>0</v>
      </c>
      <c r="R37" s="63" t="n">
        <f aca="false">IF(R36&lt;0,1,0)</f>
        <v>0</v>
      </c>
      <c r="S37" s="63" t="n">
        <f aca="false">IF(S36&lt;0,1,0)</f>
        <v>0</v>
      </c>
      <c r="T37" s="63" t="n">
        <f aca="false">IF(T36&lt;0,1,0)</f>
        <v>0</v>
      </c>
      <c r="U37" s="63" t="n">
        <f aca="false">IF(U36&lt;0,1,0)</f>
        <v>0</v>
      </c>
      <c r="V37" s="63" t="n">
        <f aca="false">IF(V36&lt;0,1,0)</f>
        <v>0</v>
      </c>
      <c r="W37" s="63" t="n">
        <f aca="false">IF(W36&lt;0,1,0)</f>
        <v>0</v>
      </c>
      <c r="X37" s="63" t="n">
        <f aca="false">IF(X36&lt;0,1,0)</f>
        <v>0</v>
      </c>
      <c r="Y37" s="63" t="n">
        <f aca="false">IF(Y36&lt;0,1,0)</f>
        <v>0</v>
      </c>
      <c r="Z37" s="63" t="n">
        <f aca="false">IF(Z36&lt;0,1,0)</f>
        <v>0</v>
      </c>
      <c r="AA37" s="63" t="n">
        <f aca="false">IF(AA36&lt;0,1,0)</f>
        <v>0</v>
      </c>
      <c r="AB37" s="63" t="n">
        <f aca="false">IF(AB36&lt;0,1,0)</f>
        <v>0</v>
      </c>
      <c r="AC37" s="63" t="n">
        <f aca="false">IF(AC36&lt;0,1,0)</f>
        <v>0</v>
      </c>
      <c r="AD37" s="63" t="n">
        <f aca="false">IF(AD36&lt;0,1,0)</f>
        <v>0</v>
      </c>
      <c r="AE37" s="63" t="n">
        <f aca="false">IF(AE36&lt;0,1,0)</f>
        <v>0</v>
      </c>
      <c r="AF37" s="63" t="n">
        <f aca="false">IF(AF36&lt;0,1,0)</f>
        <v>0</v>
      </c>
    </row>
    <row r="38" customFormat="false" ht="15" hidden="false" customHeight="true" outlineLevel="0" collapsed="false">
      <c r="B38" s="56" t="s">
        <v>437</v>
      </c>
      <c r="C38" s="20" t="n">
        <f aca="false">C15+C23</f>
        <v>67800</v>
      </c>
      <c r="D38" s="20" t="n">
        <f aca="false">D15+D23</f>
        <v>64452</v>
      </c>
      <c r="E38" s="20" t="n">
        <f aca="false">E15+E23</f>
        <v>62230.08</v>
      </c>
      <c r="F38" s="20" t="n">
        <f aca="false">F15+F23</f>
        <v>61074.6816</v>
      </c>
      <c r="G38" s="20" t="n">
        <f aca="false">G15+G23</f>
        <v>59896.175232</v>
      </c>
      <c r="H38" s="20" t="n">
        <f aca="false">H15+H23</f>
        <v>61094.09873664</v>
      </c>
      <c r="I38" s="20" t="n">
        <f aca="false">I15+I23</f>
        <v>62315.9807113728</v>
      </c>
      <c r="J38" s="20" t="n">
        <f aca="false">J15+J23</f>
        <v>63562.3003256002</v>
      </c>
      <c r="K38" s="20" t="n">
        <f aca="false">K15+K23</f>
        <v>64833.5463321122</v>
      </c>
      <c r="L38" s="20" t="n">
        <f aca="false">L15+L23</f>
        <v>66130.2172587545</v>
      </c>
      <c r="M38" s="20" t="n">
        <f aca="false">M15+M23</f>
        <v>67452.8216039296</v>
      </c>
      <c r="N38" s="20" t="n">
        <f aca="false">N15+N23</f>
        <v>68801.8780360082</v>
      </c>
      <c r="O38" s="20" t="n">
        <f aca="false">O15+O23</f>
        <v>70177.9155967284</v>
      </c>
      <c r="P38" s="20" t="n">
        <f aca="false">P15+P23</f>
        <v>71581.4739086629</v>
      </c>
      <c r="Q38" s="20" t="n">
        <f aca="false">Q15+Q23</f>
        <v>73013.1033868362</v>
      </c>
      <c r="R38" s="20" t="n">
        <f aca="false">R15+R23</f>
        <v>74473.3654545729</v>
      </c>
      <c r="S38" s="20" t="n">
        <f aca="false">S15+S23</f>
        <v>75962.8327636644</v>
      </c>
      <c r="T38" s="20" t="n">
        <f aca="false">T15+T23</f>
        <v>77482.0894189376</v>
      </c>
      <c r="U38" s="20" t="n">
        <f aca="false">U15+U23</f>
        <v>79031.7312073164</v>
      </c>
      <c r="V38" s="20" t="n">
        <f aca="false">V15+V23</f>
        <v>80612.3658314627</v>
      </c>
      <c r="W38" s="20" t="n">
        <f aca="false">W15+W23</f>
        <v>82224.613148092</v>
      </c>
      <c r="X38" s="20" t="n">
        <f aca="false">X15+X23</f>
        <v>83869.1054110538</v>
      </c>
      <c r="Y38" s="20" t="n">
        <f aca="false">Y15+Y23</f>
        <v>85546.4875192749</v>
      </c>
      <c r="Z38" s="20" t="n">
        <f aca="false">Z15+Z23</f>
        <v>87257.4172696604</v>
      </c>
      <c r="AA38" s="20" t="n">
        <f aca="false">AA15+AA23</f>
        <v>89002.5656150536</v>
      </c>
      <c r="AB38" s="20" t="n">
        <f aca="false">AB15+AB23</f>
        <v>90782.6169273547</v>
      </c>
      <c r="AC38" s="20" t="n">
        <f aca="false">AC15+AC23</f>
        <v>92598.2692659018</v>
      </c>
      <c r="AD38" s="20" t="n">
        <f aca="false">AD15+AD23</f>
        <v>94450.2346512198</v>
      </c>
      <c r="AE38" s="20" t="n">
        <f aca="false">AE15+AE23</f>
        <v>96339.2393442442</v>
      </c>
      <c r="AF38" s="20" t="n">
        <f aca="false">AF15+AF23</f>
        <v>98266.0241311291</v>
      </c>
    </row>
    <row r="39" customFormat="false" ht="15" hidden="false" customHeight="true" outlineLevel="0" collapsed="false">
      <c r="B39" s="56" t="s">
        <v>536</v>
      </c>
      <c r="C39" s="20" t="n">
        <f aca="false">(1-Tax_Bands!C$18)*C38</f>
        <v>54240</v>
      </c>
      <c r="D39" s="20" t="n">
        <f aca="false">(1-Tax_Bands!D$18)*D38</f>
        <v>51561.6</v>
      </c>
      <c r="E39" s="20" t="n">
        <f aca="false">(1-Tax_Bands!E$18)*E38</f>
        <v>49784.064</v>
      </c>
      <c r="F39" s="20" t="n">
        <f aca="false">(1-Tax_Bands!F$18)*F38</f>
        <v>48859.74528</v>
      </c>
      <c r="G39" s="20" t="n">
        <f aca="false">(1-Tax_Bands!G$18)*G38</f>
        <v>47916.9401856</v>
      </c>
      <c r="H39" s="20" t="n">
        <f aca="false">(1-Tax_Bands!H$18)*H38</f>
        <v>48875.278989312</v>
      </c>
      <c r="I39" s="20" t="n">
        <f aca="false">(1-Tax_Bands!I$18)*I38</f>
        <v>49852.7845690982</v>
      </c>
      <c r="J39" s="20" t="n">
        <f aca="false">(1-Tax_Bands!J$18)*J38</f>
        <v>50849.8402604802</v>
      </c>
      <c r="K39" s="20" t="n">
        <f aca="false">(1-Tax_Bands!K$18)*K38</f>
        <v>51866.8370656898</v>
      </c>
      <c r="L39" s="20" t="n">
        <f aca="false">(1-Tax_Bands!L$18)*L38</f>
        <v>52904.1738070036</v>
      </c>
      <c r="M39" s="20" t="n">
        <f aca="false">(1-Tax_Bands!M$18)*M38</f>
        <v>53962.2572831437</v>
      </c>
      <c r="N39" s="20" t="n">
        <f aca="false">(1-Tax_Bands!N$18)*N38</f>
        <v>55041.5024288066</v>
      </c>
      <c r="O39" s="20" t="n">
        <f aca="false">(1-Tax_Bands!O$18)*O38</f>
        <v>56142.3324773827</v>
      </c>
      <c r="P39" s="20" t="n">
        <f aca="false">(1-Tax_Bands!P$18)*P38</f>
        <v>57265.1791269303</v>
      </c>
      <c r="Q39" s="20" t="n">
        <f aca="false">(1-Tax_Bands!Q$18)*Q38</f>
        <v>58410.482709469</v>
      </c>
      <c r="R39" s="20" t="n">
        <f aca="false">(1-Tax_Bands!R$18)*R38</f>
        <v>59578.6923636583</v>
      </c>
      <c r="S39" s="20" t="n">
        <f aca="false">(1-Tax_Bands!S$18)*S38</f>
        <v>60770.2662109315</v>
      </c>
      <c r="T39" s="20" t="n">
        <f aca="false">(1-Tax_Bands!T$18)*T38</f>
        <v>61985.6715351501</v>
      </c>
      <c r="U39" s="20" t="n">
        <f aca="false">(1-Tax_Bands!U$18)*U38</f>
        <v>63225.3849658531</v>
      </c>
      <c r="V39" s="20" t="n">
        <f aca="false">(1-Tax_Bands!V$18)*V38</f>
        <v>64489.8926651702</v>
      </c>
      <c r="W39" s="20" t="n">
        <f aca="false">(1-Tax_Bands!W$18)*W38</f>
        <v>65779.6905184736</v>
      </c>
      <c r="X39" s="20" t="n">
        <f aca="false">(1-Tax_Bands!X$18)*X38</f>
        <v>67095.2843288431</v>
      </c>
      <c r="Y39" s="20" t="n">
        <f aca="false">(1-Tax_Bands!Y$18)*Y38</f>
        <v>68437.1900154199</v>
      </c>
      <c r="Z39" s="20" t="n">
        <f aca="false">(1-Tax_Bands!Z$18)*Z38</f>
        <v>69805.9338157283</v>
      </c>
      <c r="AA39" s="20" t="n">
        <f aca="false">(1-Tax_Bands!AA$18)*AA38</f>
        <v>71202.0524920429</v>
      </c>
      <c r="AB39" s="20" t="n">
        <f aca="false">(1-Tax_Bands!AB$18)*AB38</f>
        <v>72626.0935418838</v>
      </c>
      <c r="AC39" s="20" t="n">
        <f aca="false">(1-Tax_Bands!AC$18)*AC38</f>
        <v>74078.6154127214</v>
      </c>
      <c r="AD39" s="20" t="n">
        <f aca="false">(1-Tax_Bands!AD$18)*AD38</f>
        <v>75560.1877209759</v>
      </c>
      <c r="AE39" s="20" t="n">
        <f aca="false">(1-Tax_Bands!AE$18)*AE38</f>
        <v>77071.3914753954</v>
      </c>
      <c r="AF39" s="20" t="n">
        <f aca="false">(1-Tax_Bands!AF$18)*AF38</f>
        <v>78612.8193049033</v>
      </c>
    </row>
    <row r="40" customFormat="false" ht="15" hidden="false" customHeight="true" outlineLevel="0" collapsed="false">
      <c r="B40" s="16" t="s">
        <v>537</v>
      </c>
      <c r="C40" s="64" t="n">
        <f aca="false">IF(OR(C38&lt;=0,C36&lt;=0),0,MIN(1,C36/C39))</f>
        <v>1</v>
      </c>
      <c r="D40" s="64" t="n">
        <f aca="false">IF(OR(D38&lt;=0,D36&lt;=0),0,MIN(1,D36/D39))</f>
        <v>0.768180196114938</v>
      </c>
      <c r="E40" s="64" t="n">
        <f aca="false">IF(OR(E38&lt;=0,E36&lt;=0),0,MIN(1,E36/E39))</f>
        <v>0.572887179319069</v>
      </c>
      <c r="F40" s="64" t="n">
        <f aca="false">IF(OR(F38&lt;=0,F36&lt;=0),0,MIN(1,F36/F39))</f>
        <v>0.942562405433809</v>
      </c>
      <c r="G40" s="64" t="n">
        <f aca="false">IF(OR(G38&lt;=0,G36&lt;=0),0,MIN(1,G36/G39))</f>
        <v>1</v>
      </c>
      <c r="H40" s="64" t="n">
        <f aca="false">IF(OR(H38&lt;=0,H36&lt;=0),0,MIN(1,H36/H39))</f>
        <v>1</v>
      </c>
      <c r="I40" s="64" t="n">
        <f aca="false">IF(OR(I38&lt;=0,I36&lt;=0),0,MIN(1,I36/I39))</f>
        <v>1</v>
      </c>
      <c r="J40" s="64" t="n">
        <f aca="false">IF(OR(J38&lt;=0,J36&lt;=0),0,MIN(1,J36/J39))</f>
        <v>1</v>
      </c>
      <c r="K40" s="64" t="n">
        <f aca="false">IF(OR(K38&lt;=0,K36&lt;=0),0,MIN(1,K36/K39))</f>
        <v>1</v>
      </c>
      <c r="L40" s="64" t="n">
        <f aca="false">IF(OR(L38&lt;=0,L36&lt;=0),0,MIN(1,L36/L39))</f>
        <v>1</v>
      </c>
      <c r="M40" s="64" t="n">
        <f aca="false">IF(OR(M38&lt;=0,M36&lt;=0),0,MIN(1,M36/M39))</f>
        <v>1</v>
      </c>
      <c r="N40" s="64" t="n">
        <f aca="false">IF(OR(N38&lt;=0,N36&lt;=0),0,MIN(1,N36/N39))</f>
        <v>1</v>
      </c>
      <c r="O40" s="64" t="n">
        <f aca="false">IF(OR(O38&lt;=0,O36&lt;=0),0,MIN(1,O36/O39))</f>
        <v>1</v>
      </c>
      <c r="P40" s="64" t="n">
        <f aca="false">IF(OR(P38&lt;=0,P36&lt;=0),0,MIN(1,P36/P39))</f>
        <v>1</v>
      </c>
      <c r="Q40" s="64" t="n">
        <f aca="false">IF(OR(Q38&lt;=0,Q36&lt;=0),0,MIN(1,Q36/Q39))</f>
        <v>1</v>
      </c>
      <c r="R40" s="64" t="n">
        <f aca="false">IF(OR(R38&lt;=0,R36&lt;=0),0,MIN(1,R36/R39))</f>
        <v>1</v>
      </c>
      <c r="S40" s="64" t="n">
        <f aca="false">IF(OR(S38&lt;=0,S36&lt;=0),0,MIN(1,S36/S39))</f>
        <v>1</v>
      </c>
      <c r="T40" s="64" t="n">
        <f aca="false">IF(OR(T38&lt;=0,T36&lt;=0),0,MIN(1,T36/T39))</f>
        <v>1</v>
      </c>
      <c r="U40" s="64" t="n">
        <f aca="false">IF(OR(U38&lt;=0,U36&lt;=0),0,MIN(1,U36/U39))</f>
        <v>1</v>
      </c>
      <c r="V40" s="64" t="n">
        <f aca="false">IF(OR(V38&lt;=0,V36&lt;=0),0,MIN(1,V36/V39))</f>
        <v>1</v>
      </c>
      <c r="W40" s="64" t="n">
        <f aca="false">IF(OR(W38&lt;=0,W36&lt;=0),0,MIN(1,W36/W39))</f>
        <v>1</v>
      </c>
      <c r="X40" s="64" t="n">
        <f aca="false">IF(OR(X38&lt;=0,X36&lt;=0),0,MIN(1,X36/X39))</f>
        <v>1</v>
      </c>
      <c r="Y40" s="64" t="n">
        <f aca="false">IF(OR(Y38&lt;=0,Y36&lt;=0),0,MIN(1,Y36/Y39))</f>
        <v>1</v>
      </c>
      <c r="Z40" s="64" t="n">
        <f aca="false">IF(OR(Z38&lt;=0,Z36&lt;=0),0,MIN(1,Z36/Z39))</f>
        <v>1</v>
      </c>
      <c r="AA40" s="64" t="n">
        <f aca="false">IF(OR(AA38&lt;=0,AA36&lt;=0),0,MIN(1,AA36/AA39))</f>
        <v>1</v>
      </c>
      <c r="AB40" s="64" t="n">
        <f aca="false">IF(OR(AB38&lt;=0,AB36&lt;=0),0,MIN(1,AB36/AB39))</f>
        <v>1</v>
      </c>
      <c r="AC40" s="64" t="n">
        <f aca="false">IF(OR(AC38&lt;=0,AC36&lt;=0),0,MIN(1,AC36/AC39))</f>
        <v>1</v>
      </c>
      <c r="AD40" s="64" t="n">
        <f aca="false">IF(OR(AD38&lt;=0,AD36&lt;=0),0,MIN(1,AD36/AD39))</f>
        <v>1</v>
      </c>
      <c r="AE40" s="64" t="n">
        <f aca="false">IF(OR(AE38&lt;=0,AE36&lt;=0),0,MIN(1,AE36/AE39))</f>
        <v>1</v>
      </c>
      <c r="AF40" s="64" t="n">
        <f aca="false">IF(OR(AF38&lt;=0,AF36&lt;=0),0,MIN(1,AF36/AF39))</f>
        <v>1</v>
      </c>
    </row>
    <row r="41" customFormat="false" ht="15" hidden="false" customHeight="true" outlineLevel="0" collapsed="false">
      <c r="B41" s="16" t="s">
        <v>538</v>
      </c>
      <c r="C41" s="58" t="n">
        <f aca="false">C40*C15</f>
        <v>39000</v>
      </c>
      <c r="D41" s="58" t="n">
        <f aca="false">D40*D15</f>
        <v>28345.8492366412</v>
      </c>
      <c r="E41" s="58" t="n">
        <f aca="false">E40*E15</f>
        <v>20610.1891631828</v>
      </c>
      <c r="F41" s="58" t="n">
        <f aca="false">F40*F15</f>
        <v>33456.7427133239</v>
      </c>
      <c r="G41" s="58" t="n">
        <f aca="false">G40*G15</f>
        <v>35005.4304</v>
      </c>
      <c r="H41" s="58" t="n">
        <f aca="false">H40*H15</f>
        <v>35705.539008</v>
      </c>
      <c r="I41" s="58" t="n">
        <f aca="false">I40*I15</f>
        <v>36419.64978816</v>
      </c>
      <c r="J41" s="58" t="n">
        <f aca="false">J40*J15</f>
        <v>37148.0427839232</v>
      </c>
      <c r="K41" s="58" t="n">
        <f aca="false">K40*K15</f>
        <v>37891.0036396017</v>
      </c>
      <c r="L41" s="58" t="n">
        <f aca="false">L40*L15</f>
        <v>38648.8237123937</v>
      </c>
      <c r="M41" s="58" t="n">
        <f aca="false">M40*M15</f>
        <v>39421.8001866416</v>
      </c>
      <c r="N41" s="58" t="n">
        <f aca="false">N40*N15</f>
        <v>40210.2361903744</v>
      </c>
      <c r="O41" s="58" t="n">
        <f aca="false">O40*O15</f>
        <v>41014.4409141819</v>
      </c>
      <c r="P41" s="58" t="n">
        <f aca="false">P40*P15</f>
        <v>41834.7297324655</v>
      </c>
      <c r="Q41" s="58" t="n">
        <f aca="false">Q40*Q15</f>
        <v>42671.4243271148</v>
      </c>
      <c r="R41" s="58" t="n">
        <f aca="false">R40*R15</f>
        <v>43524.8528136571</v>
      </c>
      <c r="S41" s="58" t="n">
        <f aca="false">S40*S15</f>
        <v>44395.3498699303</v>
      </c>
      <c r="T41" s="58" t="n">
        <f aca="false">T40*T15</f>
        <v>45283.2568673289</v>
      </c>
      <c r="U41" s="58" t="n">
        <f aca="false">U40*U15</f>
        <v>46188.9220046755</v>
      </c>
      <c r="V41" s="58" t="n">
        <f aca="false">V40*V15</f>
        <v>47112.700444769</v>
      </c>
      <c r="W41" s="58" t="n">
        <f aca="false">W40*W15</f>
        <v>48054.9544536643</v>
      </c>
      <c r="X41" s="58" t="n">
        <f aca="false">X40*X15</f>
        <v>49016.0535427377</v>
      </c>
      <c r="Y41" s="58" t="n">
        <f aca="false">Y40*Y15</f>
        <v>49996.3746135924</v>
      </c>
      <c r="Z41" s="58" t="n">
        <f aca="false">Z40*Z15</f>
        <v>50996.3021058643</v>
      </c>
      <c r="AA41" s="58" t="n">
        <f aca="false">AA40*AA15</f>
        <v>52016.2281479815</v>
      </c>
      <c r="AB41" s="58" t="n">
        <f aca="false">AB40*AB15</f>
        <v>53056.5527109412</v>
      </c>
      <c r="AC41" s="58" t="n">
        <f aca="false">AC40*AC15</f>
        <v>54117.68376516</v>
      </c>
      <c r="AD41" s="58" t="n">
        <f aca="false">AD40*AD15</f>
        <v>55200.0374404632</v>
      </c>
      <c r="AE41" s="58" t="n">
        <f aca="false">AE40*AE15</f>
        <v>56304.0381892725</v>
      </c>
      <c r="AF41" s="58" t="n">
        <f aca="false">AF40*AF15</f>
        <v>57430.1189530579</v>
      </c>
    </row>
    <row r="42" customFormat="false" ht="15" hidden="false" customHeight="true" outlineLevel="0" collapsed="false">
      <c r="B42" s="16" t="s">
        <v>539</v>
      </c>
      <c r="C42" s="58" t="n">
        <f aca="false">C40*C23</f>
        <v>28800</v>
      </c>
      <c r="D42" s="58" t="n">
        <f aca="false">D40*D23</f>
        <v>21164.9007633588</v>
      </c>
      <c r="E42" s="58" t="n">
        <f aca="false">E40*E23</f>
        <v>15040.6258368172</v>
      </c>
      <c r="F42" s="58" t="n">
        <f aca="false">F40*F23</f>
        <v>24109.9560866761</v>
      </c>
      <c r="G42" s="58" t="n">
        <f aca="false">G40*G23</f>
        <v>24890.744832</v>
      </c>
      <c r="H42" s="58" t="n">
        <f aca="false">H40*H23</f>
        <v>25388.55972864</v>
      </c>
      <c r="I42" s="58" t="n">
        <f aca="false">I40*I23</f>
        <v>25896.3309232128</v>
      </c>
      <c r="J42" s="58" t="n">
        <f aca="false">J40*J23</f>
        <v>26414.257541677</v>
      </c>
      <c r="K42" s="58" t="n">
        <f aca="false">K40*K23</f>
        <v>26942.5426925106</v>
      </c>
      <c r="L42" s="58" t="n">
        <f aca="false">L40*L23</f>
        <v>27481.3935463608</v>
      </c>
      <c r="M42" s="58" t="n">
        <f aca="false">M40*M23</f>
        <v>28031.021417288</v>
      </c>
      <c r="N42" s="58" t="n">
        <f aca="false">N40*N23</f>
        <v>28591.6418456338</v>
      </c>
      <c r="O42" s="58" t="n">
        <f aca="false">O40*O23</f>
        <v>29163.4746825465</v>
      </c>
      <c r="P42" s="58" t="n">
        <f aca="false">P40*P23</f>
        <v>29746.7441761974</v>
      </c>
      <c r="Q42" s="58" t="n">
        <f aca="false">Q40*Q23</f>
        <v>30341.6790597213</v>
      </c>
      <c r="R42" s="58" t="n">
        <f aca="false">R40*R23</f>
        <v>30948.5126409158</v>
      </c>
      <c r="S42" s="58" t="n">
        <f aca="false">S40*S23</f>
        <v>31567.4828937341</v>
      </c>
      <c r="T42" s="58" t="n">
        <f aca="false">T40*T23</f>
        <v>32198.8325516088</v>
      </c>
      <c r="U42" s="58" t="n">
        <f aca="false">U40*U23</f>
        <v>32842.8092026409</v>
      </c>
      <c r="V42" s="58" t="n">
        <f aca="false">V40*V23</f>
        <v>33499.6653866938</v>
      </c>
      <c r="W42" s="58" t="n">
        <f aca="false">W40*W23</f>
        <v>34169.6586944276</v>
      </c>
      <c r="X42" s="58" t="n">
        <f aca="false">X40*X23</f>
        <v>34853.0518683162</v>
      </c>
      <c r="Y42" s="58" t="n">
        <f aca="false">Y40*Y23</f>
        <v>35550.1129056825</v>
      </c>
      <c r="Z42" s="58" t="n">
        <f aca="false">Z40*Z23</f>
        <v>36261.1151637962</v>
      </c>
      <c r="AA42" s="58" t="n">
        <f aca="false">AA40*AA23</f>
        <v>36986.3374670721</v>
      </c>
      <c r="AB42" s="58" t="n">
        <f aca="false">AB40*AB23</f>
        <v>37726.0642164135</v>
      </c>
      <c r="AC42" s="58" t="n">
        <f aca="false">AC40*AC23</f>
        <v>38480.5855007418</v>
      </c>
      <c r="AD42" s="58" t="n">
        <f aca="false">AD40*AD23</f>
        <v>39250.1972107566</v>
      </c>
      <c r="AE42" s="58" t="n">
        <f aca="false">AE40*AE23</f>
        <v>40035.2011549718</v>
      </c>
      <c r="AF42" s="58" t="n">
        <f aca="false">AF40*AF23</f>
        <v>40835.9051780712</v>
      </c>
    </row>
    <row r="43" customFormat="false" ht="15" hidden="false" customHeight="true" outlineLevel="0" collapsed="false">
      <c r="B43" s="56" t="s">
        <v>442</v>
      </c>
      <c r="C43" s="20" t="n">
        <f aca="false">(1-Tax_Bands!C$18)*(C41+C42)</f>
        <v>54240</v>
      </c>
      <c r="D43" s="20" t="n">
        <f aca="false">(1-Tax_Bands!D$18)*(D41+D42)</f>
        <v>39608.6</v>
      </c>
      <c r="E43" s="20" t="n">
        <f aca="false">(1-Tax_Bands!E$18)*(E41+E42)</f>
        <v>28520.652</v>
      </c>
      <c r="F43" s="20" t="n">
        <f aca="false">(1-Tax_Bands!F$18)*(F41+F42)</f>
        <v>46053.35904</v>
      </c>
      <c r="G43" s="20" t="n">
        <f aca="false">(1-Tax_Bands!G$18)*(G41+G42)</f>
        <v>47916.9401856</v>
      </c>
      <c r="H43" s="20" t="n">
        <f aca="false">(1-Tax_Bands!H$18)*(H41+H42)</f>
        <v>48875.278989312</v>
      </c>
      <c r="I43" s="20" t="n">
        <f aca="false">(1-Tax_Bands!I$18)*(I41+I42)</f>
        <v>49852.7845690982</v>
      </c>
      <c r="J43" s="20" t="n">
        <f aca="false">(1-Tax_Bands!J$18)*(J41+J42)</f>
        <v>50849.8402604802</v>
      </c>
      <c r="K43" s="20" t="n">
        <f aca="false">(1-Tax_Bands!K$18)*(K41+K42)</f>
        <v>51866.8370656898</v>
      </c>
      <c r="L43" s="20" t="n">
        <f aca="false">(1-Tax_Bands!L$18)*(L41+L42)</f>
        <v>52904.1738070036</v>
      </c>
      <c r="M43" s="20" t="n">
        <f aca="false">(1-Tax_Bands!M$18)*(M41+M42)</f>
        <v>53962.2572831437</v>
      </c>
      <c r="N43" s="20" t="n">
        <f aca="false">(1-Tax_Bands!N$18)*(N41+N42)</f>
        <v>55041.5024288066</v>
      </c>
      <c r="O43" s="20" t="n">
        <f aca="false">(1-Tax_Bands!O$18)*(O41+O42)</f>
        <v>56142.3324773827</v>
      </c>
      <c r="P43" s="20" t="n">
        <f aca="false">(1-Tax_Bands!P$18)*(P41+P42)</f>
        <v>57265.1791269303</v>
      </c>
      <c r="Q43" s="20" t="n">
        <f aca="false">(1-Tax_Bands!Q$18)*(Q41+Q42)</f>
        <v>58410.482709469</v>
      </c>
      <c r="R43" s="20" t="n">
        <f aca="false">(1-Tax_Bands!R$18)*(R41+R42)</f>
        <v>59578.6923636583</v>
      </c>
      <c r="S43" s="20" t="n">
        <f aca="false">(1-Tax_Bands!S$18)*(S41+S42)</f>
        <v>60770.2662109315</v>
      </c>
      <c r="T43" s="20" t="n">
        <f aca="false">(1-Tax_Bands!T$18)*(T41+T42)</f>
        <v>61985.6715351501</v>
      </c>
      <c r="U43" s="20" t="n">
        <f aca="false">(1-Tax_Bands!U$18)*(U41+U42)</f>
        <v>63225.3849658531</v>
      </c>
      <c r="V43" s="20" t="n">
        <f aca="false">(1-Tax_Bands!V$18)*(V41+V42)</f>
        <v>64489.8926651702</v>
      </c>
      <c r="W43" s="20" t="n">
        <f aca="false">(1-Tax_Bands!W$18)*(W41+W42)</f>
        <v>65779.6905184736</v>
      </c>
      <c r="X43" s="20" t="n">
        <f aca="false">(1-Tax_Bands!X$18)*(X41+X42)</f>
        <v>67095.2843288431</v>
      </c>
      <c r="Y43" s="20" t="n">
        <f aca="false">(1-Tax_Bands!Y$18)*(Y41+Y42)</f>
        <v>68437.1900154199</v>
      </c>
      <c r="Z43" s="20" t="n">
        <f aca="false">(1-Tax_Bands!Z$18)*(Z41+Z42)</f>
        <v>69805.9338157283</v>
      </c>
      <c r="AA43" s="20" t="n">
        <f aca="false">(1-Tax_Bands!AA$18)*(AA41+AA42)</f>
        <v>71202.0524920429</v>
      </c>
      <c r="AB43" s="20" t="n">
        <f aca="false">(1-Tax_Bands!AB$18)*(AB41+AB42)</f>
        <v>72626.0935418838</v>
      </c>
      <c r="AC43" s="20" t="n">
        <f aca="false">(1-Tax_Bands!AC$18)*(AC41+AC42)</f>
        <v>74078.6154127214</v>
      </c>
      <c r="AD43" s="20" t="n">
        <f aca="false">(1-Tax_Bands!AD$18)*(AD41+AD42)</f>
        <v>75560.1877209759</v>
      </c>
      <c r="AE43" s="20" t="n">
        <f aca="false">(1-Tax_Bands!AE$18)*(AE41+AE42)</f>
        <v>77071.3914753954</v>
      </c>
      <c r="AF43" s="20" t="n">
        <f aca="false">(1-Tax_Bands!AF$18)*(AF41+AF42)</f>
        <v>78612.8193049033</v>
      </c>
    </row>
    <row r="44" customFormat="false" ht="15" hidden="false" customHeight="true" outlineLevel="0" collapsed="false">
      <c r="B44" s="56" t="s">
        <v>540</v>
      </c>
      <c r="C44" s="17" t="n">
        <f aca="false">DM_Income!C$8-DM_Income!C$10</f>
        <v>174400</v>
      </c>
      <c r="D44" s="17" t="n">
        <f aca="false">DM_Income!D$8-DM_Income!D$10</f>
        <v>181376</v>
      </c>
      <c r="E44" s="17" t="n">
        <f aca="false">DM_Income!E$8-DM_Income!E$10</f>
        <v>188631.04</v>
      </c>
      <c r="F44" s="17" t="n">
        <f aca="false">DM_Income!F$8-DM_Income!F$10</f>
        <v>192403.6608</v>
      </c>
      <c r="G44" s="17" t="n">
        <f aca="false">DM_Income!G$8-DM_Income!G$10</f>
        <v>196251.734016</v>
      </c>
      <c r="H44" s="17" t="n">
        <f aca="false">DM_Income!H$8-DM_Income!H$10</f>
        <v>200176.76869632</v>
      </c>
      <c r="I44" s="17" t="n">
        <f aca="false">DM_Income!I$8-DM_Income!I$10</f>
        <v>204180.304070247</v>
      </c>
      <c r="J44" s="17" t="n">
        <f aca="false">DM_Income!J$8-DM_Income!J$10</f>
        <v>208263.910151651</v>
      </c>
      <c r="K44" s="17" t="n">
        <f aca="false">DM_Income!K$8-DM_Income!K$10</f>
        <v>212429.188354684</v>
      </c>
      <c r="L44" s="17" t="n">
        <f aca="false">DM_Income!L$8-DM_Income!L$10</f>
        <v>216677.772121778</v>
      </c>
      <c r="M44" s="17" t="n">
        <f aca="false">DM_Income!M$8-DM_Income!M$10</f>
        <v>221011.327564214</v>
      </c>
      <c r="N44" s="17" t="n">
        <f aca="false">DM_Income!N$8-DM_Income!N$10</f>
        <v>225431.554115498</v>
      </c>
      <c r="O44" s="17" t="n">
        <f aca="false">DM_Income!O$8-DM_Income!O$10</f>
        <v>229940.185197808</v>
      </c>
      <c r="P44" s="17" t="n">
        <f aca="false">DM_Income!P$8-DM_Income!P$10</f>
        <v>234538.988901764</v>
      </c>
      <c r="Q44" s="17" t="n">
        <f aca="false">DM_Income!Q$8-DM_Income!Q$10</f>
        <v>239229.768679799</v>
      </c>
      <c r="R44" s="17" t="n">
        <f aca="false">DM_Income!R$8-DM_Income!R$10</f>
        <v>244014.364053395</v>
      </c>
      <c r="S44" s="17" t="n">
        <f aca="false">DM_Income!S$8-DM_Income!S$10</f>
        <v>248894.651334463</v>
      </c>
      <c r="T44" s="17" t="n">
        <f aca="false">DM_Income!T$8-DM_Income!T$10</f>
        <v>253872.544361153</v>
      </c>
      <c r="U44" s="17" t="n">
        <f aca="false">DM_Income!U$8-DM_Income!U$10</f>
        <v>258949.995248376</v>
      </c>
      <c r="V44" s="17" t="n">
        <f aca="false">DM_Income!V$8-DM_Income!V$10</f>
        <v>264128.995153343</v>
      </c>
      <c r="W44" s="17" t="n">
        <f aca="false">DM_Income!W$8-DM_Income!W$10</f>
        <v>269411.57505641</v>
      </c>
      <c r="X44" s="17" t="n">
        <f aca="false">DM_Income!X$8-DM_Income!X$10</f>
        <v>274799.806557538</v>
      </c>
      <c r="Y44" s="17" t="n">
        <f aca="false">DM_Income!Y$8-DM_Income!Y$10</f>
        <v>280295.802688689</v>
      </c>
      <c r="Z44" s="17" t="n">
        <f aca="false">DM_Income!Z$8-DM_Income!Z$10</f>
        <v>285901.718742463</v>
      </c>
      <c r="AA44" s="17" t="n">
        <f aca="false">DM_Income!AA$8-DM_Income!AA$10</f>
        <v>291619.753117312</v>
      </c>
      <c r="AB44" s="17" t="n">
        <f aca="false">DM_Income!AB$8-DM_Income!AB$10</f>
        <v>297452.148179658</v>
      </c>
      <c r="AC44" s="17" t="n">
        <f aca="false">DM_Income!AC$8-DM_Income!AC$10</f>
        <v>303401.191143251</v>
      </c>
      <c r="AD44" s="17" t="n">
        <f aca="false">DM_Income!AD$8-DM_Income!AD$10</f>
        <v>309469.214966116</v>
      </c>
      <c r="AE44" s="17" t="n">
        <f aca="false">DM_Income!AE$8-DM_Income!AE$10</f>
        <v>315658.599265439</v>
      </c>
      <c r="AF44" s="17" t="n">
        <f aca="false">DM_Income!AF$8-DM_Income!AF$10</f>
        <v>321971.771250748</v>
      </c>
    </row>
    <row r="45" customFormat="false" ht="15" hidden="false" customHeight="true" outlineLevel="0" collapsed="false">
      <c r="B45" s="56" t="s">
        <v>541</v>
      </c>
      <c r="C45" s="17" t="n">
        <f aca="false">DM_Income!C$20</f>
        <v>64683</v>
      </c>
      <c r="D45" s="17" t="n">
        <f aca="false">DM_Income!D$20</f>
        <v>67822.2</v>
      </c>
      <c r="E45" s="17" t="n">
        <f aca="false">DM_Income!E$20</f>
        <v>71086.968</v>
      </c>
      <c r="F45" s="17" t="n">
        <f aca="false">DM_Income!F$20</f>
        <v>72784.64736</v>
      </c>
      <c r="G45" s="17" t="n">
        <f aca="false">DM_Income!G$20</f>
        <v>74516.2803072</v>
      </c>
      <c r="H45" s="17" t="n">
        <f aca="false">DM_Income!H$20</f>
        <v>76006.605913344</v>
      </c>
      <c r="I45" s="17" t="n">
        <f aca="false">DM_Income!I$20</f>
        <v>77526.7380316109</v>
      </c>
      <c r="J45" s="17" t="n">
        <f aca="false">DM_Income!J$20</f>
        <v>79077.2727922431</v>
      </c>
      <c r="K45" s="17" t="n">
        <f aca="false">DM_Income!K$20</f>
        <v>80658.818248088</v>
      </c>
      <c r="L45" s="17" t="n">
        <f aca="false">DM_Income!L$20</f>
        <v>82271.9946130498</v>
      </c>
      <c r="M45" s="17" t="n">
        <f aca="false">DM_Income!M$20</f>
        <v>83917.4345053108</v>
      </c>
      <c r="N45" s="17" t="n">
        <f aca="false">DM_Income!N$20</f>
        <v>85595.783195417</v>
      </c>
      <c r="O45" s="17" t="n">
        <f aca="false">DM_Income!O$20</f>
        <v>87307.6988593253</v>
      </c>
      <c r="P45" s="17" t="n">
        <f aca="false">DM_Income!P$20</f>
        <v>89053.8528365118</v>
      </c>
      <c r="Q45" s="17" t="n">
        <f aca="false">DM_Income!Q$20</f>
        <v>90834.929893242</v>
      </c>
      <c r="R45" s="17" t="n">
        <f aca="false">DM_Income!R$20</f>
        <v>92651.6284911069</v>
      </c>
      <c r="S45" s="17" t="n">
        <f aca="false">DM_Income!S$20</f>
        <v>94504.661060929</v>
      </c>
      <c r="T45" s="17" t="n">
        <f aca="false">DM_Income!T$20</f>
        <v>96394.7542821476</v>
      </c>
      <c r="U45" s="17" t="n">
        <f aca="false">DM_Income!U$20</f>
        <v>98322.6493677906</v>
      </c>
      <c r="V45" s="17" t="n">
        <f aca="false">DM_Income!V$20</f>
        <v>100289.102355146</v>
      </c>
      <c r="W45" s="17" t="n">
        <f aca="false">DM_Income!W$20</f>
        <v>102294.884402249</v>
      </c>
      <c r="X45" s="17" t="n">
        <f aca="false">DM_Income!X$20</f>
        <v>104340.782090294</v>
      </c>
      <c r="Y45" s="17" t="n">
        <f aca="false">DM_Income!Y$20</f>
        <v>106427.5977321</v>
      </c>
      <c r="Z45" s="17" t="n">
        <f aca="false">DM_Income!Z$20</f>
        <v>108556.149686742</v>
      </c>
      <c r="AA45" s="17" t="n">
        <f aca="false">DM_Income!AA$20</f>
        <v>110727.272680477</v>
      </c>
      <c r="AB45" s="17" t="n">
        <f aca="false">DM_Income!AB$20</f>
        <v>112941.818134087</v>
      </c>
      <c r="AC45" s="17" t="n">
        <f aca="false">DM_Income!AC$20</f>
        <v>115200.654496768</v>
      </c>
      <c r="AD45" s="17" t="n">
        <f aca="false">DM_Income!AD$20</f>
        <v>117504.667586704</v>
      </c>
      <c r="AE45" s="17" t="n">
        <f aca="false">DM_Income!AE$20</f>
        <v>119854.760938438</v>
      </c>
      <c r="AF45" s="17" t="n">
        <f aca="false">DM_Income!AF$20</f>
        <v>122251.856157207</v>
      </c>
    </row>
    <row r="46" customFormat="false" ht="15" hidden="false" customHeight="true" outlineLevel="0" collapsed="false">
      <c r="B46" s="56" t="s">
        <v>542</v>
      </c>
      <c r="C46" s="20" t="n">
        <f aca="false">MAX(0,Tax_Bands!C$7-MAX(0,C16-C41-Tax_Bands!C$8)/2)</f>
        <v>570</v>
      </c>
      <c r="D46" s="20" t="n">
        <f aca="false">MAX(0,Tax_Bands!D$7-MAX(0,D16-D41-Tax_Bands!D$8)/2)</f>
        <v>8892.9246183206</v>
      </c>
      <c r="E46" s="20" t="n">
        <f aca="false">MAX(0,Tax_Bands!E$7-MAX(0,E16-E41-Tax_Bands!E$8)/2)</f>
        <v>2504.09458159141</v>
      </c>
      <c r="F46" s="20" t="n">
        <f aca="false">MAX(0,Tax_Bands!F$7-MAX(0,F16-F41-Tax_Bands!F$8)/2)</f>
        <v>0</v>
      </c>
      <c r="G46" s="20" t="n">
        <f aca="false">MAX(0,Tax_Bands!G$7-MAX(0,G16-G41-Tax_Bands!G$8)/2)</f>
        <v>0</v>
      </c>
      <c r="H46" s="20" t="n">
        <f aca="false">MAX(0,Tax_Bands!H$7-MAX(0,H16-H41-Tax_Bands!H$8)/2)</f>
        <v>0</v>
      </c>
      <c r="I46" s="20" t="n">
        <f aca="false">MAX(0,Tax_Bands!I$7-MAX(0,I16-I41-Tax_Bands!I$8)/2)</f>
        <v>0</v>
      </c>
      <c r="J46" s="20" t="n">
        <f aca="false">MAX(0,Tax_Bands!J$7-MAX(0,J16-J41-Tax_Bands!J$8)/2)</f>
        <v>0</v>
      </c>
      <c r="K46" s="20" t="n">
        <f aca="false">MAX(0,Tax_Bands!K$7-MAX(0,K16-K41-Tax_Bands!K$8)/2)</f>
        <v>0</v>
      </c>
      <c r="L46" s="20" t="n">
        <f aca="false">MAX(0,Tax_Bands!L$7-MAX(0,L16-L41-Tax_Bands!L$8)/2)</f>
        <v>0</v>
      </c>
      <c r="M46" s="20" t="n">
        <f aca="false">MAX(0,Tax_Bands!M$7-MAX(0,M16-M41-Tax_Bands!M$8)/2)</f>
        <v>0</v>
      </c>
      <c r="N46" s="20" t="n">
        <f aca="false">MAX(0,Tax_Bands!N$7-MAX(0,N16-N41-Tax_Bands!N$8)/2)</f>
        <v>0</v>
      </c>
      <c r="O46" s="20" t="n">
        <f aca="false">MAX(0,Tax_Bands!O$7-MAX(0,O16-O41-Tax_Bands!O$8)/2)</f>
        <v>0</v>
      </c>
      <c r="P46" s="20" t="n">
        <f aca="false">MAX(0,Tax_Bands!P$7-MAX(0,P16-P41-Tax_Bands!P$8)/2)</f>
        <v>0</v>
      </c>
      <c r="Q46" s="20" t="n">
        <f aca="false">MAX(0,Tax_Bands!Q$7-MAX(0,Q16-Q41-Tax_Bands!Q$8)/2)</f>
        <v>0</v>
      </c>
      <c r="R46" s="20" t="n">
        <f aca="false">MAX(0,Tax_Bands!R$7-MAX(0,R16-R41-Tax_Bands!R$8)/2)</f>
        <v>0</v>
      </c>
      <c r="S46" s="20" t="n">
        <f aca="false">MAX(0,Tax_Bands!S$7-MAX(0,S16-S41-Tax_Bands!S$8)/2)</f>
        <v>0</v>
      </c>
      <c r="T46" s="20" t="n">
        <f aca="false">MAX(0,Tax_Bands!T$7-MAX(0,T16-T41-Tax_Bands!T$8)/2)</f>
        <v>0</v>
      </c>
      <c r="U46" s="20" t="n">
        <f aca="false">MAX(0,Tax_Bands!U$7-MAX(0,U16-U41-Tax_Bands!U$8)/2)</f>
        <v>0</v>
      </c>
      <c r="V46" s="20" t="n">
        <f aca="false">MAX(0,Tax_Bands!V$7-MAX(0,V16-V41-Tax_Bands!V$8)/2)</f>
        <v>0</v>
      </c>
      <c r="W46" s="20" t="n">
        <f aca="false">MAX(0,Tax_Bands!W$7-MAX(0,W16-W41-Tax_Bands!W$8)/2)</f>
        <v>0</v>
      </c>
      <c r="X46" s="20" t="n">
        <f aca="false">MAX(0,Tax_Bands!X$7-MAX(0,X16-X41-Tax_Bands!X$8)/2)</f>
        <v>0</v>
      </c>
      <c r="Y46" s="20" t="n">
        <f aca="false">MAX(0,Tax_Bands!Y$7-MAX(0,Y16-Y41-Tax_Bands!Y$8)/2)</f>
        <v>0</v>
      </c>
      <c r="Z46" s="20" t="n">
        <f aca="false">MAX(0,Tax_Bands!Z$7-MAX(0,Z16-Z41-Tax_Bands!Z$8)/2)</f>
        <v>0</v>
      </c>
      <c r="AA46" s="20" t="n">
        <f aca="false">MAX(0,Tax_Bands!AA$7-MAX(0,AA16-AA41-Tax_Bands!AA$8)/2)</f>
        <v>0</v>
      </c>
      <c r="AB46" s="20" t="n">
        <f aca="false">MAX(0,Tax_Bands!AB$7-MAX(0,AB16-AB41-Tax_Bands!AB$8)/2)</f>
        <v>0</v>
      </c>
      <c r="AC46" s="20" t="n">
        <f aca="false">MAX(0,Tax_Bands!AC$7-MAX(0,AC16-AC41-Tax_Bands!AC$8)/2)</f>
        <v>0</v>
      </c>
      <c r="AD46" s="20" t="n">
        <f aca="false">MAX(0,Tax_Bands!AD$7-MAX(0,AD16-AD41-Tax_Bands!AD$8)/2)</f>
        <v>0</v>
      </c>
      <c r="AE46" s="20" t="n">
        <f aca="false">MAX(0,Tax_Bands!AE$7-MAX(0,AE16-AE41-Tax_Bands!AE$8)/2)</f>
        <v>0</v>
      </c>
      <c r="AF46" s="20" t="n">
        <f aca="false">MAX(0,Tax_Bands!AF$7-MAX(0,AF16-AF41-Tax_Bands!AF$8)/2)</f>
        <v>0</v>
      </c>
    </row>
    <row r="47" customFormat="false" ht="15" hidden="false" customHeight="true" outlineLevel="0" collapsed="false">
      <c r="B47" s="56" t="s">
        <v>543</v>
      </c>
      <c r="C47" s="20" t="n">
        <f aca="false">MAX(0,C16-C46)</f>
        <v>162430</v>
      </c>
      <c r="D47" s="20" t="n">
        <f aca="false">MAX(0,D16-D46)</f>
        <v>126807.075381679</v>
      </c>
      <c r="E47" s="20" t="n">
        <f aca="false">MAX(0,E16-E46)</f>
        <v>138237.905418409</v>
      </c>
      <c r="F47" s="20" t="n">
        <f aca="false">MAX(0,F16-F46)</f>
        <v>175431.84</v>
      </c>
      <c r="G47" s="20" t="n">
        <f aca="false">MAX(0,G16-G46)</f>
        <v>178940.4768</v>
      </c>
      <c r="H47" s="20" t="n">
        <f aca="false">MAX(0,H16-H46)</f>
        <v>182519.286336</v>
      </c>
      <c r="I47" s="20" t="n">
        <f aca="false">MAX(0,I16-I46)</f>
        <v>186169.67206272</v>
      </c>
      <c r="J47" s="20" t="n">
        <f aca="false">MAX(0,J16-J46)</f>
        <v>189893.065503974</v>
      </c>
      <c r="K47" s="20" t="n">
        <f aca="false">MAX(0,K16-K46)</f>
        <v>193690.926814054</v>
      </c>
      <c r="L47" s="20" t="n">
        <f aca="false">MAX(0,L16-L46)</f>
        <v>197564.745350335</v>
      </c>
      <c r="M47" s="20" t="n">
        <f aca="false">MAX(0,M16-M46)</f>
        <v>201516.040257342</v>
      </c>
      <c r="N47" s="20" t="n">
        <f aca="false">MAX(0,N16-N46)</f>
        <v>205546.361062489</v>
      </c>
      <c r="O47" s="20" t="n">
        <f aca="false">MAX(0,O16-O46)</f>
        <v>209657.288283738</v>
      </c>
      <c r="P47" s="20" t="n">
        <f aca="false">MAX(0,P16-P46)</f>
        <v>213850.434049413</v>
      </c>
      <c r="Q47" s="20" t="n">
        <f aca="false">MAX(0,Q16-Q46)</f>
        <v>218127.442730401</v>
      </c>
      <c r="R47" s="20" t="n">
        <f aca="false">MAX(0,R16-R46)</f>
        <v>222489.991585009</v>
      </c>
      <c r="S47" s="20" t="n">
        <f aca="false">MAX(0,S16-S46)</f>
        <v>226939.79141671</v>
      </c>
      <c r="T47" s="20" t="n">
        <f aca="false">MAX(0,T16-T46)</f>
        <v>231478.587245044</v>
      </c>
      <c r="U47" s="20" t="n">
        <f aca="false">MAX(0,U16-U46)</f>
        <v>236108.158989945</v>
      </c>
      <c r="V47" s="20" t="n">
        <f aca="false">MAX(0,V16-V46)</f>
        <v>240830.322169744</v>
      </c>
      <c r="W47" s="20" t="n">
        <f aca="false">MAX(0,W16-W46)</f>
        <v>245646.928613138</v>
      </c>
      <c r="X47" s="20" t="n">
        <f aca="false">MAX(0,X16-X46)</f>
        <v>250559.867185401</v>
      </c>
      <c r="Y47" s="20" t="n">
        <f aca="false">MAX(0,Y16-Y46)</f>
        <v>255571.064529109</v>
      </c>
      <c r="Z47" s="20" t="n">
        <f aca="false">MAX(0,Z16-Z46)</f>
        <v>260682.485819691</v>
      </c>
      <c r="AA47" s="20" t="n">
        <f aca="false">MAX(0,AA16-AA46)</f>
        <v>265896.135536085</v>
      </c>
      <c r="AB47" s="20" t="n">
        <f aca="false">MAX(0,AB16-AB46)</f>
        <v>271214.058246807</v>
      </c>
      <c r="AC47" s="20" t="n">
        <f aca="false">MAX(0,AC16-AC46)</f>
        <v>276638.339411743</v>
      </c>
      <c r="AD47" s="20" t="n">
        <f aca="false">MAX(0,AD16-AD46)</f>
        <v>282171.106199978</v>
      </c>
      <c r="AE47" s="20" t="n">
        <f aca="false">MAX(0,AE16-AE46)</f>
        <v>287814.528323978</v>
      </c>
      <c r="AF47" s="20" t="n">
        <f aca="false">MAX(0,AF16-AF46)</f>
        <v>293570.818890457</v>
      </c>
    </row>
    <row r="48" customFormat="false" ht="15" hidden="false" customHeight="true" outlineLevel="0" collapsed="false">
      <c r="B48" s="56" t="s">
        <v>544</v>
      </c>
      <c r="C48" s="20" t="n">
        <f aca="false">Tax_Bands!C$18*MIN(C47,Tax_Bands!C$9+C41)+Tax_Bands!C$19*MAX(0,MIN(C47,Tax_Bands!C$10+C41)-(Tax_Bands!C$9+C41))+Tax_Bands!C$20*MAX(0,C47-(Tax_Bands!C$10+C41))</f>
        <v>49632</v>
      </c>
      <c r="D48" s="20" t="n">
        <f aca="false">Tax_Bands!D$18*MIN(D47,Tax_Bands!D$9+D41)+Tax_Bands!D$19*MAX(0,MIN(D47,Tax_Bands!D$10+D41)-(Tax_Bands!D$9+D41))+Tax_Bands!D$20*MAX(0,D47-(Tax_Bands!D$10+D41))</f>
        <v>37513.6603053435</v>
      </c>
      <c r="E48" s="20" t="n">
        <f aca="false">Tax_Bands!E$18*MIN(E47,Tax_Bands!E$9+E41)+Tax_Bands!E$19*MAX(0,MIN(E47,Tax_Bands!E$10+E41)-(Tax_Bands!E$9+E41))+Tax_Bands!E$20*MAX(0,E47-(Tax_Bands!E$10+E41))</f>
        <v>43633.1243347269</v>
      </c>
      <c r="F48" s="20" t="n">
        <f aca="false">Tax_Bands!F$18*MIN(F47,Tax_Bands!F$9+F41)+Tax_Bands!F$19*MAX(0,MIN(F47,Tax_Bands!F$10+F41)-(Tax_Bands!F$9+F41))+Tax_Bands!F$20*MAX(0,F47-(Tax_Bands!F$10+F41))</f>
        <v>56783.142321669</v>
      </c>
      <c r="G48" s="20" t="n">
        <f aca="false">Tax_Bands!G$18*MIN(G47,Tax_Bands!G$9+G41)+Tax_Bands!G$19*MAX(0,MIN(G47,Tax_Bands!G$10+G41)-(Tax_Bands!G$9+G41))+Tax_Bands!G$20*MAX(0,G47-(Tax_Bands!G$10+G41))</f>
        <v>57974.85696</v>
      </c>
      <c r="H48" s="20" t="n">
        <f aca="false">Tax_Bands!H$18*MIN(H47,Tax_Bands!H$9+H41)+Tax_Bands!H$19*MAX(0,MIN(H47,Tax_Bands!H$10+H41)-(Tax_Bands!H$9+H41))+Tax_Bands!H$20*MAX(0,H47-(Tax_Bands!H$10+H41))</f>
        <v>59134.3540992</v>
      </c>
      <c r="I48" s="20" t="n">
        <f aca="false">Tax_Bands!I$18*MIN(I47,Tax_Bands!I$9+I41)+Tax_Bands!I$19*MAX(0,MIN(I47,Tax_Bands!I$10+I41)-(Tax_Bands!I$9+I41))+Tax_Bands!I$20*MAX(0,I47-(Tax_Bands!I$10+I41))</f>
        <v>60317.041181184</v>
      </c>
      <c r="J48" s="20" t="n">
        <f aca="false">Tax_Bands!J$18*MIN(J47,Tax_Bands!J$9+J41)+Tax_Bands!J$19*MAX(0,MIN(J47,Tax_Bands!J$10+J41)-(Tax_Bands!J$9+J41))+Tax_Bands!J$20*MAX(0,J47-(Tax_Bands!J$10+J41))</f>
        <v>61523.3820048077</v>
      </c>
      <c r="K48" s="20" t="n">
        <f aca="false">Tax_Bands!K$18*MIN(K47,Tax_Bands!K$9+K41)+Tax_Bands!K$19*MAX(0,MIN(K47,Tax_Bands!K$10+K41)-(Tax_Bands!K$9+K41))+Tax_Bands!K$20*MAX(0,K47-(Tax_Bands!K$10+K41))</f>
        <v>62753.8496449039</v>
      </c>
      <c r="L48" s="20" t="n">
        <f aca="false">Tax_Bands!L$18*MIN(L47,Tax_Bands!L$9+L41)+Tax_Bands!L$19*MAX(0,MIN(L47,Tax_Bands!L$10+L41)-(Tax_Bands!L$9+L41))+Tax_Bands!L$20*MAX(0,L47-(Tax_Bands!L$10+L41))</f>
        <v>64008.9266378019</v>
      </c>
      <c r="M48" s="20" t="n">
        <f aca="false">Tax_Bands!M$18*MIN(M47,Tax_Bands!M$9+M41)+Tax_Bands!M$19*MAX(0,MIN(M47,Tax_Bands!M$10+M41)-(Tax_Bands!M$9+M41))+Tax_Bands!M$20*MAX(0,M47-(Tax_Bands!M$10+M41))</f>
        <v>65289.105170558</v>
      </c>
      <c r="N48" s="20" t="n">
        <f aca="false">Tax_Bands!N$18*MIN(N47,Tax_Bands!N$9+N41)+Tax_Bands!N$19*MAX(0,MIN(N47,Tax_Bands!N$10+N41)-(Tax_Bands!N$9+N41))+Tax_Bands!N$20*MAX(0,N47-(Tax_Bands!N$10+N41))</f>
        <v>66594.8872739691</v>
      </c>
      <c r="O48" s="20" t="n">
        <f aca="false">Tax_Bands!O$18*MIN(O47,Tax_Bands!O$9+O41)+Tax_Bands!O$19*MAX(0,MIN(O47,Tax_Bands!O$10+O41)-(Tax_Bands!O$9+O41))+Tax_Bands!O$20*MAX(0,O47-(Tax_Bands!O$10+O41))</f>
        <v>67926.7850194485</v>
      </c>
      <c r="P48" s="20" t="n">
        <f aca="false">Tax_Bands!P$18*MIN(P47,Tax_Bands!P$9+P41)+Tax_Bands!P$19*MAX(0,MIN(P47,Tax_Bands!P$10+P41)-(Tax_Bands!P$9+P41))+Tax_Bands!P$20*MAX(0,P47-(Tax_Bands!P$10+P41))</f>
        <v>69285.3207198375</v>
      </c>
      <c r="Q48" s="20" t="n">
        <f aca="false">Tax_Bands!Q$18*MIN(Q47,Tax_Bands!Q$9+Q41)+Tax_Bands!Q$19*MAX(0,MIN(Q47,Tax_Bands!Q$10+Q41)-(Tax_Bands!Q$9+Q41))+Tax_Bands!Q$20*MAX(0,Q47-(Tax_Bands!Q$10+Q41))</f>
        <v>70671.0271342342</v>
      </c>
      <c r="R48" s="20" t="n">
        <f aca="false">Tax_Bands!R$18*MIN(R47,Tax_Bands!R$9+R41)+Tax_Bands!R$19*MAX(0,MIN(R47,Tax_Bands!R$10+R41)-(Tax_Bands!R$9+R41))+Tax_Bands!R$20*MAX(0,R47-(Tax_Bands!R$10+R41))</f>
        <v>72084.4476769189</v>
      </c>
      <c r="S48" s="20" t="n">
        <f aca="false">Tax_Bands!S$18*MIN(S47,Tax_Bands!S$9+S41)+Tax_Bands!S$19*MAX(0,MIN(S47,Tax_Bands!S$10+S41)-(Tax_Bands!S$9+S41))+Tax_Bands!S$20*MAX(0,S47-(Tax_Bands!S$10+S41))</f>
        <v>73526.1366304573</v>
      </c>
      <c r="T48" s="20" t="n">
        <f aca="false">Tax_Bands!T$18*MIN(T47,Tax_Bands!T$9+T41)+Tax_Bands!T$19*MAX(0,MIN(T47,Tax_Bands!T$10+T41)-(Tax_Bands!T$9+T41))+Tax_Bands!T$20*MAX(0,T47-(Tax_Bands!T$10+T41))</f>
        <v>74996.6593630665</v>
      </c>
      <c r="U48" s="20" t="n">
        <f aca="false">Tax_Bands!U$18*MIN(U47,Tax_Bands!U$9+U41)+Tax_Bands!U$19*MAX(0,MIN(U47,Tax_Bands!U$10+U41)-(Tax_Bands!U$9+U41))+Tax_Bands!U$20*MAX(0,U47-(Tax_Bands!U$10+U41))</f>
        <v>76496.5925503278</v>
      </c>
      <c r="V48" s="20" t="n">
        <f aca="false">Tax_Bands!V$18*MIN(V47,Tax_Bands!V$9+V41)+Tax_Bands!V$19*MAX(0,MIN(V47,Tax_Bands!V$10+V41)-(Tax_Bands!V$9+V41))+Tax_Bands!V$20*MAX(0,V47-(Tax_Bands!V$10+V41))</f>
        <v>78026.5244013343</v>
      </c>
      <c r="W48" s="20" t="n">
        <f aca="false">Tax_Bands!W$18*MIN(W47,Tax_Bands!W$9+W41)+Tax_Bands!W$19*MAX(0,MIN(W47,Tax_Bands!W$10+W41)-(Tax_Bands!W$9+W41))+Tax_Bands!W$20*MAX(0,W47-(Tax_Bands!W$10+W41))</f>
        <v>79587.054889361</v>
      </c>
      <c r="X48" s="20" t="n">
        <f aca="false">Tax_Bands!X$18*MIN(X47,Tax_Bands!X$9+X41)+Tax_Bands!X$19*MAX(0,MIN(X47,Tax_Bands!X$10+X41)-(Tax_Bands!X$9+X41))+Tax_Bands!X$20*MAX(0,X47-(Tax_Bands!X$10+X41))</f>
        <v>81178.7959871482</v>
      </c>
      <c r="Y48" s="20" t="n">
        <f aca="false">Tax_Bands!Y$18*MIN(Y47,Tax_Bands!Y$9+Y41)+Tax_Bands!Y$19*MAX(0,MIN(Y47,Tax_Bands!Y$10+Y41)-(Tax_Bands!Y$9+Y41))+Tax_Bands!Y$20*MAX(0,Y47-(Tax_Bands!Y$10+Y41))</f>
        <v>82802.3719068912</v>
      </c>
      <c r="Z48" s="20" t="n">
        <f aca="false">Tax_Bands!Z$18*MIN(Z47,Tax_Bands!Z$9+Z41)+Tax_Bands!Z$19*MAX(0,MIN(Z47,Tax_Bands!Z$10+Z41)-(Tax_Bands!Z$9+Z41))+Tax_Bands!Z$20*MAX(0,Z47-(Tax_Bands!Z$10+Z41))</f>
        <v>84458.419345029</v>
      </c>
      <c r="AA48" s="20" t="n">
        <f aca="false">Tax_Bands!AA$18*MIN(AA47,Tax_Bands!AA$9+AA41)+Tax_Bands!AA$19*MAX(0,MIN(AA47,Tax_Bands!AA$10+AA41)-(Tax_Bands!AA$9+AA41))+Tax_Bands!AA$20*MAX(0,AA47-(Tax_Bands!AA$10+AA41))</f>
        <v>86147.5877319296</v>
      </c>
      <c r="AB48" s="20" t="n">
        <f aca="false">Tax_Bands!AB$18*MIN(AB47,Tax_Bands!AB$9+AB41)+Tax_Bands!AB$19*MAX(0,MIN(AB47,Tax_Bands!AB$10+AB41)-(Tax_Bands!AB$9+AB41))+Tax_Bands!AB$20*MAX(0,AB47-(Tax_Bands!AB$10+AB41))</f>
        <v>87870.5394865682</v>
      </c>
      <c r="AC48" s="20" t="n">
        <f aca="false">Tax_Bands!AC$18*MIN(AC47,Tax_Bands!AC$9+AC41)+Tax_Bands!AC$19*MAX(0,MIN(AC47,Tax_Bands!AC$10+AC41)-(Tax_Bands!AC$9+AC41))+Tax_Bands!AC$20*MAX(0,AC47-(Tax_Bands!AC$10+AC41))</f>
        <v>89627.9502762995</v>
      </c>
      <c r="AD48" s="20" t="n">
        <f aca="false">Tax_Bands!AD$18*MIN(AD47,Tax_Bands!AD$9+AD41)+Tax_Bands!AD$19*MAX(0,MIN(AD47,Tax_Bands!AD$10+AD41)-(Tax_Bands!AD$9+AD41))+Tax_Bands!AD$20*MAX(0,AD47-(Tax_Bands!AD$10+AD41))</f>
        <v>91420.5092818256</v>
      </c>
      <c r="AE48" s="20" t="n">
        <f aca="false">Tax_Bands!AE$18*MIN(AE47,Tax_Bands!AE$9+AE41)+Tax_Bands!AE$19*MAX(0,MIN(AE47,Tax_Bands!AE$10+AE41)-(Tax_Bands!AE$9+AE41))+Tax_Bands!AE$20*MAX(0,AE47-(Tax_Bands!AE$10+AE41))</f>
        <v>93248.9194674621</v>
      </c>
      <c r="AF48" s="20" t="n">
        <f aca="false">Tax_Bands!AF$18*MIN(AF47,Tax_Bands!AF$9+AF41)+Tax_Bands!AF$19*MAX(0,MIN(AF47,Tax_Bands!AF$10+AF41)-(Tax_Bands!AF$9+AF41))+Tax_Bands!AF$20*MAX(0,AF47-(Tax_Bands!AF$10+AF41))</f>
        <v>95113.8978568113</v>
      </c>
    </row>
    <row r="49" customFormat="false" ht="15" hidden="false" customHeight="true" outlineLevel="0" collapsed="false">
      <c r="B49" s="56" t="s">
        <v>545</v>
      </c>
      <c r="C49" s="20" t="n">
        <f aca="false">C19-C48</f>
        <v>9921</v>
      </c>
      <c r="D49" s="20" t="n">
        <f aca="false">D19-D48</f>
        <v>9754.33969465648</v>
      </c>
      <c r="E49" s="20" t="n">
        <f aca="false">E19-E48</f>
        <v>5903.77566527313</v>
      </c>
      <c r="F49" s="20" t="n">
        <f aca="false">F19-F48</f>
        <v>8364.18567833096</v>
      </c>
      <c r="G49" s="20" t="n">
        <f aca="false">G19-G48</f>
        <v>8751.3576</v>
      </c>
      <c r="H49" s="20" t="n">
        <f aca="false">H19-H48</f>
        <v>8926.38475200001</v>
      </c>
      <c r="I49" s="20" t="n">
        <f aca="false">I19-I48</f>
        <v>9104.91244704</v>
      </c>
      <c r="J49" s="20" t="n">
        <f aca="false">J19-J48</f>
        <v>9287.0106959808</v>
      </c>
      <c r="K49" s="20" t="n">
        <f aca="false">K19-K48</f>
        <v>9472.75090990041</v>
      </c>
      <c r="L49" s="20" t="n">
        <f aca="false">L19-L48</f>
        <v>9662.20592809843</v>
      </c>
      <c r="M49" s="20" t="n">
        <f aca="false">M19-M48</f>
        <v>9855.45004666039</v>
      </c>
      <c r="N49" s="20" t="n">
        <f aca="false">N19-N48</f>
        <v>10052.5590475936</v>
      </c>
      <c r="O49" s="20" t="n">
        <f aca="false">O19-O48</f>
        <v>10253.6102285455</v>
      </c>
      <c r="P49" s="20" t="n">
        <f aca="false">P19-P48</f>
        <v>10458.6824331164</v>
      </c>
      <c r="Q49" s="20" t="n">
        <f aca="false">Q19-Q48</f>
        <v>10667.8560817787</v>
      </c>
      <c r="R49" s="20" t="n">
        <f aca="false">R19-R48</f>
        <v>10881.2132034143</v>
      </c>
      <c r="S49" s="20" t="n">
        <f aca="false">S19-S48</f>
        <v>11098.8374674826</v>
      </c>
      <c r="T49" s="20" t="n">
        <f aca="false">T19-T48</f>
        <v>11320.8142168322</v>
      </c>
      <c r="U49" s="20" t="n">
        <f aca="false">U19-U48</f>
        <v>11547.2305011689</v>
      </c>
      <c r="V49" s="20" t="n">
        <f aca="false">V19-V48</f>
        <v>11778.1751111923</v>
      </c>
      <c r="W49" s="20" t="n">
        <f aca="false">W19-W48</f>
        <v>12013.7386134161</v>
      </c>
      <c r="X49" s="20" t="n">
        <f aca="false">X19-X48</f>
        <v>12254.0133856844</v>
      </c>
      <c r="Y49" s="20" t="n">
        <f aca="false">Y19-Y48</f>
        <v>12499.0936533981</v>
      </c>
      <c r="Z49" s="20" t="n">
        <f aca="false">Z19-Z48</f>
        <v>12749.0755264661</v>
      </c>
      <c r="AA49" s="20" t="n">
        <f aca="false">AA19-AA48</f>
        <v>13004.0570369954</v>
      </c>
      <c r="AB49" s="20" t="n">
        <f aca="false">AB19-AB48</f>
        <v>13264.1381777353</v>
      </c>
      <c r="AC49" s="20" t="n">
        <f aca="false">AC19-AC48</f>
        <v>13529.42094129</v>
      </c>
      <c r="AD49" s="20" t="n">
        <f aca="false">AD19-AD48</f>
        <v>13800.0093601158</v>
      </c>
      <c r="AE49" s="20" t="n">
        <f aca="false">AE19-AE48</f>
        <v>14076.0095473181</v>
      </c>
      <c r="AF49" s="20" t="n">
        <f aca="false">AF19-AF48</f>
        <v>14357.5297382645</v>
      </c>
    </row>
    <row r="50" customFormat="false" ht="15" hidden="false" customHeight="true" outlineLevel="0" collapsed="false">
      <c r="B50" s="56" t="s">
        <v>546</v>
      </c>
      <c r="C50" s="20" t="n">
        <f aca="false">MAX(0,Tax_Bands!C$7-MAX(0,C44-C42-Tax_Bands!C$8)/2)</f>
        <v>0</v>
      </c>
      <c r="D50" s="20" t="n">
        <f aca="false">MAX(0,Tax_Bands!D$7-MAX(0,D44-D42-Tax_Bands!D$8)/2)</f>
        <v>0</v>
      </c>
      <c r="E50" s="20" t="n">
        <f aca="false">MAX(0,Tax_Bands!E$7-MAX(0,E44-E42-Tax_Bands!E$8)/2)</f>
        <v>0</v>
      </c>
      <c r="F50" s="20" t="n">
        <f aca="false">MAX(0,Tax_Bands!F$7-MAX(0,F44-F42-Tax_Bands!F$8)/2)</f>
        <v>0</v>
      </c>
      <c r="G50" s="20" t="n">
        <f aca="false">MAX(0,Tax_Bands!G$7-MAX(0,G44-G42-Tax_Bands!G$8)/2)</f>
        <v>0</v>
      </c>
      <c r="H50" s="20" t="n">
        <f aca="false">MAX(0,Tax_Bands!H$7-MAX(0,H44-H42-Tax_Bands!H$8)/2)</f>
        <v>0</v>
      </c>
      <c r="I50" s="20" t="n">
        <f aca="false">MAX(0,Tax_Bands!I$7-MAX(0,I44-I42-Tax_Bands!I$8)/2)</f>
        <v>0</v>
      </c>
      <c r="J50" s="20" t="n">
        <f aca="false">MAX(0,Tax_Bands!J$7-MAX(0,J44-J42-Tax_Bands!J$8)/2)</f>
        <v>0</v>
      </c>
      <c r="K50" s="20" t="n">
        <f aca="false">MAX(0,Tax_Bands!K$7-MAX(0,K44-K42-Tax_Bands!K$8)/2)</f>
        <v>0</v>
      </c>
      <c r="L50" s="20" t="n">
        <f aca="false">MAX(0,Tax_Bands!L$7-MAX(0,L44-L42-Tax_Bands!L$8)/2)</f>
        <v>0</v>
      </c>
      <c r="M50" s="20" t="n">
        <f aca="false">MAX(0,Tax_Bands!M$7-MAX(0,M44-M42-Tax_Bands!M$8)/2)</f>
        <v>0</v>
      </c>
      <c r="N50" s="20" t="n">
        <f aca="false">MAX(0,Tax_Bands!N$7-MAX(0,N44-N42-Tax_Bands!N$8)/2)</f>
        <v>0</v>
      </c>
      <c r="O50" s="20" t="n">
        <f aca="false">MAX(0,Tax_Bands!O$7-MAX(0,O44-O42-Tax_Bands!O$8)/2)</f>
        <v>0</v>
      </c>
      <c r="P50" s="20" t="n">
        <f aca="false">MAX(0,Tax_Bands!P$7-MAX(0,P44-P42-Tax_Bands!P$8)/2)</f>
        <v>0</v>
      </c>
      <c r="Q50" s="20" t="n">
        <f aca="false">MAX(0,Tax_Bands!Q$7-MAX(0,Q44-Q42-Tax_Bands!Q$8)/2)</f>
        <v>0</v>
      </c>
      <c r="R50" s="20" t="n">
        <f aca="false">MAX(0,Tax_Bands!R$7-MAX(0,R44-R42-Tax_Bands!R$8)/2)</f>
        <v>0</v>
      </c>
      <c r="S50" s="20" t="n">
        <f aca="false">MAX(0,Tax_Bands!S$7-MAX(0,S44-S42-Tax_Bands!S$8)/2)</f>
        <v>0</v>
      </c>
      <c r="T50" s="20" t="n">
        <f aca="false">MAX(0,Tax_Bands!T$7-MAX(0,T44-T42-Tax_Bands!T$8)/2)</f>
        <v>0</v>
      </c>
      <c r="U50" s="20" t="n">
        <f aca="false">MAX(0,Tax_Bands!U$7-MAX(0,U44-U42-Tax_Bands!U$8)/2)</f>
        <v>0</v>
      </c>
      <c r="V50" s="20" t="n">
        <f aca="false">MAX(0,Tax_Bands!V$7-MAX(0,V44-V42-Tax_Bands!V$8)/2)</f>
        <v>0</v>
      </c>
      <c r="W50" s="20" t="n">
        <f aca="false">MAX(0,Tax_Bands!W$7-MAX(0,W44-W42-Tax_Bands!W$8)/2)</f>
        <v>0</v>
      </c>
      <c r="X50" s="20" t="n">
        <f aca="false">MAX(0,Tax_Bands!X$7-MAX(0,X44-X42-Tax_Bands!X$8)/2)</f>
        <v>0</v>
      </c>
      <c r="Y50" s="20" t="n">
        <f aca="false">MAX(0,Tax_Bands!Y$7-MAX(0,Y44-Y42-Tax_Bands!Y$8)/2)</f>
        <v>0</v>
      </c>
      <c r="Z50" s="20" t="n">
        <f aca="false">MAX(0,Tax_Bands!Z$7-MAX(0,Z44-Z42-Tax_Bands!Z$8)/2)</f>
        <v>0</v>
      </c>
      <c r="AA50" s="20" t="n">
        <f aca="false">MAX(0,Tax_Bands!AA$7-MAX(0,AA44-AA42-Tax_Bands!AA$8)/2)</f>
        <v>0</v>
      </c>
      <c r="AB50" s="20" t="n">
        <f aca="false">MAX(0,Tax_Bands!AB$7-MAX(0,AB44-AB42-Tax_Bands!AB$8)/2)</f>
        <v>0</v>
      </c>
      <c r="AC50" s="20" t="n">
        <f aca="false">MAX(0,Tax_Bands!AC$7-MAX(0,AC44-AC42-Tax_Bands!AC$8)/2)</f>
        <v>0</v>
      </c>
      <c r="AD50" s="20" t="n">
        <f aca="false">MAX(0,Tax_Bands!AD$7-MAX(0,AD44-AD42-Tax_Bands!AD$8)/2)</f>
        <v>0</v>
      </c>
      <c r="AE50" s="20" t="n">
        <f aca="false">MAX(0,Tax_Bands!AE$7-MAX(0,AE44-AE42-Tax_Bands!AE$8)/2)</f>
        <v>0</v>
      </c>
      <c r="AF50" s="20" t="n">
        <f aca="false">MAX(0,Tax_Bands!AF$7-MAX(0,AF44-AF42-Tax_Bands!AF$8)/2)</f>
        <v>0</v>
      </c>
    </row>
    <row r="51" customFormat="false" ht="15" hidden="false" customHeight="true" outlineLevel="0" collapsed="false">
      <c r="B51" s="56" t="s">
        <v>547</v>
      </c>
      <c r="C51" s="20" t="n">
        <f aca="false">MAX(0,C44-C50)</f>
        <v>174400</v>
      </c>
      <c r="D51" s="20" t="n">
        <f aca="false">MAX(0,D44-D50)</f>
        <v>181376</v>
      </c>
      <c r="E51" s="20" t="n">
        <f aca="false">MAX(0,E44-E50)</f>
        <v>188631.04</v>
      </c>
      <c r="F51" s="20" t="n">
        <f aca="false">MAX(0,F44-F50)</f>
        <v>192403.6608</v>
      </c>
      <c r="G51" s="20" t="n">
        <f aca="false">MAX(0,G44-G50)</f>
        <v>196251.734016</v>
      </c>
      <c r="H51" s="20" t="n">
        <f aca="false">MAX(0,H44-H50)</f>
        <v>200176.76869632</v>
      </c>
      <c r="I51" s="20" t="n">
        <f aca="false">MAX(0,I44-I50)</f>
        <v>204180.304070247</v>
      </c>
      <c r="J51" s="20" t="n">
        <f aca="false">MAX(0,J44-J50)</f>
        <v>208263.910151651</v>
      </c>
      <c r="K51" s="20" t="n">
        <f aca="false">MAX(0,K44-K50)</f>
        <v>212429.188354684</v>
      </c>
      <c r="L51" s="20" t="n">
        <f aca="false">MAX(0,L44-L50)</f>
        <v>216677.772121778</v>
      </c>
      <c r="M51" s="20" t="n">
        <f aca="false">MAX(0,M44-M50)</f>
        <v>221011.327564214</v>
      </c>
      <c r="N51" s="20" t="n">
        <f aca="false">MAX(0,N44-N50)</f>
        <v>225431.554115498</v>
      </c>
      <c r="O51" s="20" t="n">
        <f aca="false">MAX(0,O44-O50)</f>
        <v>229940.185197808</v>
      </c>
      <c r="P51" s="20" t="n">
        <f aca="false">MAX(0,P44-P50)</f>
        <v>234538.988901764</v>
      </c>
      <c r="Q51" s="20" t="n">
        <f aca="false">MAX(0,Q44-Q50)</f>
        <v>239229.768679799</v>
      </c>
      <c r="R51" s="20" t="n">
        <f aca="false">MAX(0,R44-R50)</f>
        <v>244014.364053395</v>
      </c>
      <c r="S51" s="20" t="n">
        <f aca="false">MAX(0,S44-S50)</f>
        <v>248894.651334463</v>
      </c>
      <c r="T51" s="20" t="n">
        <f aca="false">MAX(0,T44-T50)</f>
        <v>253872.544361153</v>
      </c>
      <c r="U51" s="20" t="n">
        <f aca="false">MAX(0,U44-U50)</f>
        <v>258949.995248376</v>
      </c>
      <c r="V51" s="20" t="n">
        <f aca="false">MAX(0,V44-V50)</f>
        <v>264128.995153343</v>
      </c>
      <c r="W51" s="20" t="n">
        <f aca="false">MAX(0,W44-W50)</f>
        <v>269411.57505641</v>
      </c>
      <c r="X51" s="20" t="n">
        <f aca="false">MAX(0,X44-X50)</f>
        <v>274799.806557538</v>
      </c>
      <c r="Y51" s="20" t="n">
        <f aca="false">MAX(0,Y44-Y50)</f>
        <v>280295.802688689</v>
      </c>
      <c r="Z51" s="20" t="n">
        <f aca="false">MAX(0,Z44-Z50)</f>
        <v>285901.718742463</v>
      </c>
      <c r="AA51" s="20" t="n">
        <f aca="false">MAX(0,AA44-AA50)</f>
        <v>291619.753117312</v>
      </c>
      <c r="AB51" s="20" t="n">
        <f aca="false">MAX(0,AB44-AB50)</f>
        <v>297452.148179658</v>
      </c>
      <c r="AC51" s="20" t="n">
        <f aca="false">MAX(0,AC44-AC50)</f>
        <v>303401.191143251</v>
      </c>
      <c r="AD51" s="20" t="n">
        <f aca="false">MAX(0,AD44-AD50)</f>
        <v>309469.214966116</v>
      </c>
      <c r="AE51" s="20" t="n">
        <f aca="false">MAX(0,AE44-AE50)</f>
        <v>315658.599265439</v>
      </c>
      <c r="AF51" s="20" t="n">
        <f aca="false">MAX(0,AF44-AF50)</f>
        <v>321971.771250748</v>
      </c>
    </row>
    <row r="52" customFormat="false" ht="15" hidden="false" customHeight="true" outlineLevel="0" collapsed="false">
      <c r="B52" s="56" t="s">
        <v>548</v>
      </c>
      <c r="C52" s="20" t="n">
        <f aca="false">Tax_Bands!C$18*MIN(C51,Tax_Bands!C$9+C42)+Tax_Bands!C$19*MAX(0,MIN(C51,Tax_Bands!C$10+C42)-(Tax_Bands!C$9+C42))+Tax_Bands!C$20*MAX(0,C51-(Tax_Bands!C$10+C42))</f>
        <v>57483</v>
      </c>
      <c r="D52" s="20" t="n">
        <f aca="false">Tax_Bands!D$18*MIN(D51,Tax_Bands!D$9+D42)+Tax_Bands!D$19*MAX(0,MIN(D51,Tax_Bands!D$10+D42)-(Tax_Bands!D$9+D42))+Tax_Bands!D$20*MAX(0,D51-(Tax_Bands!D$10+D42))</f>
        <v>62530.9748091603</v>
      </c>
      <c r="E52" s="20" t="n">
        <f aca="false">Tax_Bands!E$18*MIN(E51,Tax_Bands!E$9+E42)+Tax_Bands!E$19*MAX(0,MIN(E51,Tax_Bands!E$10+E42)-(Tax_Bands!E$9+E42))+Tax_Bands!E$20*MAX(0,E51-(Tax_Bands!E$10+E42))</f>
        <v>67326.8115407957</v>
      </c>
      <c r="F52" s="20" t="n">
        <f aca="false">Tax_Bands!F$18*MIN(F51,Tax_Bands!F$9+F42)+Tax_Bands!F$19*MAX(0,MIN(F51,Tax_Bands!F$10+F42)-(Tax_Bands!F$9+F42))+Tax_Bands!F$20*MAX(0,F51-(Tax_Bands!F$10+F42))</f>
        <v>66757.158338331</v>
      </c>
      <c r="G52" s="20" t="n">
        <f aca="false">Tax_Bands!G$18*MIN(G51,Tax_Bands!G$9+G42)+Tax_Bands!G$19*MAX(0,MIN(G51,Tax_Bands!G$10+G42)-(Tax_Bands!G$9+G42))+Tax_Bands!G$20*MAX(0,G51-(Tax_Bands!G$10+G42))</f>
        <v>68293.5940992</v>
      </c>
      <c r="H52" s="20" t="n">
        <f aca="false">Tax_Bands!H$18*MIN(H51,Tax_Bands!H$9+H42)+Tax_Bands!H$19*MAX(0,MIN(H51,Tax_Bands!H$10+H42)-(Tax_Bands!H$9+H42))+Tax_Bands!H$20*MAX(0,H51-(Tax_Bands!H$10+H42))</f>
        <v>69659.465981184</v>
      </c>
      <c r="I52" s="20" t="n">
        <f aca="false">Tax_Bands!I$18*MIN(I51,Tax_Bands!I$9+I42)+Tax_Bands!I$19*MAX(0,MIN(I51,Tax_Bands!I$10+I42)-(Tax_Bands!I$9+I42))+Tax_Bands!I$20*MAX(0,I51-(Tax_Bands!I$10+I42))</f>
        <v>71052.6553008077</v>
      </c>
      <c r="J52" s="20" t="n">
        <f aca="false">Tax_Bands!J$18*MIN(J51,Tax_Bands!J$9+J42)+Tax_Bands!J$19*MAX(0,MIN(J51,Tax_Bands!J$10+J42)-(Tax_Bands!J$9+J42))+Tax_Bands!J$20*MAX(0,J51-(Tax_Bands!J$10+J42))</f>
        <v>72473.7084068239</v>
      </c>
      <c r="K52" s="20" t="n">
        <f aca="false">Tax_Bands!K$18*MIN(K51,Tax_Bands!K$9+K42)+Tax_Bands!K$19*MAX(0,MIN(K51,Tax_Bands!K$10+K42)-(Tax_Bands!K$9+K42))+Tax_Bands!K$20*MAX(0,K51-(Tax_Bands!K$10+K42))</f>
        <v>73923.1825749603</v>
      </c>
      <c r="L52" s="20" t="n">
        <f aca="false">Tax_Bands!L$18*MIN(L51,Tax_Bands!L$9+L42)+Tax_Bands!L$19*MAX(0,MIN(L51,Tax_Bands!L$10+L42)-(Tax_Bands!L$9+L42))+Tax_Bands!L$20*MAX(0,L51-(Tax_Bands!L$10+L42))</f>
        <v>75401.6462264596</v>
      </c>
      <c r="M52" s="20" t="n">
        <f aca="false">Tax_Bands!M$18*MIN(M51,Tax_Bands!M$9+M42)+Tax_Bands!M$19*MAX(0,MIN(M51,Tax_Bands!M$10+M42)-(Tax_Bands!M$9+M42))+Tax_Bands!M$20*MAX(0,M51-(Tax_Bands!M$10+M42))</f>
        <v>76909.6791509887</v>
      </c>
      <c r="N52" s="20" t="n">
        <f aca="false">Tax_Bands!N$18*MIN(N51,Tax_Bands!N$9+N42)+Tax_Bands!N$19*MAX(0,MIN(N51,Tax_Bands!N$10+N42)-(Tax_Bands!N$9+N42))+Tax_Bands!N$20*MAX(0,N51-(Tax_Bands!N$10+N42))</f>
        <v>78447.8727340085</v>
      </c>
      <c r="O52" s="20" t="n">
        <f aca="false">Tax_Bands!O$18*MIN(O51,Tax_Bands!O$9+O42)+Tax_Bands!O$19*MAX(0,MIN(O51,Tax_Bands!O$10+O42)-(Tax_Bands!O$9+O42))+Tax_Bands!O$20*MAX(0,O51-(Tax_Bands!O$10+O42))</f>
        <v>80016.8301886887</v>
      </c>
      <c r="P52" s="20" t="n">
        <f aca="false">Tax_Bands!P$18*MIN(P51,Tax_Bands!P$9+P42)+Tax_Bands!P$19*MAX(0,MIN(P51,Tax_Bands!P$10+P42)-(Tax_Bands!P$9+P42))+Tax_Bands!P$20*MAX(0,P51-(Tax_Bands!P$10+P42))</f>
        <v>81617.1667924625</v>
      </c>
      <c r="Q52" s="20" t="n">
        <f aca="false">Tax_Bands!Q$18*MIN(Q51,Tax_Bands!Q$9+Q42)+Tax_Bands!Q$19*MAX(0,MIN(Q51,Tax_Bands!Q$10+Q42)-(Tax_Bands!Q$9+Q42))+Tax_Bands!Q$20*MAX(0,Q51-(Tax_Bands!Q$10+Q42))</f>
        <v>83249.5101283117</v>
      </c>
      <c r="R52" s="20" t="n">
        <f aca="false">Tax_Bands!R$18*MIN(R51,Tax_Bands!R$9+R42)+Tax_Bands!R$19*MAX(0,MIN(R51,Tax_Bands!R$10+R42)-(Tax_Bands!R$9+R42))+Tax_Bands!R$20*MAX(0,R51-(Tax_Bands!R$10+R42))</f>
        <v>84914.5003308779</v>
      </c>
      <c r="S52" s="20" t="n">
        <f aca="false">Tax_Bands!S$18*MIN(S51,Tax_Bands!S$9+S42)+Tax_Bands!S$19*MAX(0,MIN(S51,Tax_Bands!S$10+S42)-(Tax_Bands!S$9+S42))+Tax_Bands!S$20*MAX(0,S51-(Tax_Bands!S$10+S42))</f>
        <v>86612.7903374955</v>
      </c>
      <c r="T52" s="20" t="n">
        <f aca="false">Tax_Bands!T$18*MIN(T51,Tax_Bands!T$9+T42)+Tax_Bands!T$19*MAX(0,MIN(T51,Tax_Bands!T$10+T42)-(Tax_Bands!T$9+T42))+Tax_Bands!T$20*MAX(0,T51-(Tax_Bands!T$10+T42))</f>
        <v>88345.0461442454</v>
      </c>
      <c r="U52" s="20" t="n">
        <f aca="false">Tax_Bands!U$18*MIN(U51,Tax_Bands!U$9+U42)+Tax_Bands!U$19*MAX(0,MIN(U51,Tax_Bands!U$10+U42)-(Tax_Bands!U$9+U42))+Tax_Bands!U$20*MAX(0,U51-(Tax_Bands!U$10+U42))</f>
        <v>90111.9470671303</v>
      </c>
      <c r="V52" s="20" t="n">
        <f aca="false">Tax_Bands!V$18*MIN(V51,Tax_Bands!V$9+V42)+Tax_Bands!V$19*MAX(0,MIN(V51,Tax_Bands!V$10+V42)-(Tax_Bands!V$9+V42))+Tax_Bands!V$20*MAX(0,V51-(Tax_Bands!V$10+V42))</f>
        <v>91914.186008473</v>
      </c>
      <c r="W52" s="20" t="n">
        <f aca="false">Tax_Bands!W$18*MIN(W51,Tax_Bands!W$9+W42)+Tax_Bands!W$19*MAX(0,MIN(W51,Tax_Bands!W$10+W42)-(Tax_Bands!W$9+W42))+Tax_Bands!W$20*MAX(0,W51-(Tax_Bands!W$10+W42))</f>
        <v>93752.4697286424</v>
      </c>
      <c r="X52" s="20" t="n">
        <f aca="false">Tax_Bands!X$18*MIN(X51,Tax_Bands!X$9+X42)+Tax_Bands!X$19*MAX(0,MIN(X51,Tax_Bands!X$10+X42)-(Tax_Bands!X$9+X42))+Tax_Bands!X$20*MAX(0,X51-(Tax_Bands!X$10+X42))</f>
        <v>95627.5191232152</v>
      </c>
      <c r="Y52" s="20" t="n">
        <f aca="false">Tax_Bands!Y$18*MIN(Y51,Tax_Bands!Y$9+Y42)+Tax_Bands!Y$19*MAX(0,MIN(Y51,Tax_Bands!Y$10+Y42)-(Tax_Bands!Y$9+Y42))+Tax_Bands!Y$20*MAX(0,Y51-(Tax_Bands!Y$10+Y42))</f>
        <v>97540.0695056795</v>
      </c>
      <c r="Z52" s="20" t="n">
        <f aca="false">Tax_Bands!Z$18*MIN(Z51,Tax_Bands!Z$9+Z42)+Tax_Bands!Z$19*MAX(0,MIN(Z51,Tax_Bands!Z$10+Z42)-(Tax_Bands!Z$9+Z42))+Tax_Bands!Z$20*MAX(0,Z51-(Tax_Bands!Z$10+Z42))</f>
        <v>99490.8708957931</v>
      </c>
      <c r="AA52" s="20" t="n">
        <f aca="false">Tax_Bands!AA$18*MIN(AA51,Tax_Bands!AA$9+AA42)+Tax_Bands!AA$19*MAX(0,MIN(AA51,Tax_Bands!AA$10+AA42)-(Tax_Bands!AA$9+AA42))+Tax_Bands!AA$20*MAX(0,AA51-(Tax_Bands!AA$10+AA42))</f>
        <v>101480.688313709</v>
      </c>
      <c r="AB52" s="20" t="n">
        <f aca="false">Tax_Bands!AB$18*MIN(AB51,Tax_Bands!AB$9+AB42)+Tax_Bands!AB$19*MAX(0,MIN(AB51,Tax_Bands!AB$10+AB42)-(Tax_Bands!AB$9+AB42))+Tax_Bands!AB$20*MAX(0,AB51-(Tax_Bands!AB$10+AB42))</f>
        <v>103510.302079983</v>
      </c>
      <c r="AC52" s="20" t="n">
        <f aca="false">Tax_Bands!AC$18*MIN(AC51,Tax_Bands!AC$9+AC42)+Tax_Bands!AC$19*MAX(0,MIN(AC51,Tax_Bands!AC$10+AC42)-(Tax_Bands!AC$9+AC42))+Tax_Bands!AC$20*MAX(0,AC51-(Tax_Bands!AC$10+AC42))</f>
        <v>105580.508121583</v>
      </c>
      <c r="AD52" s="20" t="n">
        <f aca="false">Tax_Bands!AD$18*MIN(AD51,Tax_Bands!AD$9+AD42)+Tax_Bands!AD$19*MAX(0,MIN(AD51,Tax_Bands!AD$10+AD42)-(Tax_Bands!AD$9+AD42))+Tax_Bands!AD$20*MAX(0,AD51-(Tax_Bands!AD$10+AD42))</f>
        <v>107692.118284015</v>
      </c>
      <c r="AE52" s="20" t="n">
        <f aca="false">Tax_Bands!AE$18*MIN(AE51,Tax_Bands!AE$9+AE42)+Tax_Bands!AE$19*MAX(0,MIN(AE51,Tax_Bands!AE$10+AE42)-(Tax_Bands!AE$9+AE42))+Tax_Bands!AE$20*MAX(0,AE51-(Tax_Bands!AE$10+AE42))</f>
        <v>109845.960649695</v>
      </c>
      <c r="AF52" s="20" t="n">
        <f aca="false">Tax_Bands!AF$18*MIN(AF51,Tax_Bands!AF$9+AF42)+Tax_Bands!AF$19*MAX(0,MIN(AF51,Tax_Bands!AF$10+AF42)-(Tax_Bands!AF$9+AF42))+Tax_Bands!AF$20*MAX(0,AF51-(Tax_Bands!AF$10+AF42))</f>
        <v>112042.879862689</v>
      </c>
    </row>
    <row r="53" customFormat="false" ht="15" hidden="false" customHeight="true" outlineLevel="0" collapsed="false">
      <c r="B53" s="56" t="s">
        <v>549</v>
      </c>
      <c r="C53" s="20" t="n">
        <f aca="false">C45-C52</f>
        <v>7200</v>
      </c>
      <c r="D53" s="20" t="n">
        <f aca="false">D45-D52</f>
        <v>5291.22519083968</v>
      </c>
      <c r="E53" s="20" t="n">
        <f aca="false">E45-E52</f>
        <v>3760.1564592043</v>
      </c>
      <c r="F53" s="20" t="n">
        <f aca="false">F45-F52</f>
        <v>6027.48902166903</v>
      </c>
      <c r="G53" s="20" t="n">
        <f aca="false">G45-G52</f>
        <v>6222.686208</v>
      </c>
      <c r="H53" s="20" t="n">
        <f aca="false">H45-H52</f>
        <v>6347.13993216</v>
      </c>
      <c r="I53" s="20" t="n">
        <f aca="false">I45-I52</f>
        <v>6474.0827308032</v>
      </c>
      <c r="J53" s="20" t="n">
        <f aca="false">J45-J52</f>
        <v>6603.56438541928</v>
      </c>
      <c r="K53" s="20" t="n">
        <f aca="false">K45-K52</f>
        <v>6735.63567312765</v>
      </c>
      <c r="L53" s="20" t="n">
        <f aca="false">L45-L52</f>
        <v>6870.34838659019</v>
      </c>
      <c r="M53" s="20" t="n">
        <f aca="false">M45-M52</f>
        <v>7007.75535432203</v>
      </c>
      <c r="N53" s="20" t="n">
        <f aca="false">N45-N52</f>
        <v>7147.91046140845</v>
      </c>
      <c r="O53" s="20" t="n">
        <f aca="false">O45-O52</f>
        <v>7290.86867063661</v>
      </c>
      <c r="P53" s="20" t="n">
        <f aca="false">P45-P52</f>
        <v>7436.68604404935</v>
      </c>
      <c r="Q53" s="20" t="n">
        <f aca="false">Q45-Q52</f>
        <v>7585.41976493034</v>
      </c>
      <c r="R53" s="20" t="n">
        <f aca="false">R45-R52</f>
        <v>7737.12816022894</v>
      </c>
      <c r="S53" s="20" t="n">
        <f aca="false">S45-S52</f>
        <v>7891.87072343352</v>
      </c>
      <c r="T53" s="20" t="n">
        <f aca="false">T45-T52</f>
        <v>8049.70813790218</v>
      </c>
      <c r="U53" s="20" t="n">
        <f aca="false">U45-U52</f>
        <v>8210.70230066024</v>
      </c>
      <c r="V53" s="20" t="n">
        <f aca="false">V45-V52</f>
        <v>8374.91634667343</v>
      </c>
      <c r="W53" s="20" t="n">
        <f aca="false">W45-W52</f>
        <v>8542.41467360692</v>
      </c>
      <c r="X53" s="20" t="n">
        <f aca="false">X45-X52</f>
        <v>8713.26296707905</v>
      </c>
      <c r="Y53" s="20" t="n">
        <f aca="false">Y45-Y52</f>
        <v>8887.52822642063</v>
      </c>
      <c r="Z53" s="20" t="n">
        <f aca="false">Z45-Z52</f>
        <v>9065.27879094904</v>
      </c>
      <c r="AA53" s="20" t="n">
        <f aca="false">AA45-AA52</f>
        <v>9246.58436676802</v>
      </c>
      <c r="AB53" s="20" t="n">
        <f aca="false">AB45-AB52</f>
        <v>9431.51605410338</v>
      </c>
      <c r="AC53" s="20" t="n">
        <f aca="false">AC45-AC52</f>
        <v>9620.14637518546</v>
      </c>
      <c r="AD53" s="20" t="n">
        <f aca="false">AD45-AD52</f>
        <v>9812.54930268915</v>
      </c>
      <c r="AE53" s="20" t="n">
        <f aca="false">AE45-AE52</f>
        <v>10008.8002887429</v>
      </c>
      <c r="AF53" s="20" t="n">
        <f aca="false">AF45-AF52</f>
        <v>10208.9762945178</v>
      </c>
    </row>
    <row r="54" customFormat="false" ht="15" hidden="false" customHeight="true" outlineLevel="0" collapsed="false">
      <c r="B54" s="56" t="s">
        <v>354</v>
      </c>
      <c r="C54" s="20" t="n">
        <f aca="false">C49+C53</f>
        <v>17121</v>
      </c>
      <c r="D54" s="20" t="n">
        <f aca="false">D49+D53</f>
        <v>15045.5648854962</v>
      </c>
      <c r="E54" s="20" t="n">
        <f aca="false">E49+E53</f>
        <v>9663.93212447743</v>
      </c>
      <c r="F54" s="20" t="n">
        <f aca="false">F49+F53</f>
        <v>14391.6747</v>
      </c>
      <c r="G54" s="20" t="n">
        <f aca="false">G49+G53</f>
        <v>14974.043808</v>
      </c>
      <c r="H54" s="20" t="n">
        <f aca="false">H49+H53</f>
        <v>15273.52468416</v>
      </c>
      <c r="I54" s="20" t="n">
        <f aca="false">I49+I53</f>
        <v>15578.9951778432</v>
      </c>
      <c r="J54" s="20" t="n">
        <f aca="false">J49+J53</f>
        <v>15890.5750814001</v>
      </c>
      <c r="K54" s="20" t="n">
        <f aca="false">K49+K53</f>
        <v>16208.3865830281</v>
      </c>
      <c r="L54" s="20" t="n">
        <f aca="false">L49+L53</f>
        <v>16532.5543146886</v>
      </c>
      <c r="M54" s="20" t="n">
        <f aca="false">M49+M53</f>
        <v>16863.2054009824</v>
      </c>
      <c r="N54" s="20" t="n">
        <f aca="false">N49+N53</f>
        <v>17200.4695090021</v>
      </c>
      <c r="O54" s="20" t="n">
        <f aca="false">O49+O53</f>
        <v>17544.4788991821</v>
      </c>
      <c r="P54" s="20" t="n">
        <f aca="false">P49+P53</f>
        <v>17895.3684771657</v>
      </c>
      <c r="Q54" s="20" t="n">
        <f aca="false">Q49+Q53</f>
        <v>18253.275846709</v>
      </c>
      <c r="R54" s="20" t="n">
        <f aca="false">R49+R53</f>
        <v>18618.3413636432</v>
      </c>
      <c r="S54" s="20" t="n">
        <f aca="false">S49+S53</f>
        <v>18990.7081909161</v>
      </c>
      <c r="T54" s="20" t="n">
        <f aca="false">T49+T53</f>
        <v>19370.5223547344</v>
      </c>
      <c r="U54" s="20" t="n">
        <f aca="false">U49+U53</f>
        <v>19757.9328018291</v>
      </c>
      <c r="V54" s="20" t="n">
        <f aca="false">V49+V53</f>
        <v>20153.0914578657</v>
      </c>
      <c r="W54" s="20" t="n">
        <f aca="false">W49+W53</f>
        <v>20556.153287023</v>
      </c>
      <c r="X54" s="20" t="n">
        <f aca="false">X49+X53</f>
        <v>20967.2763527635</v>
      </c>
      <c r="Y54" s="20" t="n">
        <f aca="false">Y49+Y53</f>
        <v>21386.6218798187</v>
      </c>
      <c r="Z54" s="20" t="n">
        <f aca="false">Z49+Z53</f>
        <v>21814.3543174151</v>
      </c>
      <c r="AA54" s="20" t="n">
        <f aca="false">AA49+AA53</f>
        <v>22250.6414037634</v>
      </c>
      <c r="AB54" s="20" t="n">
        <f aca="false">AB49+AB53</f>
        <v>22695.6542318387</v>
      </c>
      <c r="AC54" s="20" t="n">
        <f aca="false">AC49+AC53</f>
        <v>23149.5673164755</v>
      </c>
      <c r="AD54" s="20" t="n">
        <f aca="false">AD49+AD53</f>
        <v>23612.558662805</v>
      </c>
      <c r="AE54" s="20" t="n">
        <f aca="false">AE49+AE53</f>
        <v>24084.809836061</v>
      </c>
      <c r="AF54" s="20" t="n">
        <f aca="false">AF49+AF53</f>
        <v>24566.5060327823</v>
      </c>
    </row>
    <row r="55" customFormat="false" ht="15" hidden="false" customHeight="true" outlineLevel="0" collapsed="false">
      <c r="B55" s="16" t="s">
        <v>445</v>
      </c>
      <c r="C55" s="59" t="n">
        <f aca="false">C36-C43+C54</f>
        <v>21423.8</v>
      </c>
      <c r="D55" s="59" t="n">
        <f aca="false">D36-D43+D54</f>
        <v>15045.5648854962</v>
      </c>
      <c r="E55" s="59" t="n">
        <f aca="false">E36-E43+E54</f>
        <v>9663.93212447743</v>
      </c>
      <c r="F55" s="59" t="n">
        <f aca="false">F36-F43+F54</f>
        <v>14391.6747</v>
      </c>
      <c r="G55" s="59" t="n">
        <f aca="false">G36-G43+G54</f>
        <v>23100.0738432</v>
      </c>
      <c r="H55" s="59" t="n">
        <f aca="false">H36-H43+H54</f>
        <v>36318.343106304</v>
      </c>
      <c r="I55" s="59" t="n">
        <f aca="false">I36-I43+I54</f>
        <v>71693.0962523597</v>
      </c>
      <c r="J55" s="59" t="n">
        <f aca="false">J36-J43+J54</f>
        <v>73306.958177407</v>
      </c>
      <c r="K55" s="59" t="n">
        <f aca="false">K36-K43+K54</f>
        <v>105878.128249122</v>
      </c>
      <c r="L55" s="59" t="n">
        <f aca="false">L36-L43+L54</f>
        <v>107995.690814104</v>
      </c>
      <c r="M55" s="59" t="n">
        <f aca="false">M36-M43+M54</f>
        <v>110155.604630386</v>
      </c>
      <c r="N55" s="59" t="n">
        <f aca="false">N36-N43+N54</f>
        <v>112358.716722994</v>
      </c>
      <c r="O55" s="59" t="n">
        <f aca="false">O36-O43+O54</f>
        <v>114605.891057454</v>
      </c>
      <c r="P55" s="59" t="n">
        <f aca="false">P36-P43+P54</f>
        <v>116898.008878603</v>
      </c>
      <c r="Q55" s="59" t="n">
        <f aca="false">Q36-Q43+Q54</f>
        <v>119235.969056175</v>
      </c>
      <c r="R55" s="59" t="n">
        <f aca="false">R36-R43+R54</f>
        <v>121620.688437299</v>
      </c>
      <c r="S55" s="59" t="n">
        <f aca="false">S36-S43+S54</f>
        <v>124053.102206045</v>
      </c>
      <c r="T55" s="59" t="n">
        <f aca="false">T36-T43+T54</f>
        <v>126534.164250166</v>
      </c>
      <c r="U55" s="59" t="n">
        <f aca="false">U36-U43+U54</f>
        <v>129064.847535169</v>
      </c>
      <c r="V55" s="59" t="n">
        <f aca="false">V36-V43+V54</f>
        <v>167085.470670438</v>
      </c>
      <c r="W55" s="59" t="n">
        <f aca="false">W36-W43+W54</f>
        <v>170427.180083847</v>
      </c>
      <c r="X55" s="59" t="n">
        <f aca="false">X36-X43+X54</f>
        <v>173835.723685524</v>
      </c>
      <c r="Y55" s="59" t="n">
        <f aca="false">Y36-Y43+Y54</f>
        <v>177312.438159234</v>
      </c>
      <c r="Z55" s="59" t="n">
        <f aca="false">Z36-Z43+Z54</f>
        <v>180858.686922419</v>
      </c>
      <c r="AA55" s="59" t="n">
        <f aca="false">AA36-AA43+AA54</f>
        <v>184475.860660867</v>
      </c>
      <c r="AB55" s="59" t="n">
        <f aca="false">AB36-AB43+AB54</f>
        <v>188165.377874084</v>
      </c>
      <c r="AC55" s="59" t="n">
        <f aca="false">AC36-AC43+AC54</f>
        <v>191928.685431566</v>
      </c>
      <c r="AD55" s="59" t="n">
        <f aca="false">AD36-AD43+AD54</f>
        <v>195767.259140197</v>
      </c>
      <c r="AE55" s="59" t="n">
        <f aca="false">AE36-AE43+AE54</f>
        <v>199682.604323001</v>
      </c>
      <c r="AF55" s="59" t="n">
        <f aca="false">AF36-AF43+AF54</f>
        <v>203676.256409462</v>
      </c>
    </row>
    <row r="56" customFormat="false" ht="15" hidden="false" customHeight="true" outlineLevel="0" collapsed="false">
      <c r="B56" s="6" t="s">
        <v>446</v>
      </c>
      <c r="C56" s="20" t="n">
        <f aca="false">MIN(Tax_Bands!C$16,MAX(0,C55)/2)</f>
        <v>10711.9</v>
      </c>
      <c r="D56" s="20" t="n">
        <f aca="false">MIN(Tax_Bands!D$16,MAX(0,D55)/2)</f>
        <v>7522.78244274808</v>
      </c>
      <c r="E56" s="20" t="n">
        <f aca="false">MIN(Tax_Bands!E$16,MAX(0,E55)/2)</f>
        <v>4831.96606223871</v>
      </c>
      <c r="F56" s="20" t="n">
        <f aca="false">MIN(Tax_Bands!F$16,MAX(0,F55)/2)</f>
        <v>7195.83734999999</v>
      </c>
      <c r="G56" s="20" t="n">
        <f aca="false">MIN(Tax_Bands!G$16,MAX(0,G55)/2)</f>
        <v>11550.0369216</v>
      </c>
      <c r="H56" s="20" t="n">
        <f aca="false">MIN(Tax_Bands!H$16,MAX(0,H55)/2)</f>
        <v>18159.171553152</v>
      </c>
      <c r="I56" s="20" t="n">
        <f aca="false">MIN(Tax_Bands!I$16,MAX(0,I55)/2)</f>
        <v>20808</v>
      </c>
      <c r="J56" s="20" t="n">
        <f aca="false">MIN(Tax_Bands!J$16,MAX(0,J55)/2)</f>
        <v>21224.16</v>
      </c>
      <c r="K56" s="20" t="n">
        <f aca="false">MIN(Tax_Bands!K$16,MAX(0,K55)/2)</f>
        <v>21648.6432</v>
      </c>
      <c r="L56" s="20" t="n">
        <f aca="false">MIN(Tax_Bands!L$16,MAX(0,L55)/2)</f>
        <v>22081.616064</v>
      </c>
      <c r="M56" s="20" t="n">
        <f aca="false">MIN(Tax_Bands!M$16,MAX(0,M55)/2)</f>
        <v>22523.24838528</v>
      </c>
      <c r="N56" s="20" t="n">
        <f aca="false">MIN(Tax_Bands!N$16,MAX(0,N55)/2)</f>
        <v>22973.7133529856</v>
      </c>
      <c r="O56" s="20" t="n">
        <f aca="false">MIN(Tax_Bands!O$16,MAX(0,O55)/2)</f>
        <v>23433.1876200453</v>
      </c>
      <c r="P56" s="20" t="n">
        <f aca="false">MIN(Tax_Bands!P$16,MAX(0,P55)/2)</f>
        <v>23901.8513724462</v>
      </c>
      <c r="Q56" s="20" t="n">
        <f aca="false">MIN(Tax_Bands!Q$16,MAX(0,Q55)/2)</f>
        <v>24379.8883998951</v>
      </c>
      <c r="R56" s="20" t="n">
        <f aca="false">MIN(Tax_Bands!R$16,MAX(0,R55)/2)</f>
        <v>24867.4861678931</v>
      </c>
      <c r="S56" s="20" t="n">
        <f aca="false">MIN(Tax_Bands!S$16,MAX(0,S55)/2)</f>
        <v>25364.8358912509</v>
      </c>
      <c r="T56" s="20" t="n">
        <f aca="false">MIN(Tax_Bands!T$16,MAX(0,T55)/2)</f>
        <v>25872.1326090759</v>
      </c>
      <c r="U56" s="20" t="n">
        <f aca="false">MIN(Tax_Bands!U$16,MAX(0,U55)/2)</f>
        <v>26389.5752612574</v>
      </c>
      <c r="V56" s="20" t="n">
        <f aca="false">MIN(Tax_Bands!V$16,MAX(0,V55)/2)</f>
        <v>26917.3667664826</v>
      </c>
      <c r="W56" s="20" t="n">
        <f aca="false">MIN(Tax_Bands!W$16,MAX(0,W55)/2)</f>
        <v>27455.7141018123</v>
      </c>
      <c r="X56" s="20" t="n">
        <f aca="false">MIN(Tax_Bands!X$16,MAX(0,X55)/2)</f>
        <v>28004.8283838485</v>
      </c>
      <c r="Y56" s="20" t="n">
        <f aca="false">MIN(Tax_Bands!Y$16,MAX(0,Y55)/2)</f>
        <v>28564.9249515255</v>
      </c>
      <c r="Z56" s="20" t="n">
        <f aca="false">MIN(Tax_Bands!Z$16,MAX(0,Z55)/2)</f>
        <v>29136.223450556</v>
      </c>
      <c r="AA56" s="20" t="n">
        <f aca="false">MIN(Tax_Bands!AA$16,MAX(0,AA55)/2)</f>
        <v>29718.9479195671</v>
      </c>
      <c r="AB56" s="20" t="n">
        <f aca="false">MIN(Tax_Bands!AB$16,MAX(0,AB55)/2)</f>
        <v>30313.3268779584</v>
      </c>
      <c r="AC56" s="20" t="n">
        <f aca="false">MIN(Tax_Bands!AC$16,MAX(0,AC55)/2)</f>
        <v>30919.5934155176</v>
      </c>
      <c r="AD56" s="20" t="n">
        <f aca="false">MIN(Tax_Bands!AD$16,MAX(0,AD55)/2)</f>
        <v>31537.985283828</v>
      </c>
      <c r="AE56" s="20" t="n">
        <f aca="false">MIN(Tax_Bands!AE$16,MAX(0,AE55)/2)</f>
        <v>32168.7449895045</v>
      </c>
      <c r="AF56" s="20" t="n">
        <f aca="false">MIN(Tax_Bands!AF$16,MAX(0,AF55)/2)</f>
        <v>32812.1198892946</v>
      </c>
    </row>
    <row r="57" customFormat="false" ht="15" hidden="false" customHeight="true" outlineLevel="0" collapsed="false">
      <c r="B57" s="6" t="s">
        <v>447</v>
      </c>
      <c r="C57" s="20" t="n">
        <f aca="false">MIN(Tax_Bands!C$16,MAX(0,C55)-C56)</f>
        <v>10711.9</v>
      </c>
      <c r="D57" s="20" t="n">
        <f aca="false">MIN(Tax_Bands!D$16,MAX(0,D55)-D56)</f>
        <v>7522.78244274808</v>
      </c>
      <c r="E57" s="20" t="n">
        <f aca="false">MIN(Tax_Bands!E$16,MAX(0,E55)-E56)</f>
        <v>4831.96606223871</v>
      </c>
      <c r="F57" s="20" t="n">
        <f aca="false">MIN(Tax_Bands!F$16,MAX(0,F55)-F56)</f>
        <v>7195.83734999999</v>
      </c>
      <c r="G57" s="20" t="n">
        <f aca="false">MIN(Tax_Bands!G$16,MAX(0,G55)-G56)</f>
        <v>11550.0369216</v>
      </c>
      <c r="H57" s="20" t="n">
        <f aca="false">MIN(Tax_Bands!H$16,MAX(0,H55)-H56)</f>
        <v>18159.171553152</v>
      </c>
      <c r="I57" s="20" t="n">
        <f aca="false">MIN(Tax_Bands!I$16,MAX(0,I55)-I56)</f>
        <v>20808</v>
      </c>
      <c r="J57" s="20" t="n">
        <f aca="false">MIN(Tax_Bands!J$16,MAX(0,J55)-J56)</f>
        <v>21224.16</v>
      </c>
      <c r="K57" s="20" t="n">
        <f aca="false">MIN(Tax_Bands!K$16,MAX(0,K55)-K56)</f>
        <v>21648.6432</v>
      </c>
      <c r="L57" s="20" t="n">
        <f aca="false">MIN(Tax_Bands!L$16,MAX(0,L55)-L56)</f>
        <v>22081.616064</v>
      </c>
      <c r="M57" s="20" t="n">
        <f aca="false">MIN(Tax_Bands!M$16,MAX(0,M55)-M56)</f>
        <v>22523.24838528</v>
      </c>
      <c r="N57" s="20" t="n">
        <f aca="false">MIN(Tax_Bands!N$16,MAX(0,N55)-N56)</f>
        <v>22973.7133529856</v>
      </c>
      <c r="O57" s="20" t="n">
        <f aca="false">MIN(Tax_Bands!O$16,MAX(0,O55)-O56)</f>
        <v>23433.1876200453</v>
      </c>
      <c r="P57" s="20" t="n">
        <f aca="false">MIN(Tax_Bands!P$16,MAX(0,P55)-P56)</f>
        <v>23901.8513724462</v>
      </c>
      <c r="Q57" s="20" t="n">
        <f aca="false">MIN(Tax_Bands!Q$16,MAX(0,Q55)-Q56)</f>
        <v>24379.8883998951</v>
      </c>
      <c r="R57" s="20" t="n">
        <f aca="false">MIN(Tax_Bands!R$16,MAX(0,R55)-R56)</f>
        <v>24867.4861678931</v>
      </c>
      <c r="S57" s="20" t="n">
        <f aca="false">MIN(Tax_Bands!S$16,MAX(0,S55)-S56)</f>
        <v>25364.8358912509</v>
      </c>
      <c r="T57" s="20" t="n">
        <f aca="false">MIN(Tax_Bands!T$16,MAX(0,T55)-T56)</f>
        <v>25872.1326090759</v>
      </c>
      <c r="U57" s="20" t="n">
        <f aca="false">MIN(Tax_Bands!U$16,MAX(0,U55)-U56)</f>
        <v>26389.5752612574</v>
      </c>
      <c r="V57" s="20" t="n">
        <f aca="false">MIN(Tax_Bands!V$16,MAX(0,V55)-V56)</f>
        <v>26917.3667664826</v>
      </c>
      <c r="W57" s="20" t="n">
        <f aca="false">MIN(Tax_Bands!W$16,MAX(0,W55)-W56)</f>
        <v>27455.7141018123</v>
      </c>
      <c r="X57" s="20" t="n">
        <f aca="false">MIN(Tax_Bands!X$16,MAX(0,X55)-X56)</f>
        <v>28004.8283838485</v>
      </c>
      <c r="Y57" s="20" t="n">
        <f aca="false">MIN(Tax_Bands!Y$16,MAX(0,Y55)-Y56)</f>
        <v>28564.9249515255</v>
      </c>
      <c r="Z57" s="20" t="n">
        <f aca="false">MIN(Tax_Bands!Z$16,MAX(0,Z55)-Z56)</f>
        <v>29136.223450556</v>
      </c>
      <c r="AA57" s="20" t="n">
        <f aca="false">MIN(Tax_Bands!AA$16,MAX(0,AA55)-AA56)</f>
        <v>29718.9479195671</v>
      </c>
      <c r="AB57" s="20" t="n">
        <f aca="false">MIN(Tax_Bands!AB$16,MAX(0,AB55)-AB56)</f>
        <v>30313.3268779584</v>
      </c>
      <c r="AC57" s="20" t="n">
        <f aca="false">MIN(Tax_Bands!AC$16,MAX(0,AC55)-AC56)</f>
        <v>30919.5934155176</v>
      </c>
      <c r="AD57" s="20" t="n">
        <f aca="false">MIN(Tax_Bands!AD$16,MAX(0,AD55)-AD56)</f>
        <v>31537.985283828</v>
      </c>
      <c r="AE57" s="20" t="n">
        <f aca="false">MIN(Tax_Bands!AE$16,MAX(0,AE55)-AE56)</f>
        <v>32168.7449895045</v>
      </c>
      <c r="AF57" s="20" t="n">
        <f aca="false">MIN(Tax_Bands!AF$16,MAX(0,AF55)-AF56)</f>
        <v>32812.1198892946</v>
      </c>
    </row>
    <row r="58" customFormat="false" ht="15" hidden="false" customHeight="true" outlineLevel="0" collapsed="false">
      <c r="B58" s="56" t="s">
        <v>448</v>
      </c>
      <c r="C58" s="20" t="n">
        <f aca="false">C56+C57</f>
        <v>21423.8</v>
      </c>
      <c r="D58" s="20" t="n">
        <f aca="false">D56+D57</f>
        <v>15045.5648854962</v>
      </c>
      <c r="E58" s="20" t="n">
        <f aca="false">E56+E57</f>
        <v>9663.93212447743</v>
      </c>
      <c r="F58" s="20" t="n">
        <f aca="false">F56+F57</f>
        <v>14391.6747</v>
      </c>
      <c r="G58" s="20" t="n">
        <f aca="false">G56+G57</f>
        <v>23100.0738432</v>
      </c>
      <c r="H58" s="20" t="n">
        <f aca="false">H56+H57</f>
        <v>36318.343106304</v>
      </c>
      <c r="I58" s="20" t="n">
        <f aca="false">I56+I57</f>
        <v>41616</v>
      </c>
      <c r="J58" s="20" t="n">
        <f aca="false">J56+J57</f>
        <v>42448.32</v>
      </c>
      <c r="K58" s="20" t="n">
        <f aca="false">K56+K57</f>
        <v>43297.2864</v>
      </c>
      <c r="L58" s="20" t="n">
        <f aca="false">L56+L57</f>
        <v>44163.232128</v>
      </c>
      <c r="M58" s="20" t="n">
        <f aca="false">M56+M57</f>
        <v>45046.49677056</v>
      </c>
      <c r="N58" s="20" t="n">
        <f aca="false">N56+N57</f>
        <v>45947.4267059712</v>
      </c>
      <c r="O58" s="20" t="n">
        <f aca="false">O56+O57</f>
        <v>46866.3752400906</v>
      </c>
      <c r="P58" s="20" t="n">
        <f aca="false">P56+P57</f>
        <v>47803.7027448924</v>
      </c>
      <c r="Q58" s="20" t="n">
        <f aca="false">Q56+Q57</f>
        <v>48759.7767997903</v>
      </c>
      <c r="R58" s="20" t="n">
        <f aca="false">R56+R57</f>
        <v>49734.9723357861</v>
      </c>
      <c r="S58" s="20" t="n">
        <f aca="false">S56+S57</f>
        <v>50729.6717825018</v>
      </c>
      <c r="T58" s="20" t="n">
        <f aca="false">T56+T57</f>
        <v>51744.2652181519</v>
      </c>
      <c r="U58" s="20" t="n">
        <f aca="false">U56+U57</f>
        <v>52779.1505225149</v>
      </c>
      <c r="V58" s="20" t="n">
        <f aca="false">V56+V57</f>
        <v>53834.7335329652</v>
      </c>
      <c r="W58" s="20" t="n">
        <f aca="false">W56+W57</f>
        <v>54911.4282036245</v>
      </c>
      <c r="X58" s="20" t="n">
        <f aca="false">X56+X57</f>
        <v>56009.656767697</v>
      </c>
      <c r="Y58" s="20" t="n">
        <f aca="false">Y56+Y57</f>
        <v>57129.8499030509</v>
      </c>
      <c r="Z58" s="20" t="n">
        <f aca="false">Z56+Z57</f>
        <v>58272.446901112</v>
      </c>
      <c r="AA58" s="20" t="n">
        <f aca="false">AA56+AA57</f>
        <v>59437.8958391342</v>
      </c>
      <c r="AB58" s="20" t="n">
        <f aca="false">AB56+AB57</f>
        <v>60626.6537559169</v>
      </c>
      <c r="AC58" s="20" t="n">
        <f aca="false">AC56+AC57</f>
        <v>61839.1868310352</v>
      </c>
      <c r="AD58" s="20" t="n">
        <f aca="false">AD56+AD57</f>
        <v>63075.9705676559</v>
      </c>
      <c r="AE58" s="20" t="n">
        <f aca="false">AE56+AE57</f>
        <v>64337.4899790091</v>
      </c>
      <c r="AF58" s="20" t="n">
        <f aca="false">AF56+AF57</f>
        <v>65624.2397785892</v>
      </c>
    </row>
    <row r="59" customFormat="false" ht="15" hidden="false" customHeight="true" outlineLevel="0" collapsed="false">
      <c r="B59" s="16" t="s">
        <v>550</v>
      </c>
      <c r="C59" s="59" t="n">
        <f aca="false">C55-C58</f>
        <v>0</v>
      </c>
      <c r="D59" s="59" t="n">
        <f aca="false">D55-D58</f>
        <v>0</v>
      </c>
      <c r="E59" s="59" t="n">
        <f aca="false">E55-E58</f>
        <v>0</v>
      </c>
      <c r="F59" s="59" t="n">
        <f aca="false">F55-F58</f>
        <v>0</v>
      </c>
      <c r="G59" s="59" t="n">
        <f aca="false">G55-G58</f>
        <v>0</v>
      </c>
      <c r="H59" s="59" t="n">
        <f aca="false">H55-H58</f>
        <v>0</v>
      </c>
      <c r="I59" s="59" t="n">
        <f aca="false">I55-I58</f>
        <v>30077.0962523597</v>
      </c>
      <c r="J59" s="59" t="n">
        <f aca="false">J55-J58</f>
        <v>30858.638177407</v>
      </c>
      <c r="K59" s="59" t="n">
        <f aca="false">K55-K58</f>
        <v>62580.841849122</v>
      </c>
      <c r="L59" s="59" t="n">
        <f aca="false">L55-L58</f>
        <v>63832.4586861044</v>
      </c>
      <c r="M59" s="59" t="n">
        <f aca="false">M55-M58</f>
        <v>65109.1078598265</v>
      </c>
      <c r="N59" s="59" t="n">
        <f aca="false">N55-N58</f>
        <v>66411.290017023</v>
      </c>
      <c r="O59" s="59" t="n">
        <f aca="false">O55-O58</f>
        <v>67739.5158173635</v>
      </c>
      <c r="P59" s="59" t="n">
        <f aca="false">P55-P58</f>
        <v>69094.3061337108</v>
      </c>
      <c r="Q59" s="59" t="n">
        <f aca="false">Q55-Q58</f>
        <v>70476.192256385</v>
      </c>
      <c r="R59" s="59" t="n">
        <f aca="false">R55-R58</f>
        <v>71885.7161015126</v>
      </c>
      <c r="S59" s="59" t="n">
        <f aca="false">S55-S58</f>
        <v>73323.4304235429</v>
      </c>
      <c r="T59" s="59" t="n">
        <f aca="false">T55-T58</f>
        <v>74789.8990320138</v>
      </c>
      <c r="U59" s="59" t="n">
        <f aca="false">U55-U58</f>
        <v>76285.6970126541</v>
      </c>
      <c r="V59" s="59" t="n">
        <f aca="false">V55-V58</f>
        <v>113250.737137473</v>
      </c>
      <c r="W59" s="59" t="n">
        <f aca="false">W55-W58</f>
        <v>115515.751880222</v>
      </c>
      <c r="X59" s="59" t="n">
        <f aca="false">X55-X58</f>
        <v>117826.066917827</v>
      </c>
      <c r="Y59" s="59" t="n">
        <f aca="false">Y55-Y58</f>
        <v>120182.588256183</v>
      </c>
      <c r="Z59" s="59" t="n">
        <f aca="false">Z55-Z58</f>
        <v>122586.240021307</v>
      </c>
      <c r="AA59" s="59" t="n">
        <f aca="false">AA55-AA58</f>
        <v>125037.964821733</v>
      </c>
      <c r="AB59" s="59" t="n">
        <f aca="false">AB55-AB58</f>
        <v>127538.724118168</v>
      </c>
      <c r="AC59" s="59" t="n">
        <f aca="false">AC55-AC58</f>
        <v>130089.498600531</v>
      </c>
      <c r="AD59" s="59" t="n">
        <f aca="false">AD55-AD58</f>
        <v>132691.288572541</v>
      </c>
      <c r="AE59" s="59" t="n">
        <f aca="false">AE55-AE58</f>
        <v>135345.114343992</v>
      </c>
      <c r="AF59" s="59" t="n">
        <f aca="false">AF55-AF58</f>
        <v>138052.016630872</v>
      </c>
    </row>
    <row r="60" customFormat="false" ht="15" hidden="false" customHeight="true" outlineLevel="0" collapsed="false">
      <c r="A60" s="30" t="s">
        <v>456</v>
      </c>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customFormat="false" ht="15" hidden="false" customHeight="true" outlineLevel="0" collapsed="false">
      <c r="B61" s="6" t="s">
        <v>457</v>
      </c>
      <c r="C61" s="20" t="n">
        <v>0</v>
      </c>
      <c r="D61" s="20" t="n">
        <f aca="false">C64</f>
        <v>0</v>
      </c>
      <c r="E61" s="20" t="n">
        <f aca="false">D64</f>
        <v>0</v>
      </c>
      <c r="F61" s="20" t="n">
        <f aca="false">E64</f>
        <v>0</v>
      </c>
      <c r="G61" s="20" t="n">
        <f aca="false">F64</f>
        <v>0</v>
      </c>
      <c r="H61" s="20" t="n">
        <f aca="false">G64</f>
        <v>0</v>
      </c>
      <c r="I61" s="20" t="n">
        <f aca="false">H64</f>
        <v>0</v>
      </c>
      <c r="J61" s="20" t="n">
        <f aca="false">I64</f>
        <v>30077.0962523597</v>
      </c>
      <c r="K61" s="20" t="n">
        <f aca="false">J64</f>
        <v>62890.7456861701</v>
      </c>
      <c r="L61" s="20" t="n">
        <f aca="false">K64</f>
        <v>129559.486004893</v>
      </c>
      <c r="M61" s="20" t="n">
        <f aca="false">L64</f>
        <v>201813.311281316</v>
      </c>
      <c r="N61" s="20" t="n">
        <f aca="false">M64</f>
        <v>280040.284374428</v>
      </c>
      <c r="O61" s="20" t="n">
        <f aca="false">N64</f>
        <v>364234.132449227</v>
      </c>
      <c r="P61" s="20" t="n">
        <f aca="false">O64</f>
        <v>454009.813279768</v>
      </c>
      <c r="Q61" s="20" t="n">
        <f aca="false">P64</f>
        <v>549209.683677066</v>
      </c>
      <c r="R61" s="20" t="n">
        <f aca="false">Q64</f>
        <v>649617.803693851</v>
      </c>
      <c r="S61" s="20" t="n">
        <f aca="false">R64</f>
        <v>754958.836685597</v>
      </c>
      <c r="T61" s="20" t="n">
        <f aca="false">S64</f>
        <v>864897.770688392</v>
      </c>
      <c r="U61" s="20" t="n">
        <f aca="false">T64</f>
        <v>979040.518286727</v>
      </c>
      <c r="V61" s="20" t="n">
        <f aca="false">U64</f>
        <v>1096935.43732657</v>
      </c>
      <c r="W61" s="20" t="n">
        <f aca="false">V64</f>
        <v>1253515.12423844</v>
      </c>
      <c r="X61" s="20" t="n">
        <f aca="false">W64</f>
        <v>1414784.17815336</v>
      </c>
      <c r="Y61" s="20" t="n">
        <f aca="false">X64</f>
        <v>1580005.51503933</v>
      </c>
      <c r="Z61" s="20" t="n">
        <f aca="false">Y64</f>
        <v>1748378.27150421</v>
      </c>
      <c r="AA61" s="20" t="n">
        <f aca="false">Z64</f>
        <v>1919044.91399188</v>
      </c>
      <c r="AB61" s="20" t="n">
        <f aca="false">AA64</f>
        <v>2091099.47920642</v>
      </c>
      <c r="AC61" s="20" t="n">
        <f aca="false">AB64</f>
        <v>2263596.84212752</v>
      </c>
      <c r="AD61" s="20" t="n">
        <f aca="false">AC64</f>
        <v>2435562.88230741</v>
      </c>
      <c r="AE61" s="20" t="n">
        <f aca="false">AD64</f>
        <v>2606005.39555572</v>
      </c>
      <c r="AF61" s="20" t="n">
        <f aca="false">AE64</f>
        <v>2773925.57734416</v>
      </c>
    </row>
    <row r="62" customFormat="false" ht="15" hidden="false" customHeight="true" outlineLevel="0" collapsed="false">
      <c r="B62" s="56" t="s">
        <v>458</v>
      </c>
      <c r="C62" s="20" t="n">
        <f aca="false">C61*Returns!C$12</f>
        <v>0</v>
      </c>
      <c r="D62" s="20" t="n">
        <f aca="false">D61*Returns!D$12</f>
        <v>0</v>
      </c>
      <c r="E62" s="20" t="n">
        <f aca="false">E61*Returns!E$12</f>
        <v>0</v>
      </c>
      <c r="F62" s="20" t="n">
        <f aca="false">F61*Returns!F$12</f>
        <v>0</v>
      </c>
      <c r="G62" s="20" t="n">
        <f aca="false">G61*Returns!G$12</f>
        <v>0</v>
      </c>
      <c r="H62" s="20" t="n">
        <f aca="false">H61*Returns!H$12</f>
        <v>0</v>
      </c>
      <c r="I62" s="20" t="n">
        <f aca="false">I61*Returns!I$12</f>
        <v>0</v>
      </c>
      <c r="J62" s="20" t="n">
        <f aca="false">J61*Returns!J$12</f>
        <v>1955.01125640338</v>
      </c>
      <c r="K62" s="20" t="n">
        <f aca="false">K61*Returns!K$12</f>
        <v>4087.89846960105</v>
      </c>
      <c r="L62" s="20" t="n">
        <f aca="false">L61*Returns!L$12</f>
        <v>8421.36659031805</v>
      </c>
      <c r="M62" s="20" t="n">
        <f aca="false">M61*Returns!M$12</f>
        <v>13117.8652332855</v>
      </c>
      <c r="N62" s="20" t="n">
        <f aca="false">N61*Returns!N$12</f>
        <v>17782.5580577762</v>
      </c>
      <c r="O62" s="20" t="n">
        <f aca="false">O61*Returns!O$12</f>
        <v>22036.1650131782</v>
      </c>
      <c r="P62" s="20" t="n">
        <f aca="false">P61*Returns!P$12</f>
        <v>26105.5642635867</v>
      </c>
      <c r="Q62" s="20" t="n">
        <f aca="false">Q61*Returns!Q$12</f>
        <v>29931.9277604001</v>
      </c>
      <c r="R62" s="20" t="n">
        <f aca="false">R61*Returns!R$12</f>
        <v>33455.3168902333</v>
      </c>
      <c r="S62" s="20" t="n">
        <f aca="false">S61*Returns!S$12</f>
        <v>36615.5035792515</v>
      </c>
      <c r="T62" s="20" t="n">
        <f aca="false">T61*Returns!T$12</f>
        <v>39352.8485663218</v>
      </c>
      <c r="U62" s="20" t="n">
        <f aca="false">U61*Returns!U$12</f>
        <v>41609.2220271859</v>
      </c>
      <c r="V62" s="20" t="n">
        <f aca="false">V61*Returns!V$12</f>
        <v>43328.9497743994</v>
      </c>
      <c r="W62" s="20" t="n">
        <f aca="false">W61*Returns!W$12</f>
        <v>45753.302034703</v>
      </c>
      <c r="X62" s="20" t="n">
        <f aca="false">X61*Returns!X$12</f>
        <v>47395.2699681377</v>
      </c>
      <c r="Y62" s="20" t="n">
        <f aca="false">Y61*Returns!Y$12</f>
        <v>48190.1682086995</v>
      </c>
      <c r="Z62" s="20" t="n">
        <f aca="false">Z61*Returns!Z$12</f>
        <v>48080.4024663658</v>
      </c>
      <c r="AA62" s="20" t="n">
        <f aca="false">AA61*Returns!AA$12</f>
        <v>47016.6003928012</v>
      </c>
      <c r="AB62" s="20" t="n">
        <f aca="false">AB61*Returns!AB$12</f>
        <v>44958.638802938</v>
      </c>
      <c r="AC62" s="20" t="n">
        <f aca="false">AC61*Returns!AC$12</f>
        <v>41876.5415793592</v>
      </c>
      <c r="AD62" s="20" t="n">
        <f aca="false">AD61*Returns!AD$12</f>
        <v>37751.2246757649</v>
      </c>
      <c r="AE62" s="20" t="n">
        <f aca="false">AE61*Returns!AE$12</f>
        <v>32575.0674444465</v>
      </c>
      <c r="AF62" s="20" t="n">
        <f aca="false">AF61*Returns!AF$12</f>
        <v>26352.2929847695</v>
      </c>
    </row>
    <row r="63" customFormat="false" ht="15" hidden="false" customHeight="true" outlineLevel="0" collapsed="false">
      <c r="B63" s="56" t="s">
        <v>459</v>
      </c>
      <c r="C63" s="20" t="n">
        <f aca="false">C59</f>
        <v>0</v>
      </c>
      <c r="D63" s="20" t="n">
        <f aca="false">D59</f>
        <v>0</v>
      </c>
      <c r="E63" s="20" t="n">
        <f aca="false">E59</f>
        <v>0</v>
      </c>
      <c r="F63" s="20" t="n">
        <f aca="false">F59</f>
        <v>0</v>
      </c>
      <c r="G63" s="20" t="n">
        <f aca="false">G59</f>
        <v>0</v>
      </c>
      <c r="H63" s="20" t="n">
        <f aca="false">H59</f>
        <v>0</v>
      </c>
      <c r="I63" s="20" t="n">
        <f aca="false">I59</f>
        <v>30077.0962523597</v>
      </c>
      <c r="J63" s="20" t="n">
        <f aca="false">J59</f>
        <v>30858.638177407</v>
      </c>
      <c r="K63" s="20" t="n">
        <f aca="false">K59</f>
        <v>62580.841849122</v>
      </c>
      <c r="L63" s="20" t="n">
        <f aca="false">L59</f>
        <v>63832.4586861044</v>
      </c>
      <c r="M63" s="20" t="n">
        <f aca="false">M59</f>
        <v>65109.1078598265</v>
      </c>
      <c r="N63" s="20" t="n">
        <f aca="false">N59</f>
        <v>66411.290017023</v>
      </c>
      <c r="O63" s="20" t="n">
        <f aca="false">O59</f>
        <v>67739.5158173635</v>
      </c>
      <c r="P63" s="20" t="n">
        <f aca="false">P59</f>
        <v>69094.3061337108</v>
      </c>
      <c r="Q63" s="20" t="n">
        <f aca="false">Q59</f>
        <v>70476.192256385</v>
      </c>
      <c r="R63" s="20" t="n">
        <f aca="false">R59</f>
        <v>71885.7161015126</v>
      </c>
      <c r="S63" s="20" t="n">
        <f aca="false">S59</f>
        <v>73323.4304235429</v>
      </c>
      <c r="T63" s="20" t="n">
        <f aca="false">T59</f>
        <v>74789.8990320138</v>
      </c>
      <c r="U63" s="20" t="n">
        <f aca="false">U59</f>
        <v>76285.6970126541</v>
      </c>
      <c r="V63" s="20" t="n">
        <f aca="false">V59</f>
        <v>113250.737137473</v>
      </c>
      <c r="W63" s="20" t="n">
        <f aca="false">W59</f>
        <v>115515.751880222</v>
      </c>
      <c r="X63" s="20" t="n">
        <f aca="false">X59</f>
        <v>117826.066917827</v>
      </c>
      <c r="Y63" s="20" t="n">
        <f aca="false">Y59</f>
        <v>120182.588256183</v>
      </c>
      <c r="Z63" s="20" t="n">
        <f aca="false">Z59</f>
        <v>122586.240021307</v>
      </c>
      <c r="AA63" s="20" t="n">
        <f aca="false">AA59</f>
        <v>125037.964821733</v>
      </c>
      <c r="AB63" s="20" t="n">
        <f aca="false">AB59</f>
        <v>127538.724118168</v>
      </c>
      <c r="AC63" s="20" t="n">
        <f aca="false">AC59</f>
        <v>130089.498600531</v>
      </c>
      <c r="AD63" s="20" t="n">
        <f aca="false">AD59</f>
        <v>132691.288572541</v>
      </c>
      <c r="AE63" s="20" t="n">
        <f aca="false">AE59</f>
        <v>135345.114343992</v>
      </c>
      <c r="AF63" s="20" t="n">
        <f aca="false">AF59</f>
        <v>138052.016630872</v>
      </c>
    </row>
    <row r="64" customFormat="false" ht="15" hidden="false" customHeight="true" outlineLevel="0" collapsed="false">
      <c r="B64" s="16" t="s">
        <v>460</v>
      </c>
      <c r="C64" s="58" t="n">
        <f aca="false">MAX(0,C61+C62+C63)</f>
        <v>0</v>
      </c>
      <c r="D64" s="58" t="n">
        <f aca="false">MAX(0,D61+D62+D63)</f>
        <v>0</v>
      </c>
      <c r="E64" s="58" t="n">
        <f aca="false">MAX(0,E61+E62+E63)</f>
        <v>0</v>
      </c>
      <c r="F64" s="58" t="n">
        <f aca="false">MAX(0,F61+F62+F63)</f>
        <v>0</v>
      </c>
      <c r="G64" s="58" t="n">
        <f aca="false">MAX(0,G61+G62+G63)</f>
        <v>0</v>
      </c>
      <c r="H64" s="58" t="n">
        <f aca="false">MAX(0,H61+H62+H63)</f>
        <v>0</v>
      </c>
      <c r="I64" s="58" t="n">
        <f aca="false">MAX(0,I61+I62+I63)</f>
        <v>30077.0962523597</v>
      </c>
      <c r="J64" s="58" t="n">
        <f aca="false">MAX(0,J61+J62+J63)</f>
        <v>62890.7456861701</v>
      </c>
      <c r="K64" s="58" t="n">
        <f aca="false">MAX(0,K61+K62+K63)</f>
        <v>129559.486004893</v>
      </c>
      <c r="L64" s="58" t="n">
        <f aca="false">MAX(0,L61+L62+L63)</f>
        <v>201813.311281316</v>
      </c>
      <c r="M64" s="58" t="n">
        <f aca="false">MAX(0,M61+M62+M63)</f>
        <v>280040.284374428</v>
      </c>
      <c r="N64" s="58" t="n">
        <f aca="false">MAX(0,N61+N62+N63)</f>
        <v>364234.132449227</v>
      </c>
      <c r="O64" s="58" t="n">
        <f aca="false">MAX(0,O61+O62+O63)</f>
        <v>454009.813279768</v>
      </c>
      <c r="P64" s="58" t="n">
        <f aca="false">MAX(0,P61+P62+P63)</f>
        <v>549209.683677066</v>
      </c>
      <c r="Q64" s="58" t="n">
        <f aca="false">MAX(0,Q61+Q62+Q63)</f>
        <v>649617.803693851</v>
      </c>
      <c r="R64" s="58" t="n">
        <f aca="false">MAX(0,R61+R62+R63)</f>
        <v>754958.836685597</v>
      </c>
      <c r="S64" s="58" t="n">
        <f aca="false">MAX(0,S61+S62+S63)</f>
        <v>864897.770688392</v>
      </c>
      <c r="T64" s="58" t="n">
        <f aca="false">MAX(0,T61+T62+T63)</f>
        <v>979040.518286727</v>
      </c>
      <c r="U64" s="58" t="n">
        <f aca="false">MAX(0,U61+U62+U63)</f>
        <v>1096935.43732657</v>
      </c>
      <c r="V64" s="58" t="n">
        <f aca="false">MAX(0,V61+V62+V63)</f>
        <v>1253515.12423844</v>
      </c>
      <c r="W64" s="58" t="n">
        <f aca="false">MAX(0,W61+W62+W63)</f>
        <v>1414784.17815336</v>
      </c>
      <c r="X64" s="58" t="n">
        <f aca="false">MAX(0,X61+X62+X63)</f>
        <v>1580005.51503933</v>
      </c>
      <c r="Y64" s="58" t="n">
        <f aca="false">MAX(0,Y61+Y62+Y63)</f>
        <v>1748378.27150421</v>
      </c>
      <c r="Z64" s="58" t="n">
        <f aca="false">MAX(0,Z61+Z62+Z63)</f>
        <v>1919044.91399188</v>
      </c>
      <c r="AA64" s="58" t="n">
        <f aca="false">MAX(0,AA61+AA62+AA63)</f>
        <v>2091099.47920642</v>
      </c>
      <c r="AB64" s="58" t="n">
        <f aca="false">MAX(0,AB61+AB62+AB63)</f>
        <v>2263596.84212752</v>
      </c>
      <c r="AC64" s="58" t="n">
        <f aca="false">MAX(0,AC61+AC62+AC63)</f>
        <v>2435562.88230741</v>
      </c>
      <c r="AD64" s="58" t="n">
        <f aca="false">MAX(0,AD61+AD62+AD63)</f>
        <v>2606005.39555572</v>
      </c>
      <c r="AE64" s="58" t="n">
        <f aca="false">MAX(0,AE61+AE62+AE63)</f>
        <v>2773925.57734416</v>
      </c>
      <c r="AF64" s="58" t="n">
        <f aca="false">MAX(0,AF61+AF62+AF63)</f>
        <v>2938329.8869598</v>
      </c>
    </row>
    <row r="65" customFormat="false" ht="15" hidden="false" customHeight="true" outlineLevel="0" collapsed="false">
      <c r="B65" s="6" t="s">
        <v>461</v>
      </c>
      <c r="C65" s="20" t="n">
        <f aca="false">MAX(0,-(C61+C62+C63))</f>
        <v>-0</v>
      </c>
      <c r="D65" s="20" t="n">
        <f aca="false">MAX(0,-(D61+D62+D63))</f>
        <v>-0</v>
      </c>
      <c r="E65" s="20" t="n">
        <f aca="false">MAX(0,-(E61+E62+E63))</f>
        <v>-0</v>
      </c>
      <c r="F65" s="20" t="n">
        <f aca="false">MAX(0,-(F61+F62+F63))</f>
        <v>-0</v>
      </c>
      <c r="G65" s="20" t="n">
        <f aca="false">MAX(0,-(G61+G62+G63))</f>
        <v>-0</v>
      </c>
      <c r="H65" s="20" t="n">
        <f aca="false">MAX(0,-(H61+H62+H63))</f>
        <v>-0</v>
      </c>
      <c r="I65" s="20" t="n">
        <f aca="false">MAX(0,-(I61+I62+I63))</f>
        <v>0</v>
      </c>
      <c r="J65" s="20" t="n">
        <f aca="false">MAX(0,-(J61+J62+J63))</f>
        <v>0</v>
      </c>
      <c r="K65" s="20" t="n">
        <f aca="false">MAX(0,-(K61+K62+K63))</f>
        <v>0</v>
      </c>
      <c r="L65" s="20" t="n">
        <f aca="false">MAX(0,-(L61+L62+L63))</f>
        <v>0</v>
      </c>
      <c r="M65" s="20" t="n">
        <f aca="false">MAX(0,-(M61+M62+M63))</f>
        <v>0</v>
      </c>
      <c r="N65" s="20" t="n">
        <f aca="false">MAX(0,-(N61+N62+N63))</f>
        <v>0</v>
      </c>
      <c r="O65" s="20" t="n">
        <f aca="false">MAX(0,-(O61+O62+O63))</f>
        <v>0</v>
      </c>
      <c r="P65" s="20" t="n">
        <f aca="false">MAX(0,-(P61+P62+P63))</f>
        <v>0</v>
      </c>
      <c r="Q65" s="20" t="n">
        <f aca="false">MAX(0,-(Q61+Q62+Q63))</f>
        <v>0</v>
      </c>
      <c r="R65" s="20" t="n">
        <f aca="false">MAX(0,-(R61+R62+R63))</f>
        <v>0</v>
      </c>
      <c r="S65" s="20" t="n">
        <f aca="false">MAX(0,-(S61+S62+S63))</f>
        <v>0</v>
      </c>
      <c r="T65" s="20" t="n">
        <f aca="false">MAX(0,-(T61+T62+T63))</f>
        <v>0</v>
      </c>
      <c r="U65" s="20" t="n">
        <f aca="false">MAX(0,-(U61+U62+U63))</f>
        <v>0</v>
      </c>
      <c r="V65" s="20" t="n">
        <f aca="false">MAX(0,-(V61+V62+V63))</f>
        <v>0</v>
      </c>
      <c r="W65" s="20" t="n">
        <f aca="false">MAX(0,-(W61+W62+W63))</f>
        <v>0</v>
      </c>
      <c r="X65" s="20" t="n">
        <f aca="false">MAX(0,-(X61+X62+X63))</f>
        <v>0</v>
      </c>
      <c r="Y65" s="20" t="n">
        <f aca="false">MAX(0,-(Y61+Y62+Y63))</f>
        <v>0</v>
      </c>
      <c r="Z65" s="20" t="n">
        <f aca="false">MAX(0,-(Z61+Z62+Z63))</f>
        <v>0</v>
      </c>
      <c r="AA65" s="20" t="n">
        <f aca="false">MAX(0,-(AA61+AA62+AA63))</f>
        <v>0</v>
      </c>
      <c r="AB65" s="20" t="n">
        <f aca="false">MAX(0,-(AB61+AB62+AB63))</f>
        <v>0</v>
      </c>
      <c r="AC65" s="20" t="n">
        <f aca="false">MAX(0,-(AC61+AC62+AC63))</f>
        <v>0</v>
      </c>
      <c r="AD65" s="20" t="n">
        <f aca="false">MAX(0,-(AD61+AD62+AD63))</f>
        <v>0</v>
      </c>
      <c r="AE65" s="20" t="n">
        <f aca="false">MAX(0,-(AE61+AE62+AE63))</f>
        <v>0</v>
      </c>
      <c r="AF65" s="20" t="n">
        <f aca="false">MAX(0,-(AF61+AF62+AF63))</f>
        <v>0</v>
      </c>
    </row>
    <row r="66" customFormat="false" ht="15" hidden="false" customHeight="true" outlineLevel="0" collapsed="false">
      <c r="B66" s="6" t="s">
        <v>462</v>
      </c>
      <c r="C66" s="20" t="n">
        <f aca="false">Assumptions!$C$25+Assumptions!$D$25</f>
        <v>260000</v>
      </c>
      <c r="D66" s="20" t="n">
        <f aca="false">C70</f>
        <v>302223.8</v>
      </c>
      <c r="E66" s="20" t="n">
        <f aca="false">D70</f>
        <v>341447.268885496</v>
      </c>
      <c r="F66" s="20" t="n">
        <f aca="false">E70</f>
        <v>378426.982520813</v>
      </c>
      <c r="G66" s="20" t="n">
        <f aca="false">F70</f>
        <v>423092.815822478</v>
      </c>
      <c r="H66" s="20" t="n">
        <f aca="false">G70</f>
        <v>480040.314931477</v>
      </c>
      <c r="I66" s="20" t="n">
        <f aca="false">H70</f>
        <v>554761.883232299</v>
      </c>
      <c r="J66" s="20" t="n">
        <f aca="false">I70</f>
        <v>640758.833890883</v>
      </c>
      <c r="K66" s="20" t="n">
        <f aca="false">J70</f>
        <v>734467.860602153</v>
      </c>
      <c r="L66" s="20" t="n">
        <f aca="false">K70</f>
        <v>836522.575850325</v>
      </c>
      <c r="M66" s="20" t="n">
        <f aca="false">L70</f>
        <v>947607.614046351</v>
      </c>
      <c r="N66" s="20" t="n">
        <f aca="false">M70</f>
        <v>1068462.71994062</v>
      </c>
      <c r="O66" s="20" t="n">
        <f aca="false">N70</f>
        <v>1198284.47016193</v>
      </c>
      <c r="P66" s="20" t="n">
        <f aca="false">O70</f>
        <v>1335621.32289925</v>
      </c>
      <c r="Q66" s="20" t="n">
        <f aca="false">P70</f>
        <v>1480257.57155433</v>
      </c>
      <c r="R66" s="20" t="n">
        <f aca="false">Q70</f>
        <v>1631895.24957715</v>
      </c>
      <c r="S66" s="20" t="n">
        <f aca="false">R70</f>
        <v>1790151.25600982</v>
      </c>
      <c r="T66" s="20" t="n">
        <f aca="false">S70</f>
        <v>1954555.53254894</v>
      </c>
      <c r="U66" s="20" t="n">
        <f aca="false">T70</f>
        <v>2124550.4074863</v>
      </c>
      <c r="V66" s="20" t="n">
        <f aca="false">U70</f>
        <v>2299491.20643928</v>
      </c>
      <c r="W66" s="20" t="n">
        <f aca="false">V70</f>
        <v>2478648.21072319</v>
      </c>
      <c r="X66" s="20" t="n">
        <f aca="false">W70</f>
        <v>2661210.02177906</v>
      </c>
      <c r="Y66" s="20" t="n">
        <f aca="false">X70</f>
        <v>2846288.36460304</v>
      </c>
      <c r="Z66" s="20" t="n">
        <f aca="false">Y70</f>
        <v>3032924.33509553</v>
      </c>
      <c r="AA66" s="20" t="n">
        <f aca="false">Z70</f>
        <v>3220096.0662382</v>
      </c>
      <c r="AB66" s="20" t="n">
        <f aca="false">AA70</f>
        <v>3406727.75669374</v>
      </c>
      <c r="AC66" s="20" t="n">
        <f aca="false">AB70</f>
        <v>3591699.97356898</v>
      </c>
      <c r="AD66" s="20" t="n">
        <f aca="false">AC70</f>
        <v>3773861.10951458</v>
      </c>
      <c r="AE66" s="20" t="n">
        <f aca="false">AD70</f>
        <v>3952039.84392243</v>
      </c>
      <c r="AF66" s="20" t="n">
        <f aca="false">AE70</f>
        <v>4125058.4296093</v>
      </c>
    </row>
    <row r="67" customFormat="false" ht="15" hidden="false" customHeight="true" outlineLevel="0" collapsed="false">
      <c r="B67" s="56" t="s">
        <v>463</v>
      </c>
      <c r="C67" s="20" t="n">
        <f aca="false">C58</f>
        <v>21423.8</v>
      </c>
      <c r="D67" s="20" t="n">
        <f aca="false">D58</f>
        <v>15045.5648854962</v>
      </c>
      <c r="E67" s="20" t="n">
        <f aca="false">E58</f>
        <v>9663.93212447743</v>
      </c>
      <c r="F67" s="20" t="n">
        <f aca="false">F58</f>
        <v>14391.6747</v>
      </c>
      <c r="G67" s="20" t="n">
        <f aca="false">G58</f>
        <v>23100.0738432</v>
      </c>
      <c r="H67" s="20" t="n">
        <f aca="false">H58</f>
        <v>36318.343106304</v>
      </c>
      <c r="I67" s="20" t="n">
        <f aca="false">I58</f>
        <v>41616</v>
      </c>
      <c r="J67" s="20" t="n">
        <f aca="false">J58</f>
        <v>42448.32</v>
      </c>
      <c r="K67" s="20" t="n">
        <f aca="false">K58</f>
        <v>43297.2864</v>
      </c>
      <c r="L67" s="20" t="n">
        <f aca="false">L58</f>
        <v>44163.232128</v>
      </c>
      <c r="M67" s="20" t="n">
        <f aca="false">M58</f>
        <v>45046.49677056</v>
      </c>
      <c r="N67" s="20" t="n">
        <f aca="false">N58</f>
        <v>45947.4267059712</v>
      </c>
      <c r="O67" s="20" t="n">
        <f aca="false">O58</f>
        <v>46866.3752400906</v>
      </c>
      <c r="P67" s="20" t="n">
        <f aca="false">P58</f>
        <v>47803.7027448924</v>
      </c>
      <c r="Q67" s="20" t="n">
        <f aca="false">Q58</f>
        <v>48759.7767997903</v>
      </c>
      <c r="R67" s="20" t="n">
        <f aca="false">R58</f>
        <v>49734.9723357861</v>
      </c>
      <c r="S67" s="20" t="n">
        <f aca="false">S58</f>
        <v>50729.6717825018</v>
      </c>
      <c r="T67" s="20" t="n">
        <f aca="false">T58</f>
        <v>51744.2652181519</v>
      </c>
      <c r="U67" s="20" t="n">
        <f aca="false">U58</f>
        <v>52779.1505225149</v>
      </c>
      <c r="V67" s="20" t="n">
        <f aca="false">V58</f>
        <v>53834.7335329652</v>
      </c>
      <c r="W67" s="20" t="n">
        <f aca="false">W58</f>
        <v>54911.4282036245</v>
      </c>
      <c r="X67" s="20" t="n">
        <f aca="false">X58</f>
        <v>56009.656767697</v>
      </c>
      <c r="Y67" s="20" t="n">
        <f aca="false">Y58</f>
        <v>57129.8499030509</v>
      </c>
      <c r="Z67" s="20" t="n">
        <f aca="false">Z58</f>
        <v>58272.446901112</v>
      </c>
      <c r="AA67" s="20" t="n">
        <f aca="false">AA58</f>
        <v>59437.8958391342</v>
      </c>
      <c r="AB67" s="20" t="n">
        <f aca="false">AB58</f>
        <v>60626.6537559169</v>
      </c>
      <c r="AC67" s="20" t="n">
        <f aca="false">AC58</f>
        <v>61839.1868310352</v>
      </c>
      <c r="AD67" s="20" t="n">
        <f aca="false">AD58</f>
        <v>63075.9705676559</v>
      </c>
      <c r="AE67" s="20" t="n">
        <f aca="false">AE58</f>
        <v>64337.4899790091</v>
      </c>
      <c r="AF67" s="20" t="n">
        <f aca="false">AF58</f>
        <v>65624.2397785892</v>
      </c>
    </row>
    <row r="68" customFormat="false" ht="15" hidden="false" customHeight="true" outlineLevel="0" collapsed="false">
      <c r="B68" s="56" t="s">
        <v>458</v>
      </c>
      <c r="C68" s="20" t="n">
        <f aca="false">C66*Returns!C$11</f>
        <v>20800</v>
      </c>
      <c r="D68" s="20" t="n">
        <f aca="false">D66*Returns!D$11</f>
        <v>24177.904</v>
      </c>
      <c r="E68" s="20" t="n">
        <f aca="false">E66*Returns!E$11</f>
        <v>27315.7815108397</v>
      </c>
      <c r="F68" s="20" t="n">
        <f aca="false">F66*Returns!F$11</f>
        <v>30274.1586016651</v>
      </c>
      <c r="G68" s="20" t="n">
        <f aca="false">G66*Returns!G$11</f>
        <v>33847.4252657983</v>
      </c>
      <c r="H68" s="20" t="n">
        <f aca="false">H66*Returns!H$11</f>
        <v>38403.2251945181</v>
      </c>
      <c r="I68" s="20" t="n">
        <f aca="false">I66*Returns!I$11</f>
        <v>44380.9506585839</v>
      </c>
      <c r="J68" s="20" t="n">
        <f aca="false">J66*Returns!J$11</f>
        <v>51260.7067112706</v>
      </c>
      <c r="K68" s="20" t="n">
        <f aca="false">K66*Returns!K$11</f>
        <v>58757.4288481723</v>
      </c>
      <c r="L68" s="20" t="n">
        <f aca="false">L66*Returns!L$11</f>
        <v>66921.806068026</v>
      </c>
      <c r="M68" s="20" t="n">
        <f aca="false">M66*Returns!M$11</f>
        <v>75808.6091237081</v>
      </c>
      <c r="N68" s="20" t="n">
        <f aca="false">N66*Returns!N$11</f>
        <v>83874.3235153386</v>
      </c>
      <c r="O68" s="20" t="n">
        <f aca="false">O66*Returns!O$11</f>
        <v>90470.4774972257</v>
      </c>
      <c r="P68" s="20" t="n">
        <f aca="false">P66*Returns!P$11</f>
        <v>96832.5459101953</v>
      </c>
      <c r="Q68" s="20" t="n">
        <f aca="false">Q66*Returns!Q$11</f>
        <v>102877.901223026</v>
      </c>
      <c r="R68" s="20" t="n">
        <f aca="false">R66*Returns!R$11</f>
        <v>108521.03409688</v>
      </c>
      <c r="S68" s="20" t="n">
        <f aca="false">S66*Returns!S$11</f>
        <v>113674.604756623</v>
      </c>
      <c r="T68" s="20" t="n">
        <f aca="false">T66*Returns!T$11</f>
        <v>118250.609719211</v>
      </c>
      <c r="U68" s="20" t="n">
        <f aca="false">U66*Returns!U$11</f>
        <v>122161.648430462</v>
      </c>
      <c r="V68" s="20" t="n">
        <f aca="false">V66*Returns!V$11</f>
        <v>125322.270750941</v>
      </c>
      <c r="W68" s="20" t="n">
        <f aca="false">W66*Returns!W$11</f>
        <v>127650.382852244</v>
      </c>
      <c r="X68" s="20" t="n">
        <f aca="false">X66*Returns!X$11</f>
        <v>129068.686056284</v>
      </c>
      <c r="Y68" s="20" t="n">
        <f aca="false">Y66*Returns!Y$11</f>
        <v>129506.120589438</v>
      </c>
      <c r="Z68" s="20" t="n">
        <f aca="false">Z66*Returns!Z$11</f>
        <v>128899.28424156</v>
      </c>
      <c r="AA68" s="20" t="n">
        <f aca="false">AA66*Returns!AA$11</f>
        <v>127193.794616409</v>
      </c>
      <c r="AB68" s="20" t="n">
        <f aca="false">AB66*Returns!AB$11</f>
        <v>124345.563119322</v>
      </c>
      <c r="AC68" s="20" t="n">
        <f aca="false">AC66*Returns!AC$11</f>
        <v>120321.949114561</v>
      </c>
      <c r="AD68" s="20" t="n">
        <f aca="false">AD66*Returns!AD$11</f>
        <v>115102.763840195</v>
      </c>
      <c r="AE68" s="20" t="n">
        <f aca="false">AE66*Returns!AE$11</f>
        <v>108681.095707867</v>
      </c>
      <c r="AF68" s="20" t="n">
        <f aca="false">AF66*Returns!AF$11</f>
        <v>101063.931525428</v>
      </c>
    </row>
    <row r="69" customFormat="false" ht="15" hidden="false" customHeight="true" outlineLevel="0" collapsed="false">
      <c r="B69" s="56" t="s">
        <v>464</v>
      </c>
      <c r="C69" s="20" t="n">
        <f aca="false">-C65</f>
        <v>0</v>
      </c>
      <c r="D69" s="20" t="n">
        <f aca="false">-D65</f>
        <v>0</v>
      </c>
      <c r="E69" s="20" t="n">
        <f aca="false">-E65</f>
        <v>0</v>
      </c>
      <c r="F69" s="20" t="n">
        <f aca="false">-F65</f>
        <v>0</v>
      </c>
      <c r="G69" s="20" t="n">
        <f aca="false">-G65</f>
        <v>0</v>
      </c>
      <c r="H69" s="20" t="n">
        <f aca="false">-H65</f>
        <v>0</v>
      </c>
      <c r="I69" s="20" t="n">
        <f aca="false">-I65</f>
        <v>-0</v>
      </c>
      <c r="J69" s="20" t="n">
        <f aca="false">-J65</f>
        <v>-0</v>
      </c>
      <c r="K69" s="20" t="n">
        <f aca="false">-K65</f>
        <v>-0</v>
      </c>
      <c r="L69" s="20" t="n">
        <f aca="false">-L65</f>
        <v>-0</v>
      </c>
      <c r="M69" s="20" t="n">
        <f aca="false">-M65</f>
        <v>-0</v>
      </c>
      <c r="N69" s="20" t="n">
        <f aca="false">-N65</f>
        <v>-0</v>
      </c>
      <c r="O69" s="20" t="n">
        <f aca="false">-O65</f>
        <v>-0</v>
      </c>
      <c r="P69" s="20" t="n">
        <f aca="false">-P65</f>
        <v>-0</v>
      </c>
      <c r="Q69" s="20" t="n">
        <f aca="false">-Q65</f>
        <v>-0</v>
      </c>
      <c r="R69" s="20" t="n">
        <f aca="false">-R65</f>
        <v>-0</v>
      </c>
      <c r="S69" s="20" t="n">
        <f aca="false">-S65</f>
        <v>-0</v>
      </c>
      <c r="T69" s="20" t="n">
        <f aca="false">-T65</f>
        <v>-0</v>
      </c>
      <c r="U69" s="20" t="n">
        <f aca="false">-U65</f>
        <v>-0</v>
      </c>
      <c r="V69" s="20" t="n">
        <f aca="false">-V65</f>
        <v>-0</v>
      </c>
      <c r="W69" s="20" t="n">
        <f aca="false">-W65</f>
        <v>-0</v>
      </c>
      <c r="X69" s="20" t="n">
        <f aca="false">-X65</f>
        <v>-0</v>
      </c>
      <c r="Y69" s="20" t="n">
        <f aca="false">-Y65</f>
        <v>-0</v>
      </c>
      <c r="Z69" s="20" t="n">
        <f aca="false">-Z65</f>
        <v>-0</v>
      </c>
      <c r="AA69" s="20" t="n">
        <f aca="false">-AA65</f>
        <v>-0</v>
      </c>
      <c r="AB69" s="20" t="n">
        <f aca="false">-AB65</f>
        <v>-0</v>
      </c>
      <c r="AC69" s="20" t="n">
        <f aca="false">-AC65</f>
        <v>-0</v>
      </c>
      <c r="AD69" s="20" t="n">
        <f aca="false">-AD65</f>
        <v>-0</v>
      </c>
      <c r="AE69" s="20" t="n">
        <f aca="false">-AE65</f>
        <v>-0</v>
      </c>
      <c r="AF69" s="20" t="n">
        <f aca="false">-AF65</f>
        <v>-0</v>
      </c>
    </row>
    <row r="70" customFormat="false" ht="15" hidden="false" customHeight="true" outlineLevel="0" collapsed="false">
      <c r="B70" s="16" t="s">
        <v>465</v>
      </c>
      <c r="C70" s="58" t="n">
        <f aca="false">MAX(0,C66+C67+C68+C69)</f>
        <v>302223.8</v>
      </c>
      <c r="D70" s="58" t="n">
        <f aca="false">MAX(0,D66+D67+D68+D69)</f>
        <v>341447.268885496</v>
      </c>
      <c r="E70" s="58" t="n">
        <f aca="false">MAX(0,E66+E67+E68+E69)</f>
        <v>378426.982520813</v>
      </c>
      <c r="F70" s="58" t="n">
        <f aca="false">MAX(0,F66+F67+F68+F69)</f>
        <v>423092.815822478</v>
      </c>
      <c r="G70" s="58" t="n">
        <f aca="false">MAX(0,G66+G67+G68+G69)</f>
        <v>480040.314931477</v>
      </c>
      <c r="H70" s="58" t="n">
        <f aca="false">MAX(0,H66+H67+H68+H69)</f>
        <v>554761.883232299</v>
      </c>
      <c r="I70" s="58" t="n">
        <f aca="false">MAX(0,I66+I67+I68+I69)</f>
        <v>640758.833890883</v>
      </c>
      <c r="J70" s="58" t="n">
        <f aca="false">MAX(0,J66+J67+J68+J69)</f>
        <v>734467.860602153</v>
      </c>
      <c r="K70" s="58" t="n">
        <f aca="false">MAX(0,K66+K67+K68+K69)</f>
        <v>836522.575850325</v>
      </c>
      <c r="L70" s="58" t="n">
        <f aca="false">MAX(0,L66+L67+L68+L69)</f>
        <v>947607.614046351</v>
      </c>
      <c r="M70" s="58" t="n">
        <f aca="false">MAX(0,M66+M67+M68+M69)</f>
        <v>1068462.71994062</v>
      </c>
      <c r="N70" s="58" t="n">
        <f aca="false">MAX(0,N66+N67+N68+N69)</f>
        <v>1198284.47016193</v>
      </c>
      <c r="O70" s="58" t="n">
        <f aca="false">MAX(0,O66+O67+O68+O69)</f>
        <v>1335621.32289925</v>
      </c>
      <c r="P70" s="58" t="n">
        <f aca="false">MAX(0,P66+P67+P68+P69)</f>
        <v>1480257.57155433</v>
      </c>
      <c r="Q70" s="58" t="n">
        <f aca="false">MAX(0,Q66+Q67+Q68+Q69)</f>
        <v>1631895.24957715</v>
      </c>
      <c r="R70" s="58" t="n">
        <f aca="false">MAX(0,R66+R67+R68+R69)</f>
        <v>1790151.25600982</v>
      </c>
      <c r="S70" s="58" t="n">
        <f aca="false">MAX(0,S66+S67+S68+S69)</f>
        <v>1954555.53254894</v>
      </c>
      <c r="T70" s="58" t="n">
        <f aca="false">MAX(0,T66+T67+T68+T69)</f>
        <v>2124550.4074863</v>
      </c>
      <c r="U70" s="58" t="n">
        <f aca="false">MAX(0,U66+U67+U68+U69)</f>
        <v>2299491.20643928</v>
      </c>
      <c r="V70" s="58" t="n">
        <f aca="false">MAX(0,V66+V67+V68+V69)</f>
        <v>2478648.21072319</v>
      </c>
      <c r="W70" s="58" t="n">
        <f aca="false">MAX(0,W66+W67+W68+W69)</f>
        <v>2661210.02177906</v>
      </c>
      <c r="X70" s="58" t="n">
        <f aca="false">MAX(0,X66+X67+X68+X69)</f>
        <v>2846288.36460304</v>
      </c>
      <c r="Y70" s="58" t="n">
        <f aca="false">MAX(0,Y66+Y67+Y68+Y69)</f>
        <v>3032924.33509553</v>
      </c>
      <c r="Z70" s="58" t="n">
        <f aca="false">MAX(0,Z66+Z67+Z68+Z69)</f>
        <v>3220096.0662382</v>
      </c>
      <c r="AA70" s="58" t="n">
        <f aca="false">MAX(0,AA66+AA67+AA68+AA69)</f>
        <v>3406727.75669374</v>
      </c>
      <c r="AB70" s="58" t="n">
        <f aca="false">MAX(0,AB66+AB67+AB68+AB69)</f>
        <v>3591699.97356898</v>
      </c>
      <c r="AC70" s="58" t="n">
        <f aca="false">MAX(0,AC66+AC67+AC68+AC69)</f>
        <v>3773861.10951458</v>
      </c>
      <c r="AD70" s="58" t="n">
        <f aca="false">MAX(0,AD66+AD67+AD68+AD69)</f>
        <v>3952039.84392243</v>
      </c>
      <c r="AE70" s="58" t="n">
        <f aca="false">MAX(0,AE66+AE67+AE68+AE69)</f>
        <v>4125058.4296093</v>
      </c>
      <c r="AF70" s="58" t="n">
        <f aca="false">MAX(0,AF66+AF67+AF68+AF69)</f>
        <v>4291746.60091332</v>
      </c>
    </row>
    <row r="71" customFormat="false" ht="15" hidden="false" customHeight="true" outlineLevel="0" collapsed="false">
      <c r="B71" s="6" t="s">
        <v>551</v>
      </c>
      <c r="C71" s="20" t="n">
        <f aca="false">Assumptions!$C$26</f>
        <v>480000</v>
      </c>
      <c r="D71" s="20" t="n">
        <f aca="false">C74</f>
        <v>578400</v>
      </c>
      <c r="E71" s="20" t="n">
        <f aca="false">D74</f>
        <v>676117.849236641</v>
      </c>
      <c r="F71" s="20" t="n">
        <f aca="false">E74</f>
        <v>774841.466338755</v>
      </c>
      <c r="G71" s="20" t="n">
        <f aca="false">F74</f>
        <v>894790.00635918</v>
      </c>
      <c r="H71" s="20" t="n">
        <f aca="false">G74</f>
        <v>1026373.20686791</v>
      </c>
      <c r="I71" s="20" t="n">
        <f aca="false">H74</f>
        <v>1169683.06341735</v>
      </c>
      <c r="J71" s="20" t="n">
        <f aca="false">I74</f>
        <v>1325681.70849074</v>
      </c>
      <c r="K71" s="20" t="n">
        <f aca="false">J74</f>
        <v>1495408.72516999</v>
      </c>
      <c r="L71" s="20" t="n">
        <f aca="false">K74</f>
        <v>1679987.35278359</v>
      </c>
      <c r="M71" s="20" t="n">
        <f aca="false">L74</f>
        <v>1880631.18919828</v>
      </c>
      <c r="N71" s="20" t="n">
        <f aca="false">M74</f>
        <v>2098651.42948998</v>
      </c>
      <c r="O71" s="20" t="n">
        <f aca="false">N74</f>
        <v>2335464.68390814</v>
      </c>
      <c r="P71" s="20" t="n">
        <f aca="false">O74</f>
        <v>2592601.42148093</v>
      </c>
      <c r="Q71" s="20" t="n">
        <f aca="false">P74</f>
        <v>2871715.08931674</v>
      </c>
      <c r="R71" s="20" t="n">
        <f aca="false">Q74</f>
        <v>3174591.96166176</v>
      </c>
      <c r="S71" s="20" t="n">
        <f aca="false">R74</f>
        <v>3503161.77709838</v>
      </c>
      <c r="T71" s="20" t="n">
        <f aca="false">S74</f>
        <v>3848999.74160871</v>
      </c>
      <c r="U71" s="20" t="n">
        <f aca="false">T74</f>
        <v>4211442.12031499</v>
      </c>
      <c r="V71" s="20" t="n">
        <f aca="false">U74</f>
        <v>4589623.23664112</v>
      </c>
      <c r="W71" s="20" t="n">
        <f aca="false">V74</f>
        <v>4982469.71703217</v>
      </c>
      <c r="X71" s="20" t="n">
        <f aca="false">W74</f>
        <v>5388697.39094469</v>
      </c>
      <c r="Y71" s="20" t="n">
        <f aca="false">X74</f>
        <v>5806811.11433481</v>
      </c>
      <c r="Z71" s="20" t="n">
        <f aca="false">Y74</f>
        <v>6235107.74493514</v>
      </c>
      <c r="AA71" s="20" t="n">
        <f aca="false">Z74</f>
        <v>6671682.44900317</v>
      </c>
      <c r="AB71" s="20" t="n">
        <f aca="false">AA74</f>
        <v>7114438.46255904</v>
      </c>
      <c r="AC71" s="20" t="n">
        <f aca="false">AB74</f>
        <v>7561100.36632087</v>
      </c>
      <c r="AD71" s="20" t="n">
        <f aca="false">AC74</f>
        <v>8009230.86378451</v>
      </c>
      <c r="AE71" s="20" t="n">
        <f aca="false">AD74</f>
        <v>8456250.97764251</v>
      </c>
      <c r="AF71" s="20" t="n">
        <f aca="false">AE74</f>
        <v>8899463.50269437</v>
      </c>
    </row>
    <row r="72" customFormat="false" ht="15" hidden="false" customHeight="true" outlineLevel="0" collapsed="false">
      <c r="B72" s="56" t="s">
        <v>463</v>
      </c>
      <c r="C72" s="20" t="n">
        <f aca="false">C12+C41</f>
        <v>60000</v>
      </c>
      <c r="D72" s="20" t="n">
        <f aca="false">D12+D41</f>
        <v>51445.8492366412</v>
      </c>
      <c r="E72" s="20" t="n">
        <f aca="false">E12+E41</f>
        <v>44634.1891631828</v>
      </c>
      <c r="F72" s="20" t="n">
        <f aca="false">F12+F41</f>
        <v>57961.2227133239</v>
      </c>
      <c r="G72" s="20" t="n">
        <f aca="false">G12+G41</f>
        <v>60000</v>
      </c>
      <c r="H72" s="20" t="n">
        <f aca="false">H12+H41</f>
        <v>61200</v>
      </c>
      <c r="I72" s="20" t="n">
        <f aca="false">I12+I41</f>
        <v>62424</v>
      </c>
      <c r="J72" s="20" t="n">
        <f aca="false">J12+J41</f>
        <v>63672.48</v>
      </c>
      <c r="K72" s="20" t="n">
        <f aca="false">K12+K41</f>
        <v>64945.9296</v>
      </c>
      <c r="L72" s="20" t="n">
        <f aca="false">L12+L41</f>
        <v>66244.848192</v>
      </c>
      <c r="M72" s="20" t="n">
        <f aca="false">M12+M41</f>
        <v>67569.74515584</v>
      </c>
      <c r="N72" s="20" t="n">
        <f aca="false">N12+N41</f>
        <v>68921.1400589568</v>
      </c>
      <c r="O72" s="20" t="n">
        <f aca="false">O12+O41</f>
        <v>70299.562860136</v>
      </c>
      <c r="P72" s="20" t="n">
        <f aca="false">P12+P41</f>
        <v>71705.5541173387</v>
      </c>
      <c r="Q72" s="20" t="n">
        <f aca="false">Q12+Q41</f>
        <v>73139.6651996854</v>
      </c>
      <c r="R72" s="20" t="n">
        <f aca="false">R12+R41</f>
        <v>74602.4585036792</v>
      </c>
      <c r="S72" s="20" t="n">
        <f aca="false">S12+S41</f>
        <v>76094.5076737527</v>
      </c>
      <c r="T72" s="20" t="n">
        <f aca="false">T12+T41</f>
        <v>77616.3978272278</v>
      </c>
      <c r="U72" s="20" t="n">
        <f aca="false">U12+U41</f>
        <v>79168.7257837723</v>
      </c>
      <c r="V72" s="20" t="n">
        <f aca="false">V12+V41</f>
        <v>80752.1002994478</v>
      </c>
      <c r="W72" s="20" t="n">
        <f aca="false">W12+W41</f>
        <v>82367.1423054368</v>
      </c>
      <c r="X72" s="20" t="n">
        <f aca="false">X12+X41</f>
        <v>84014.4851515455</v>
      </c>
      <c r="Y72" s="20" t="n">
        <f aca="false">Y12+Y41</f>
        <v>85694.7748545764</v>
      </c>
      <c r="Z72" s="20" t="n">
        <f aca="false">Z12+Z41</f>
        <v>87408.6703516679</v>
      </c>
      <c r="AA72" s="20" t="n">
        <f aca="false">AA12+AA41</f>
        <v>89156.8437587013</v>
      </c>
      <c r="AB72" s="20" t="n">
        <f aca="false">AB12+AB41</f>
        <v>90939.9806338753</v>
      </c>
      <c r="AC72" s="20" t="n">
        <f aca="false">AC12+AC41</f>
        <v>92758.7802465528</v>
      </c>
      <c r="AD72" s="20" t="n">
        <f aca="false">AD12+AD41</f>
        <v>94613.9558514839</v>
      </c>
      <c r="AE72" s="20" t="n">
        <f aca="false">AE12+AE41</f>
        <v>96506.2349685136</v>
      </c>
      <c r="AF72" s="20" t="n">
        <f aca="false">AF12+AF41</f>
        <v>98436.3596678838</v>
      </c>
    </row>
    <row r="73" customFormat="false" ht="15" hidden="false" customHeight="true" outlineLevel="0" collapsed="false">
      <c r="B73" s="56" t="s">
        <v>458</v>
      </c>
      <c r="C73" s="20" t="n">
        <f aca="false">C71*Returns!C$9</f>
        <v>38400</v>
      </c>
      <c r="D73" s="20" t="n">
        <f aca="false">D71*Returns!D$9</f>
        <v>46272</v>
      </c>
      <c r="E73" s="20" t="n">
        <f aca="false">E71*Returns!E$9</f>
        <v>54089.4279389313</v>
      </c>
      <c r="F73" s="20" t="n">
        <f aca="false">F71*Returns!F$9</f>
        <v>61987.3173071004</v>
      </c>
      <c r="G73" s="20" t="n">
        <f aca="false">G71*Returns!G$9</f>
        <v>71583.2005087344</v>
      </c>
      <c r="H73" s="20" t="n">
        <f aca="false">H71*Returns!H$9</f>
        <v>82109.8565494331</v>
      </c>
      <c r="I73" s="20" t="n">
        <f aca="false">I71*Returns!I$9</f>
        <v>93574.6450733878</v>
      </c>
      <c r="J73" s="20" t="n">
        <f aca="false">J71*Returns!J$9</f>
        <v>106054.536679259</v>
      </c>
      <c r="K73" s="20" t="n">
        <f aca="false">K71*Returns!K$9</f>
        <v>119632.6980136</v>
      </c>
      <c r="L73" s="20" t="n">
        <f aca="false">L71*Returns!L$9</f>
        <v>134398.988222687</v>
      </c>
      <c r="M73" s="20" t="n">
        <f aca="false">M71*Returns!M$9</f>
        <v>150450.495135862</v>
      </c>
      <c r="N73" s="20" t="n">
        <f aca="false">N71*Returns!N$9</f>
        <v>167892.114359199</v>
      </c>
      <c r="O73" s="20" t="n">
        <f aca="false">O71*Returns!O$9</f>
        <v>186837.174712651</v>
      </c>
      <c r="P73" s="20" t="n">
        <f aca="false">P71*Returns!P$9</f>
        <v>207408.113718474</v>
      </c>
      <c r="Q73" s="20" t="n">
        <f aca="false">Q71*Returns!Q$9</f>
        <v>229737.207145339</v>
      </c>
      <c r="R73" s="20" t="n">
        <f aca="false">R71*Returns!R$9</f>
        <v>253967.356932941</v>
      </c>
      <c r="S73" s="20" t="n">
        <f aca="false">S71*Returns!S$9</f>
        <v>269743.456836576</v>
      </c>
      <c r="T73" s="20" t="n">
        <f aca="false">T71*Returns!T$9</f>
        <v>284825.980879045</v>
      </c>
      <c r="U73" s="20" t="n">
        <f aca="false">U71*Returns!U$9</f>
        <v>299012.390542364</v>
      </c>
      <c r="V73" s="20" t="n">
        <f aca="false">V71*Returns!V$9</f>
        <v>312094.380091596</v>
      </c>
      <c r="W73" s="20" t="n">
        <f aca="false">W71*Returns!W$9</f>
        <v>323860.531607091</v>
      </c>
      <c r="X73" s="20" t="n">
        <f aca="false">X71*Returns!X$9</f>
        <v>334099.238238571</v>
      </c>
      <c r="Y73" s="20" t="n">
        <f aca="false">Y71*Returns!Y$9</f>
        <v>342601.855745754</v>
      </c>
      <c r="Z73" s="20" t="n">
        <f aca="false">Z71*Returns!Z$9</f>
        <v>349166.033716368</v>
      </c>
      <c r="AA73" s="20" t="n">
        <f aca="false">AA71*Returns!AA$9</f>
        <v>353599.169797168</v>
      </c>
      <c r="AB73" s="20" t="n">
        <f aca="false">AB71*Returns!AB$9</f>
        <v>355721.923127952</v>
      </c>
      <c r="AC73" s="20" t="n">
        <f aca="false">AC71*Returns!AC$9</f>
        <v>355371.717217081</v>
      </c>
      <c r="AD73" s="20" t="n">
        <f aca="false">AD71*Returns!AD$9</f>
        <v>352406.158006518</v>
      </c>
      <c r="AE73" s="20" t="n">
        <f aca="false">AE71*Returns!AE$9</f>
        <v>346706.290083343</v>
      </c>
      <c r="AF73" s="20" t="n">
        <f aca="false">AF71*Returns!AF$9</f>
        <v>338179.613102386</v>
      </c>
    </row>
    <row r="74" customFormat="false" ht="15" hidden="false" customHeight="true" outlineLevel="0" collapsed="false">
      <c r="B74" s="16" t="s">
        <v>466</v>
      </c>
      <c r="C74" s="58" t="n">
        <f aca="false">C71+C72+C73</f>
        <v>578400</v>
      </c>
      <c r="D74" s="58" t="n">
        <f aca="false">D71+D72+D73</f>
        <v>676117.849236641</v>
      </c>
      <c r="E74" s="58" t="n">
        <f aca="false">E71+E72+E73</f>
        <v>774841.466338755</v>
      </c>
      <c r="F74" s="58" t="n">
        <f aca="false">F71+F72+F73</f>
        <v>894790.00635918</v>
      </c>
      <c r="G74" s="58" t="n">
        <f aca="false">G71+G72+G73</f>
        <v>1026373.20686791</v>
      </c>
      <c r="H74" s="58" t="n">
        <f aca="false">H71+H72+H73</f>
        <v>1169683.06341735</v>
      </c>
      <c r="I74" s="58" t="n">
        <f aca="false">I71+I72+I73</f>
        <v>1325681.70849074</v>
      </c>
      <c r="J74" s="58" t="n">
        <f aca="false">J71+J72+J73</f>
        <v>1495408.72516999</v>
      </c>
      <c r="K74" s="58" t="n">
        <f aca="false">K71+K72+K73</f>
        <v>1679987.35278359</v>
      </c>
      <c r="L74" s="58" t="n">
        <f aca="false">L71+L72+L73</f>
        <v>1880631.18919828</v>
      </c>
      <c r="M74" s="58" t="n">
        <f aca="false">M71+M72+M73</f>
        <v>2098651.42948998</v>
      </c>
      <c r="N74" s="58" t="n">
        <f aca="false">N71+N72+N73</f>
        <v>2335464.68390814</v>
      </c>
      <c r="O74" s="58" t="n">
        <f aca="false">O71+O72+O73</f>
        <v>2592601.42148093</v>
      </c>
      <c r="P74" s="58" t="n">
        <f aca="false">P71+P72+P73</f>
        <v>2871715.08931674</v>
      </c>
      <c r="Q74" s="58" t="n">
        <f aca="false">Q71+Q72+Q73</f>
        <v>3174591.96166176</v>
      </c>
      <c r="R74" s="58" t="n">
        <f aca="false">R71+R72+R73</f>
        <v>3503161.77709838</v>
      </c>
      <c r="S74" s="58" t="n">
        <f aca="false">S71+S72+S73</f>
        <v>3848999.74160871</v>
      </c>
      <c r="T74" s="58" t="n">
        <f aca="false">T71+T72+T73</f>
        <v>4211442.12031499</v>
      </c>
      <c r="U74" s="58" t="n">
        <f aca="false">U71+U72+U73</f>
        <v>4589623.23664112</v>
      </c>
      <c r="V74" s="58" t="n">
        <f aca="false">V71+V72+V73</f>
        <v>4982469.71703217</v>
      </c>
      <c r="W74" s="58" t="n">
        <f aca="false">W71+W72+W73</f>
        <v>5388697.39094469</v>
      </c>
      <c r="X74" s="58" t="n">
        <f aca="false">X71+X72+X73</f>
        <v>5806811.11433481</v>
      </c>
      <c r="Y74" s="58" t="n">
        <f aca="false">Y71+Y72+Y73</f>
        <v>6235107.74493514</v>
      </c>
      <c r="Z74" s="58" t="n">
        <f aca="false">Z71+Z72+Z73</f>
        <v>6671682.44900317</v>
      </c>
      <c r="AA74" s="58" t="n">
        <f aca="false">AA71+AA72+AA73</f>
        <v>7114438.46255904</v>
      </c>
      <c r="AB74" s="58" t="n">
        <f aca="false">AB71+AB72+AB73</f>
        <v>7561100.36632087</v>
      </c>
      <c r="AC74" s="58" t="n">
        <f aca="false">AC71+AC72+AC73</f>
        <v>8009230.86378451</v>
      </c>
      <c r="AD74" s="58" t="n">
        <f aca="false">AD71+AD72+AD73</f>
        <v>8456250.97764251</v>
      </c>
      <c r="AE74" s="58" t="n">
        <f aca="false">AE71+AE72+AE73</f>
        <v>8899463.50269437</v>
      </c>
      <c r="AF74" s="58" t="n">
        <f aca="false">AF71+AF72+AF73</f>
        <v>9336079.47546464</v>
      </c>
    </row>
    <row r="75" customFormat="false" ht="15" hidden="false" customHeight="true" outlineLevel="0" collapsed="false">
      <c r="B75" s="6" t="s">
        <v>552</v>
      </c>
      <c r="C75" s="20" t="n">
        <f aca="false">Assumptions!$D$26</f>
        <v>760000</v>
      </c>
      <c r="D75" s="20" t="n">
        <f aca="false">C78</f>
        <v>880800</v>
      </c>
      <c r="E75" s="20" t="n">
        <f aca="false">D78</f>
        <v>1004876.90076336</v>
      </c>
      <c r="F75" s="20" t="n">
        <f aca="false">E78</f>
        <v>1134053.59866124</v>
      </c>
      <c r="G75" s="20" t="n">
        <f aca="false">F78</f>
        <v>1283308.68104082</v>
      </c>
      <c r="H75" s="20" t="n">
        <f aca="false">G78</f>
        <v>1445973.37552409</v>
      </c>
      <c r="I75" s="20" t="n">
        <f aca="false">H78</f>
        <v>1622851.24556601</v>
      </c>
      <c r="J75" s="20" t="n">
        <f aca="false">I78</f>
        <v>1815103.34521129</v>
      </c>
      <c r="K75" s="20" t="n">
        <f aca="false">J78</f>
        <v>2018538.78279256</v>
      </c>
      <c r="L75" s="20" t="n">
        <f aca="false">K78</f>
        <v>2232856.58231921</v>
      </c>
      <c r="M75" s="20" t="n">
        <f aca="false">L78</f>
        <v>2457634.24785588</v>
      </c>
      <c r="N75" s="20" t="n">
        <f aca="false">M78</f>
        <v>2692323.12186592</v>
      </c>
      <c r="O75" s="20" t="n">
        <f aca="false">N78</f>
        <v>2936245.26484616</v>
      </c>
      <c r="P75" s="20" t="n">
        <f aca="false">O78</f>
        <v>3188592.03412676</v>
      </c>
      <c r="Q75" s="20" t="n">
        <f aca="false">P78</f>
        <v>3448424.51825757</v>
      </c>
      <c r="R75" s="20" t="n">
        <f aca="false">Q78</f>
        <v>3714675.95647968</v>
      </c>
      <c r="S75" s="20" t="n">
        <f aca="false">R78</f>
        <v>3986156.24067679</v>
      </c>
      <c r="T75" s="20" t="n">
        <f aca="false">S78</f>
        <v>4261558.56038438</v>
      </c>
      <c r="U75" s="20" t="n">
        <f aca="false">T78</f>
        <v>4539468.21054967</v>
      </c>
      <c r="V75" s="20" t="n">
        <f aca="false">U78</f>
        <v>4818373.53759763</v>
      </c>
      <c r="W75" s="20" t="n">
        <f aca="false">V78</f>
        <v>5096678.95293858</v>
      </c>
      <c r="X75" s="20" t="n">
        <f aca="false">W78</f>
        <v>5372719.89545568</v>
      </c>
      <c r="Y75" s="20" t="n">
        <f aca="false">X78</f>
        <v>5644779.57694818</v>
      </c>
      <c r="Z75" s="20" t="n">
        <f aca="false">Y78</f>
        <v>5911107.29826509</v>
      </c>
      <c r="AA75" s="20" t="n">
        <f aca="false">Z78</f>
        <v>6169938.08026645</v>
      </c>
      <c r="AB75" s="20" t="n">
        <f aca="false">AA78</f>
        <v>6419513.31411208</v>
      </c>
      <c r="AC75" s="20" t="n">
        <f aca="false">AB78</f>
        <v>6658102.10097053</v>
      </c>
      <c r="AD75" s="20" t="n">
        <f aca="false">AC78</f>
        <v>6884022.9232365</v>
      </c>
      <c r="AE75" s="20" t="n">
        <f aca="false">AD78</f>
        <v>7116317.33755271</v>
      </c>
      <c r="AF75" s="20" t="n">
        <f aca="false">AE78</f>
        <v>7355149.91927228</v>
      </c>
    </row>
    <row r="76" customFormat="false" ht="15" hidden="false" customHeight="true" outlineLevel="0" collapsed="false">
      <c r="B76" s="56" t="s">
        <v>463</v>
      </c>
      <c r="C76" s="17" t="n">
        <f aca="false">DM_Income!C$12+C42</f>
        <v>60000</v>
      </c>
      <c r="D76" s="17" t="n">
        <f aca="false">DM_Income!D$12+D42</f>
        <v>53612.9007633588</v>
      </c>
      <c r="E76" s="17" t="n">
        <f aca="false">DM_Income!E$12+E42</f>
        <v>48786.5458368172</v>
      </c>
      <c r="F76" s="17" t="n">
        <f aca="false">DM_Income!F$12+F42</f>
        <v>58530.7944866761</v>
      </c>
      <c r="G76" s="17" t="n">
        <f aca="false">DM_Income!G$12+G42</f>
        <v>60000</v>
      </c>
      <c r="H76" s="17" t="n">
        <f aca="false">DM_Income!H$12+H42</f>
        <v>61200</v>
      </c>
      <c r="I76" s="17" t="n">
        <f aca="false">DM_Income!I$12+I42</f>
        <v>62424</v>
      </c>
      <c r="J76" s="17" t="n">
        <f aca="false">DM_Income!J$12+J42</f>
        <v>63672.48</v>
      </c>
      <c r="K76" s="17" t="n">
        <f aca="false">DM_Income!K$12+K42</f>
        <v>64945.9296</v>
      </c>
      <c r="L76" s="17" t="n">
        <f aca="false">DM_Income!L$12+L42</f>
        <v>66244.848192</v>
      </c>
      <c r="M76" s="17" t="n">
        <f aca="false">DM_Income!M$12+M42</f>
        <v>67569.74515584</v>
      </c>
      <c r="N76" s="17" t="n">
        <f aca="false">DM_Income!N$12+N42</f>
        <v>68921.1400589568</v>
      </c>
      <c r="O76" s="17" t="n">
        <f aca="false">DM_Income!O$12+O42</f>
        <v>70299.562860136</v>
      </c>
      <c r="P76" s="17" t="n">
        <f aca="false">DM_Income!P$12+P42</f>
        <v>71705.5541173387</v>
      </c>
      <c r="Q76" s="17" t="n">
        <f aca="false">DM_Income!Q$12+Q42</f>
        <v>73139.6651996854</v>
      </c>
      <c r="R76" s="17" t="n">
        <f aca="false">DM_Income!R$12+R42</f>
        <v>74602.4585036792</v>
      </c>
      <c r="S76" s="17" t="n">
        <f aca="false">DM_Income!S$12+S42</f>
        <v>76094.5076737527</v>
      </c>
      <c r="T76" s="17" t="n">
        <f aca="false">DM_Income!T$12+T42</f>
        <v>77616.3978272278</v>
      </c>
      <c r="U76" s="17" t="n">
        <f aca="false">DM_Income!U$12+U42</f>
        <v>79168.7257837723</v>
      </c>
      <c r="V76" s="17" t="n">
        <f aca="false">DM_Income!V$12+V42</f>
        <v>80752.1002994478</v>
      </c>
      <c r="W76" s="17" t="n">
        <f aca="false">DM_Income!W$12+W42</f>
        <v>82367.1423054368</v>
      </c>
      <c r="X76" s="17" t="n">
        <f aca="false">DM_Income!X$12+X42</f>
        <v>84014.4851515455</v>
      </c>
      <c r="Y76" s="17" t="n">
        <f aca="false">DM_Income!Y$12+Y42</f>
        <v>85694.7748545764</v>
      </c>
      <c r="Z76" s="17" t="n">
        <f aca="false">DM_Income!Z$12+Z42</f>
        <v>87408.6703516679</v>
      </c>
      <c r="AA76" s="17" t="n">
        <f aca="false">DM_Income!AA$12+AA42</f>
        <v>89156.8437587013</v>
      </c>
      <c r="AB76" s="17" t="n">
        <f aca="false">DM_Income!AB$12+AB42</f>
        <v>90939.9806338753</v>
      </c>
      <c r="AC76" s="17" t="n">
        <f aca="false">DM_Income!AC$12+AC42</f>
        <v>92758.7802465528</v>
      </c>
      <c r="AD76" s="17" t="n">
        <f aca="false">DM_Income!AD$12+AD42</f>
        <v>94613.9558514839</v>
      </c>
      <c r="AE76" s="17" t="n">
        <f aca="false">DM_Income!AE$12+AE42</f>
        <v>96506.2349685136</v>
      </c>
      <c r="AF76" s="17" t="n">
        <f aca="false">DM_Income!AF$12+AF42</f>
        <v>98436.3596678838</v>
      </c>
    </row>
    <row r="77" customFormat="false" ht="15" hidden="false" customHeight="true" outlineLevel="0" collapsed="false">
      <c r="B77" s="56" t="s">
        <v>458</v>
      </c>
      <c r="C77" s="20" t="n">
        <f aca="false">C75*Returns!C$10</f>
        <v>60800</v>
      </c>
      <c r="D77" s="20" t="n">
        <f aca="false">D75*Returns!D$10</f>
        <v>70464</v>
      </c>
      <c r="E77" s="20" t="n">
        <f aca="false">E75*Returns!E$10</f>
        <v>80390.1520610687</v>
      </c>
      <c r="F77" s="20" t="n">
        <f aca="false">F75*Returns!F$10</f>
        <v>90724.2878928996</v>
      </c>
      <c r="G77" s="20" t="n">
        <f aca="false">G75*Returns!G$10</f>
        <v>102664.694483266</v>
      </c>
      <c r="H77" s="20" t="n">
        <f aca="false">H75*Returns!H$10</f>
        <v>115677.870041927</v>
      </c>
      <c r="I77" s="20" t="n">
        <f aca="false">I75*Returns!I$10</f>
        <v>129828.099645281</v>
      </c>
      <c r="J77" s="20" t="n">
        <f aca="false">J75*Returns!J$10</f>
        <v>139762.95758127</v>
      </c>
      <c r="K77" s="20" t="n">
        <f aca="false">K75*Returns!K$10</f>
        <v>149371.86992665</v>
      </c>
      <c r="L77" s="20" t="n">
        <f aca="false">L75*Returns!L$10</f>
        <v>158532.817344664</v>
      </c>
      <c r="M77" s="20" t="n">
        <f aca="false">M75*Returns!M$10</f>
        <v>167119.1288542</v>
      </c>
      <c r="N77" s="20" t="n">
        <f aca="false">N75*Returns!N$10</f>
        <v>175001.002921285</v>
      </c>
      <c r="O77" s="20" t="n">
        <f aca="false">O75*Returns!O$10</f>
        <v>182047.206420462</v>
      </c>
      <c r="P77" s="20" t="n">
        <f aca="false">P75*Returns!P$10</f>
        <v>188126.930013479</v>
      </c>
      <c r="Q77" s="20" t="n">
        <f aca="false">Q75*Returns!Q$10</f>
        <v>193111.773022424</v>
      </c>
      <c r="R77" s="20" t="n">
        <f aca="false">R75*Returns!R$10</f>
        <v>196877.825693423</v>
      </c>
      <c r="S77" s="20" t="n">
        <f aca="false">S75*Returns!S$10</f>
        <v>199307.812033839</v>
      </c>
      <c r="T77" s="20" t="n">
        <f aca="false">T75*Returns!T$10</f>
        <v>200293.252338066</v>
      </c>
      <c r="U77" s="20" t="n">
        <f aca="false">U75*Returns!U$10</f>
        <v>199736.601264186</v>
      </c>
      <c r="V77" s="20" t="n">
        <f aca="false">V75*Returns!V$10</f>
        <v>197553.315041503</v>
      </c>
      <c r="W77" s="20" t="n">
        <f aca="false">W75*Returns!W$10</f>
        <v>193673.800211666</v>
      </c>
      <c r="X77" s="20" t="n">
        <f aca="false">X75*Returns!X$10</f>
        <v>188045.196340949</v>
      </c>
      <c r="Y77" s="20" t="n">
        <f aca="false">Y75*Returns!Y$10</f>
        <v>180632.946462342</v>
      </c>
      <c r="Z77" s="20" t="n">
        <f aca="false">Z75*Returns!Z$10</f>
        <v>171422.111649688</v>
      </c>
      <c r="AA77" s="20" t="n">
        <f aca="false">AA75*Returns!AA$10</f>
        <v>160418.390086928</v>
      </c>
      <c r="AB77" s="20" t="n">
        <f aca="false">AB75*Returns!AB$10</f>
        <v>147648.806224578</v>
      </c>
      <c r="AC77" s="20" t="n">
        <f aca="false">AC75*Returns!AC$10</f>
        <v>133162.042019411</v>
      </c>
      <c r="AD77" s="20" t="n">
        <f aca="false">AD75*Returns!AD$10</f>
        <v>137680.45846473</v>
      </c>
      <c r="AE77" s="20" t="n">
        <f aca="false">AE75*Returns!AE$10</f>
        <v>142326.346751054</v>
      </c>
      <c r="AF77" s="20" t="n">
        <f aca="false">AF75*Returns!AF$10</f>
        <v>147102.998385446</v>
      </c>
    </row>
    <row r="78" customFormat="false" ht="15" hidden="false" customHeight="true" outlineLevel="0" collapsed="false">
      <c r="B78" s="16" t="s">
        <v>467</v>
      </c>
      <c r="C78" s="58" t="n">
        <f aca="false">C75+C76+C77</f>
        <v>880800</v>
      </c>
      <c r="D78" s="58" t="n">
        <f aca="false">D75+D76+D77</f>
        <v>1004876.90076336</v>
      </c>
      <c r="E78" s="58" t="n">
        <f aca="false">E75+E76+E77</f>
        <v>1134053.59866124</v>
      </c>
      <c r="F78" s="58" t="n">
        <f aca="false">F75+F76+F77</f>
        <v>1283308.68104082</v>
      </c>
      <c r="G78" s="58" t="n">
        <f aca="false">G75+G76+G77</f>
        <v>1445973.37552409</v>
      </c>
      <c r="H78" s="58" t="n">
        <f aca="false">H75+H76+H77</f>
        <v>1622851.24556601</v>
      </c>
      <c r="I78" s="58" t="n">
        <f aca="false">I75+I76+I77</f>
        <v>1815103.34521129</v>
      </c>
      <c r="J78" s="58" t="n">
        <f aca="false">J75+J76+J77</f>
        <v>2018538.78279256</v>
      </c>
      <c r="K78" s="58" t="n">
        <f aca="false">K75+K76+K77</f>
        <v>2232856.58231921</v>
      </c>
      <c r="L78" s="58" t="n">
        <f aca="false">L75+L76+L77</f>
        <v>2457634.24785588</v>
      </c>
      <c r="M78" s="58" t="n">
        <f aca="false">M75+M76+M77</f>
        <v>2692323.12186592</v>
      </c>
      <c r="N78" s="58" t="n">
        <f aca="false">N75+N76+N77</f>
        <v>2936245.26484616</v>
      </c>
      <c r="O78" s="58" t="n">
        <f aca="false">O75+O76+O77</f>
        <v>3188592.03412676</v>
      </c>
      <c r="P78" s="58" t="n">
        <f aca="false">P75+P76+P77</f>
        <v>3448424.51825757</v>
      </c>
      <c r="Q78" s="58" t="n">
        <f aca="false">Q75+Q76+Q77</f>
        <v>3714675.95647968</v>
      </c>
      <c r="R78" s="58" t="n">
        <f aca="false">R75+R76+R77</f>
        <v>3986156.24067679</v>
      </c>
      <c r="S78" s="58" t="n">
        <f aca="false">S75+S76+S77</f>
        <v>4261558.56038438</v>
      </c>
      <c r="T78" s="58" t="n">
        <f aca="false">T75+T76+T77</f>
        <v>4539468.21054967</v>
      </c>
      <c r="U78" s="58" t="n">
        <f aca="false">U75+U76+U77</f>
        <v>4818373.53759763</v>
      </c>
      <c r="V78" s="58" t="n">
        <f aca="false">V75+V76+V77</f>
        <v>5096678.95293858</v>
      </c>
      <c r="W78" s="58" t="n">
        <f aca="false">W75+W76+W77</f>
        <v>5372719.89545568</v>
      </c>
      <c r="X78" s="58" t="n">
        <f aca="false">X75+X76+X77</f>
        <v>5644779.57694818</v>
      </c>
      <c r="Y78" s="58" t="n">
        <f aca="false">Y75+Y76+Y77</f>
        <v>5911107.29826509</v>
      </c>
      <c r="Z78" s="58" t="n">
        <f aca="false">Z75+Z76+Z77</f>
        <v>6169938.08026645</v>
      </c>
      <c r="AA78" s="58" t="n">
        <f aca="false">AA75+AA76+AA77</f>
        <v>6419513.31411208</v>
      </c>
      <c r="AB78" s="58" t="n">
        <f aca="false">AB75+AB76+AB77</f>
        <v>6658102.10097053</v>
      </c>
      <c r="AC78" s="58" t="n">
        <f aca="false">AC75+AC76+AC77</f>
        <v>6884022.9232365</v>
      </c>
      <c r="AD78" s="58" t="n">
        <f aca="false">AD75+AD76+AD77</f>
        <v>7116317.33755271</v>
      </c>
      <c r="AE78" s="58" t="n">
        <f aca="false">AE75+AE76+AE77</f>
        <v>7355149.91927228</v>
      </c>
      <c r="AF78" s="58" t="n">
        <f aca="false">AF75+AF76+AF77</f>
        <v>7600689.27732561</v>
      </c>
    </row>
    <row r="79" customFormat="false" ht="15" hidden="false" customHeight="true" outlineLevel="0" collapsed="false">
      <c r="B79" s="16" t="s">
        <v>468</v>
      </c>
      <c r="C79" s="58" t="n">
        <f aca="false">C74+C78</f>
        <v>1459200</v>
      </c>
      <c r="D79" s="58" t="n">
        <f aca="false">D74+D78</f>
        <v>1680994.75</v>
      </c>
      <c r="E79" s="58" t="n">
        <f aca="false">E74+E78</f>
        <v>1908895.065</v>
      </c>
      <c r="F79" s="58" t="n">
        <f aca="false">F74+F78</f>
        <v>2178098.6874</v>
      </c>
      <c r="G79" s="58" t="n">
        <f aca="false">G74+G78</f>
        <v>2472346.582392</v>
      </c>
      <c r="H79" s="58" t="n">
        <f aca="false">H74+H78</f>
        <v>2792534.30898336</v>
      </c>
      <c r="I79" s="58" t="n">
        <f aca="false">I74+I78</f>
        <v>3140785.05370203</v>
      </c>
      <c r="J79" s="58" t="n">
        <f aca="false">J74+J78</f>
        <v>3513947.50796256</v>
      </c>
      <c r="K79" s="58" t="n">
        <f aca="false">K74+K78</f>
        <v>3912843.93510281</v>
      </c>
      <c r="L79" s="58" t="n">
        <f aca="false">L74+L78</f>
        <v>4338265.43705416</v>
      </c>
      <c r="M79" s="58" t="n">
        <f aca="false">M74+M78</f>
        <v>4790974.5513559</v>
      </c>
      <c r="N79" s="58" t="n">
        <f aca="false">N74+N78</f>
        <v>5271709.9487543</v>
      </c>
      <c r="O79" s="58" t="n">
        <f aca="false">O74+O78</f>
        <v>5781193.45560768</v>
      </c>
      <c r="P79" s="58" t="n">
        <f aca="false">P74+P78</f>
        <v>6320139.60757431</v>
      </c>
      <c r="Q79" s="58" t="n">
        <f aca="false">Q74+Q78</f>
        <v>6889267.91814145</v>
      </c>
      <c r="R79" s="58" t="n">
        <f aca="false">R74+R78</f>
        <v>7489318.01777517</v>
      </c>
      <c r="S79" s="58" t="n">
        <f aca="false">S74+S78</f>
        <v>8110558.30199309</v>
      </c>
      <c r="T79" s="58" t="n">
        <f aca="false">T74+T78</f>
        <v>8750910.33086466</v>
      </c>
      <c r="U79" s="58" t="n">
        <f aca="false">U74+U78</f>
        <v>9407996.77423875</v>
      </c>
      <c r="V79" s="58" t="n">
        <f aca="false">V74+V78</f>
        <v>10079148.6699707</v>
      </c>
      <c r="W79" s="58" t="n">
        <f aca="false">W74+W78</f>
        <v>10761417.2864004</v>
      </c>
      <c r="X79" s="58" t="n">
        <f aca="false">X74+X78</f>
        <v>11451590.691283</v>
      </c>
      <c r="Y79" s="58" t="n">
        <f aca="false">Y74+Y78</f>
        <v>12146215.0432002</v>
      </c>
      <c r="Z79" s="58" t="n">
        <f aca="false">Z74+Z78</f>
        <v>12841620.5292696</v>
      </c>
      <c r="AA79" s="58" t="n">
        <f aca="false">AA74+AA78</f>
        <v>13533951.7766711</v>
      </c>
      <c r="AB79" s="58" t="n">
        <f aca="false">AB74+AB78</f>
        <v>14219202.4672914</v>
      </c>
      <c r="AC79" s="58" t="n">
        <f aca="false">AC74+AC78</f>
        <v>14893253.787021</v>
      </c>
      <c r="AD79" s="58" t="n">
        <f aca="false">AD74+AD78</f>
        <v>15572568.3151952</v>
      </c>
      <c r="AE79" s="58" t="n">
        <f aca="false">AE74+AE78</f>
        <v>16254613.4219666</v>
      </c>
      <c r="AF79" s="58" t="n">
        <f aca="false">AF74+AF78</f>
        <v>16936768.7527902</v>
      </c>
    </row>
    <row r="80" customFormat="false" ht="15" hidden="false" customHeight="true" outlineLevel="0" collapsed="false">
      <c r="B80" s="16" t="s">
        <v>469</v>
      </c>
      <c r="C80" s="59" t="n">
        <f aca="false">C64+C70</f>
        <v>302223.8</v>
      </c>
      <c r="D80" s="59" t="n">
        <f aca="false">D64+D70</f>
        <v>341447.268885496</v>
      </c>
      <c r="E80" s="59" t="n">
        <f aca="false">E64+E70</f>
        <v>378426.982520813</v>
      </c>
      <c r="F80" s="59" t="n">
        <f aca="false">F64+F70</f>
        <v>423092.815822478</v>
      </c>
      <c r="G80" s="59" t="n">
        <f aca="false">G64+G70</f>
        <v>480040.314931477</v>
      </c>
      <c r="H80" s="59" t="n">
        <f aca="false">H64+H70</f>
        <v>554761.883232299</v>
      </c>
      <c r="I80" s="59" t="n">
        <f aca="false">I64+I70</f>
        <v>670835.930143242</v>
      </c>
      <c r="J80" s="59" t="n">
        <f aca="false">J64+J70</f>
        <v>797358.606288323</v>
      </c>
      <c r="K80" s="59" t="n">
        <f aca="false">K64+K70</f>
        <v>966082.061855219</v>
      </c>
      <c r="L80" s="59" t="n">
        <f aca="false">L64+L70</f>
        <v>1149420.92532767</v>
      </c>
      <c r="M80" s="59" t="n">
        <f aca="false">M64+M70</f>
        <v>1348503.00431505</v>
      </c>
      <c r="N80" s="59" t="n">
        <f aca="false">N64+N70</f>
        <v>1562518.60261116</v>
      </c>
      <c r="O80" s="59" t="n">
        <f aca="false">O64+O70</f>
        <v>1789631.13617901</v>
      </c>
      <c r="P80" s="59" t="n">
        <f aca="false">P64+P70</f>
        <v>2029467.2552314</v>
      </c>
      <c r="Q80" s="59" t="n">
        <f aca="false">Q64+Q70</f>
        <v>2281513.053271</v>
      </c>
      <c r="R80" s="59" t="n">
        <f aca="false">R64+R70</f>
        <v>2545110.09269541</v>
      </c>
      <c r="S80" s="59" t="n">
        <f aca="false">S64+S70</f>
        <v>2819453.30323733</v>
      </c>
      <c r="T80" s="59" t="n">
        <f aca="false">T64+T70</f>
        <v>3103590.92577303</v>
      </c>
      <c r="U80" s="59" t="n">
        <f aca="false">U64+U70</f>
        <v>3396426.64376585</v>
      </c>
      <c r="V80" s="59" t="n">
        <f aca="false">V64+V70</f>
        <v>3732163.33496163</v>
      </c>
      <c r="W80" s="59" t="n">
        <f aca="false">W64+W70</f>
        <v>4075994.19993242</v>
      </c>
      <c r="X80" s="59" t="n">
        <f aca="false">X64+X70</f>
        <v>4426293.87964237</v>
      </c>
      <c r="Y80" s="59" t="n">
        <f aca="false">Y64+Y70</f>
        <v>4781302.60659974</v>
      </c>
      <c r="Z80" s="59" t="n">
        <f aca="false">Z64+Z70</f>
        <v>5139140.98023008</v>
      </c>
      <c r="AA80" s="59" t="n">
        <f aca="false">AA64+AA70</f>
        <v>5497827.23590016</v>
      </c>
      <c r="AB80" s="59" t="n">
        <f aca="false">AB64+AB70</f>
        <v>5855296.8156965</v>
      </c>
      <c r="AC80" s="59" t="n">
        <f aca="false">AC64+AC70</f>
        <v>6209423.99182199</v>
      </c>
      <c r="AD80" s="59" t="n">
        <f aca="false">AD64+AD70</f>
        <v>6558045.23947815</v>
      </c>
      <c r="AE80" s="59" t="n">
        <f aca="false">AE64+AE70</f>
        <v>6898984.00695346</v>
      </c>
      <c r="AF80" s="59" t="n">
        <f aca="false">AF64+AF70</f>
        <v>7230076.48787312</v>
      </c>
    </row>
    <row r="81" customFormat="false" ht="15" hidden="false" customHeight="true" outlineLevel="0" collapsed="false">
      <c r="B81" s="16" t="s">
        <v>470</v>
      </c>
      <c r="C81" s="59" t="n">
        <f aca="false">C80+C79</f>
        <v>1761423.8</v>
      </c>
      <c r="D81" s="59" t="n">
        <f aca="false">D80+D79</f>
        <v>2022442.0188855</v>
      </c>
      <c r="E81" s="59" t="n">
        <f aca="false">E80+E79</f>
        <v>2287322.04752081</v>
      </c>
      <c r="F81" s="59" t="n">
        <f aca="false">F80+F79</f>
        <v>2601191.50322248</v>
      </c>
      <c r="G81" s="59" t="n">
        <f aca="false">G80+G79</f>
        <v>2952386.89732348</v>
      </c>
      <c r="H81" s="59" t="n">
        <f aca="false">H80+H79</f>
        <v>3347296.19221566</v>
      </c>
      <c r="I81" s="59" t="n">
        <f aca="false">I80+I79</f>
        <v>3811620.98384527</v>
      </c>
      <c r="J81" s="59" t="n">
        <f aca="false">J80+J79</f>
        <v>4311306.11425088</v>
      </c>
      <c r="K81" s="59" t="n">
        <f aca="false">K80+K79</f>
        <v>4878925.99695802</v>
      </c>
      <c r="L81" s="59" t="n">
        <f aca="false">L80+L79</f>
        <v>5487686.36238182</v>
      </c>
      <c r="M81" s="59" t="n">
        <f aca="false">M80+M79</f>
        <v>6139477.55567095</v>
      </c>
      <c r="N81" s="59" t="n">
        <f aca="false">N80+N79</f>
        <v>6834228.55136545</v>
      </c>
      <c r="O81" s="59" t="n">
        <f aca="false">O80+O79</f>
        <v>7570824.5917867</v>
      </c>
      <c r="P81" s="59" t="n">
        <f aca="false">P80+P79</f>
        <v>8349606.86280571</v>
      </c>
      <c r="Q81" s="59" t="n">
        <f aca="false">Q80+Q79</f>
        <v>9170780.97141245</v>
      </c>
      <c r="R81" s="59" t="n">
        <f aca="false">R80+R79</f>
        <v>10034428.1104706</v>
      </c>
      <c r="S81" s="59" t="n">
        <f aca="false">S80+S79</f>
        <v>10930011.6052304</v>
      </c>
      <c r="T81" s="59" t="n">
        <f aca="false">T80+T79</f>
        <v>11854501.2566377</v>
      </c>
      <c r="U81" s="59" t="n">
        <f aca="false">U80+U79</f>
        <v>12804423.4180046</v>
      </c>
      <c r="V81" s="59" t="n">
        <f aca="false">V80+V79</f>
        <v>13811312.0049324</v>
      </c>
      <c r="W81" s="59" t="n">
        <f aca="false">W80+W79</f>
        <v>14837411.4863328</v>
      </c>
      <c r="X81" s="59" t="n">
        <f aca="false">X80+X79</f>
        <v>15877884.5709254</v>
      </c>
      <c r="Y81" s="59" t="n">
        <f aca="false">Y80+Y79</f>
        <v>16927517.6498</v>
      </c>
      <c r="Z81" s="59" t="n">
        <f aca="false">Z80+Z79</f>
        <v>17980761.5094997</v>
      </c>
      <c r="AA81" s="59" t="n">
        <f aca="false">AA80+AA79</f>
        <v>19031779.0125713</v>
      </c>
      <c r="AB81" s="59" t="n">
        <f aca="false">AB80+AB79</f>
        <v>20074499.2829879</v>
      </c>
      <c r="AC81" s="59" t="n">
        <f aca="false">AC80+AC79</f>
        <v>21102677.778843</v>
      </c>
      <c r="AD81" s="59" t="n">
        <f aca="false">AD80+AD79</f>
        <v>22130613.5546734</v>
      </c>
      <c r="AE81" s="59" t="n">
        <f aca="false">AE80+AE79</f>
        <v>23153597.4289201</v>
      </c>
      <c r="AF81" s="59" t="n">
        <f aca="false">AF80+AF79</f>
        <v>24166845.2406634</v>
      </c>
    </row>
    <row r="82" customFormat="false" ht="15" hidden="false" customHeight="true" outlineLevel="0" collapsed="false">
      <c r="B82" s="56" t="s">
        <v>471</v>
      </c>
      <c r="C82" s="20" t="n">
        <f aca="false">C81/C6</f>
        <v>1761423.8</v>
      </c>
      <c r="D82" s="20" t="n">
        <f aca="false">D81/D6</f>
        <v>1944655.7873899</v>
      </c>
      <c r="E82" s="20" t="n">
        <f aca="false">E81/E6</f>
        <v>2114757.81020785</v>
      </c>
      <c r="F82" s="20" t="n">
        <f aca="false">F81/F6</f>
        <v>2357791.92701306</v>
      </c>
      <c r="G82" s="20" t="n">
        <f aca="false">G81/G6</f>
        <v>2623652.10414516</v>
      </c>
      <c r="H82" s="20" t="n">
        <f aca="false">H81/H6</f>
        <v>2916264.75801506</v>
      </c>
      <c r="I82" s="20" t="n">
        <f aca="false">I81/I6</f>
        <v>3255684.73712291</v>
      </c>
      <c r="J82" s="20" t="n">
        <f aca="false">J81/J6</f>
        <v>3610283.63376952</v>
      </c>
      <c r="K82" s="20" t="n">
        <f aca="false">K81/K6</f>
        <v>4005498.02246945</v>
      </c>
      <c r="L82" s="20" t="n">
        <f aca="false">L81/L6</f>
        <v>4416938.99760749</v>
      </c>
      <c r="M82" s="20" t="n">
        <f aca="false">M81/M6</f>
        <v>4844660.66743986</v>
      </c>
      <c r="N82" s="20" t="n">
        <f aca="false">N81/N6</f>
        <v>5287145.64398328</v>
      </c>
      <c r="O82" s="20" t="n">
        <f aca="false">O81/O6</f>
        <v>5742153.36771933</v>
      </c>
      <c r="P82" s="20" t="n">
        <f aca="false">P81/P6</f>
        <v>6208654.02247994</v>
      </c>
      <c r="Q82" s="20" t="n">
        <f aca="false">Q81/Q6</f>
        <v>6685556.77765609</v>
      </c>
      <c r="R82" s="20" t="n">
        <f aca="false">R81/R6</f>
        <v>7171726.42379009</v>
      </c>
      <c r="S82" s="20" t="n">
        <f aca="false">S81/S6</f>
        <v>7658637.95679021</v>
      </c>
      <c r="T82" s="20" t="n">
        <f aca="false">T81/T6</f>
        <v>8143554.96518973</v>
      </c>
      <c r="U82" s="20" t="n">
        <f aca="false">U81/U6</f>
        <v>8623639.64115196</v>
      </c>
      <c r="V82" s="20" t="n">
        <f aca="false">V81/V6</f>
        <v>9119380.52186134</v>
      </c>
      <c r="W82" s="20" t="n">
        <f aca="false">W81/W6</f>
        <v>9604800.99147423</v>
      </c>
      <c r="X82" s="20" t="n">
        <f aca="false">X81/X6</f>
        <v>10076801.3771858</v>
      </c>
      <c r="Y82" s="20" t="n">
        <f aca="false">Y81/Y6</f>
        <v>10532298.5567641</v>
      </c>
      <c r="Z82" s="20" t="n">
        <f aca="false">Z81/Z6</f>
        <v>10968261.4747814</v>
      </c>
      <c r="AA82" s="20" t="n">
        <f aca="false">AA81/AA6</f>
        <v>11381747.0329495</v>
      </c>
      <c r="AB82" s="20" t="n">
        <f aca="false">AB81/AB6</f>
        <v>11769935.7573257</v>
      </c>
      <c r="AC82" s="20" t="n">
        <f aca="false">AC81/AC6</f>
        <v>12130166.6310616</v>
      </c>
      <c r="AD82" s="20" t="n">
        <f aca="false">AD81/AD6</f>
        <v>12471608.8621533</v>
      </c>
      <c r="AE82" s="20" t="n">
        <f aca="false">AE81/AE6</f>
        <v>12792261.6428013</v>
      </c>
      <c r="AF82" s="20" t="n">
        <f aca="false">AF81/AF6</f>
        <v>13090271.2172532</v>
      </c>
    </row>
    <row r="83" customFormat="false" ht="15" hidden="false" customHeight="true" outlineLevel="0" collapsed="false">
      <c r="B83" s="56" t="s">
        <v>553</v>
      </c>
      <c r="C83" s="17" t="n">
        <f aca="false">Children!C$65</f>
        <v>34200</v>
      </c>
      <c r="D83" s="17" t="n">
        <f aca="false">Children!D$65</f>
        <v>54936</v>
      </c>
      <c r="E83" s="17" t="n">
        <f aca="false">Children!E$65</f>
        <v>86330.88</v>
      </c>
      <c r="F83" s="17" t="n">
        <f aca="false">Children!F$65</f>
        <v>120237.3504</v>
      </c>
      <c r="G83" s="17" t="n">
        <f aca="false">Children!G$65</f>
        <v>147856.338432</v>
      </c>
      <c r="H83" s="17" t="n">
        <f aca="false">Children!H$65</f>
        <v>177684.84550656</v>
      </c>
      <c r="I83" s="17" t="n">
        <f aca="false">Children!I$65</f>
        <v>200899.633147085</v>
      </c>
      <c r="J83" s="17" t="n">
        <f aca="false">Children!J$65</f>
        <v>225971.603798852</v>
      </c>
      <c r="K83" s="17" t="n">
        <f aca="false">Children!K$65</f>
        <v>244049.33210276</v>
      </c>
      <c r="L83" s="17" t="n">
        <f aca="false">Children!L$65</f>
        <v>263573.278670981</v>
      </c>
      <c r="M83" s="17" t="n">
        <f aca="false">Children!M$65</f>
        <v>284659.140964659</v>
      </c>
      <c r="N83" s="17" t="n">
        <f aca="false">Children!N$65</f>
        <v>307431.872241832</v>
      </c>
      <c r="O83" s="17" t="n">
        <f aca="false">Children!O$65</f>
        <v>332026.422021178</v>
      </c>
      <c r="P83" s="17" t="n">
        <f aca="false">Children!P$65</f>
        <v>324362.519340499</v>
      </c>
      <c r="Q83" s="17" t="n">
        <f aca="false">Children!Q$65</f>
        <v>315400.984116518</v>
      </c>
      <c r="R83" s="17" t="n">
        <f aca="false">Children!R$65</f>
        <v>305024.315339195</v>
      </c>
      <c r="S83" s="17" t="n">
        <f aca="false">Children!S$65</f>
        <v>250290.891205688</v>
      </c>
      <c r="T83" s="17" t="n">
        <f aca="false">Children!T$65</f>
        <v>233266.82159623</v>
      </c>
      <c r="U83" s="17" t="n">
        <f aca="false">Children!U$65</f>
        <v>214139.879599896</v>
      </c>
      <c r="V83" s="17" t="n">
        <f aca="false">Children!V$65</f>
        <v>147291.98291942</v>
      </c>
      <c r="W83" s="17" t="n">
        <f aca="false">Children!W$65</f>
        <v>119760.40700489</v>
      </c>
      <c r="X83" s="17" t="n">
        <f aca="false">Children!X$65</f>
        <v>89240.0063262371</v>
      </c>
      <c r="Y83" s="17" t="n">
        <f aca="false">Children!Y$65</f>
        <v>48163.1857276305</v>
      </c>
      <c r="Z83" s="17" t="n">
        <f aca="false">Children!Z$65</f>
        <v>52016.2405858409</v>
      </c>
      <c r="AA83" s="17" t="n">
        <f aca="false">Children!AA$65</f>
        <v>56177.5398327082</v>
      </c>
      <c r="AB83" s="17" t="n">
        <f aca="false">Children!AB$65</f>
        <v>60671.7430193248</v>
      </c>
      <c r="AC83" s="17" t="n">
        <f aca="false">Children!AC$65</f>
        <v>65525.4824608708</v>
      </c>
      <c r="AD83" s="17" t="n">
        <f aca="false">Children!AD$65</f>
        <v>70767.5210577405</v>
      </c>
      <c r="AE83" s="17" t="n">
        <f aca="false">Children!AE$65</f>
        <v>76428.9227423597</v>
      </c>
      <c r="AF83" s="17" t="n">
        <f aca="false">Children!AF$65</f>
        <v>82543.2365617485</v>
      </c>
    </row>
    <row r="84" customFormat="false" ht="15" hidden="false" customHeight="true" outlineLevel="0" collapsed="false">
      <c r="B84" s="16" t="s">
        <v>474</v>
      </c>
      <c r="C84" s="64" t="n">
        <f aca="false">C21/(C31+C35)</f>
        <v>0.68365690376569</v>
      </c>
      <c r="D84" s="64" t="n">
        <f aca="false">D21/(D31+D35)</f>
        <v>0.551376570583888</v>
      </c>
      <c r="E84" s="64" t="n">
        <f aca="false">E21/(E31+E35)</f>
        <v>0.509805806734821</v>
      </c>
      <c r="F84" s="64" t="n">
        <f aca="false">F21/(F31+F35)</f>
        <v>0.608275542863089</v>
      </c>
      <c r="G84" s="64" t="n">
        <f aca="false">G21/(G31+G35)</f>
        <v>0.641840520198105</v>
      </c>
      <c r="H84" s="64" t="n">
        <f aca="false">H21/(H31+H35)</f>
        <v>0.694181834313374</v>
      </c>
      <c r="I84" s="64" t="n">
        <f aca="false">I21/(I31+I35)</f>
        <v>0.886746266146606</v>
      </c>
      <c r="J84" s="64" t="n">
        <f aca="false">J21/(J31+J35)</f>
        <v>0.888000866883992</v>
      </c>
      <c r="K84" s="64" t="n">
        <f aca="false">K21/(K31+K35)</f>
        <v>1.16795784620845</v>
      </c>
      <c r="L84" s="64" t="n">
        <f aca="false">L21/(L31+L35)</f>
        <v>1.16795784620844</v>
      </c>
      <c r="M84" s="64" t="n">
        <f aca="false">M21/(M31+M35)</f>
        <v>1.16795784620844</v>
      </c>
      <c r="N84" s="64" t="n">
        <f aca="false">N21/(N31+N35)</f>
        <v>1.16795784620845</v>
      </c>
      <c r="O84" s="64" t="n">
        <f aca="false">O21/(O31+O35)</f>
        <v>1.16795784620844</v>
      </c>
      <c r="P84" s="64" t="n">
        <f aca="false">P21/(P31+P35)</f>
        <v>1.16795784620845</v>
      </c>
      <c r="Q84" s="64" t="n">
        <f aca="false">Q21/(Q31+Q35)</f>
        <v>1.16795784620844</v>
      </c>
      <c r="R84" s="64" t="n">
        <f aca="false">R21/(R31+R35)</f>
        <v>1.16795784620844</v>
      </c>
      <c r="S84" s="64" t="n">
        <f aca="false">S21/(S31+S35)</f>
        <v>1.16795784620845</v>
      </c>
      <c r="T84" s="64" t="n">
        <f aca="false">T21/(T31+T35)</f>
        <v>1.16795784620845</v>
      </c>
      <c r="U84" s="64" t="n">
        <f aca="false">U21/(U31+U35)</f>
        <v>1.16795784620844</v>
      </c>
      <c r="V84" s="64" t="n">
        <f aca="false">V21/(V31+V35)</f>
        <v>1.64244072123063</v>
      </c>
      <c r="W84" s="64" t="n">
        <f aca="false">W21/(W31+W35)</f>
        <v>1.64244072123063</v>
      </c>
      <c r="X84" s="64" t="n">
        <f aca="false">X21/(X31+X35)</f>
        <v>1.64244072123063</v>
      </c>
      <c r="Y84" s="64" t="n">
        <f aca="false">Y21/(Y31+Y35)</f>
        <v>1.64244072123063</v>
      </c>
      <c r="Z84" s="64" t="n">
        <f aca="false">Z21/(Z31+Z35)</f>
        <v>1.64244072123063</v>
      </c>
      <c r="AA84" s="64" t="n">
        <f aca="false">AA21/(AA31+AA35)</f>
        <v>1.64244072123063</v>
      </c>
      <c r="AB84" s="64" t="n">
        <f aca="false">AB21/(AB31+AB35)</f>
        <v>1.64244072123063</v>
      </c>
      <c r="AC84" s="64" t="n">
        <f aca="false">AC21/(AC31+AC35)</f>
        <v>1.64244072123063</v>
      </c>
      <c r="AD84" s="64" t="n">
        <f aca="false">AD21/(AD31+AD35)</f>
        <v>1.64244072123063</v>
      </c>
      <c r="AE84" s="64" t="n">
        <f aca="false">AE21/(AE31+AE35)</f>
        <v>1.64244072123063</v>
      </c>
      <c r="AF84" s="64" t="n">
        <f aca="false">AF21/(AF31+AF35)</f>
        <v>1.64244072123063</v>
      </c>
    </row>
    <row r="85" customFormat="false" ht="15" hidden="false" customHeight="true" outlineLevel="0" collapsed="false">
      <c r="B85" s="16" t="s">
        <v>478</v>
      </c>
      <c r="C85" s="63" t="n">
        <f aca="false">IF(C59&lt;0,1,0)</f>
        <v>0</v>
      </c>
      <c r="D85" s="63" t="n">
        <f aca="false">IF(D59&lt;0,1,0)</f>
        <v>0</v>
      </c>
      <c r="E85" s="63" t="n">
        <f aca="false">IF(E59&lt;0,1,0)</f>
        <v>0</v>
      </c>
      <c r="F85" s="63" t="n">
        <f aca="false">IF(F59&lt;0,1,0)</f>
        <v>0</v>
      </c>
      <c r="G85" s="63" t="n">
        <f aca="false">IF(G59&lt;0,1,0)</f>
        <v>0</v>
      </c>
      <c r="H85" s="63" t="n">
        <f aca="false">IF(H59&lt;0,1,0)</f>
        <v>0</v>
      </c>
      <c r="I85" s="63" t="n">
        <f aca="false">IF(I59&lt;0,1,0)</f>
        <v>0</v>
      </c>
      <c r="J85" s="63" t="n">
        <f aca="false">IF(J59&lt;0,1,0)</f>
        <v>0</v>
      </c>
      <c r="K85" s="63" t="n">
        <f aca="false">IF(K59&lt;0,1,0)</f>
        <v>0</v>
      </c>
      <c r="L85" s="63" t="n">
        <f aca="false">IF(L59&lt;0,1,0)</f>
        <v>0</v>
      </c>
      <c r="M85" s="63" t="n">
        <f aca="false">IF(M59&lt;0,1,0)</f>
        <v>0</v>
      </c>
      <c r="N85" s="63" t="n">
        <f aca="false">IF(N59&lt;0,1,0)</f>
        <v>0</v>
      </c>
      <c r="O85" s="63" t="n">
        <f aca="false">IF(O59&lt;0,1,0)</f>
        <v>0</v>
      </c>
      <c r="P85" s="63" t="n">
        <f aca="false">IF(P59&lt;0,1,0)</f>
        <v>0</v>
      </c>
      <c r="Q85" s="63" t="n">
        <f aca="false">IF(Q59&lt;0,1,0)</f>
        <v>0</v>
      </c>
      <c r="R85" s="63" t="n">
        <f aca="false">IF(R59&lt;0,1,0)</f>
        <v>0</v>
      </c>
      <c r="S85" s="63" t="n">
        <f aca="false">IF(S59&lt;0,1,0)</f>
        <v>0</v>
      </c>
      <c r="T85" s="63" t="n">
        <f aca="false">IF(T59&lt;0,1,0)</f>
        <v>0</v>
      </c>
      <c r="U85" s="63" t="n">
        <f aca="false">IF(U59&lt;0,1,0)</f>
        <v>0</v>
      </c>
      <c r="V85" s="63" t="n">
        <f aca="false">IF(V59&lt;0,1,0)</f>
        <v>0</v>
      </c>
      <c r="W85" s="63" t="n">
        <f aca="false">IF(W59&lt;0,1,0)</f>
        <v>0</v>
      </c>
      <c r="X85" s="63" t="n">
        <f aca="false">IF(X59&lt;0,1,0)</f>
        <v>0</v>
      </c>
      <c r="Y85" s="63" t="n">
        <f aca="false">IF(Y59&lt;0,1,0)</f>
        <v>0</v>
      </c>
      <c r="Z85" s="63" t="n">
        <f aca="false">IF(Z59&lt;0,1,0)</f>
        <v>0</v>
      </c>
      <c r="AA85" s="63" t="n">
        <f aca="false">IF(AA59&lt;0,1,0)</f>
        <v>0</v>
      </c>
      <c r="AB85" s="63" t="n">
        <f aca="false">IF(AB59&lt;0,1,0)</f>
        <v>0</v>
      </c>
      <c r="AC85" s="63" t="n">
        <f aca="false">IF(AC59&lt;0,1,0)</f>
        <v>0</v>
      </c>
      <c r="AD85" s="63" t="n">
        <f aca="false">IF(AD59&lt;0,1,0)</f>
        <v>0</v>
      </c>
      <c r="AE85" s="63" t="n">
        <f aca="false">IF(AE59&lt;0,1,0)</f>
        <v>0</v>
      </c>
      <c r="AF85" s="63" t="n">
        <f aca="false">IF(AF59&lt;0,1,0)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14" min="3" style="1" width="15"/>
    <col collapsed="false" customWidth="true" hidden="false" outlineLevel="0" max="32" min="15" style="1" width="13"/>
  </cols>
  <sheetData>
    <row r="1" customFormat="false" ht="17.25" hidden="false" customHeight="true" outlineLevel="0" collapsed="false">
      <c r="A1" s="28" t="s">
        <v>554</v>
      </c>
    </row>
    <row r="2" customFormat="false" ht="15" hidden="false" customHeight="true" outlineLevel="0" collapsed="false">
      <c r="A2" s="29" t="s">
        <v>555</v>
      </c>
    </row>
    <row r="4" customFormat="false" ht="15" hidden="false" customHeight="true" outlineLevel="0" collapsed="false">
      <c r="A4" s="30" t="s">
        <v>481</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row>
    <row r="5" customFormat="false" ht="15" hidden="false" customHeight="true" outlineLevel="0" collapsed="false">
      <c r="B5" s="16" t="s">
        <v>101</v>
      </c>
      <c r="C5" s="31" t="n">
        <v>2026</v>
      </c>
      <c r="D5" s="31" t="n">
        <v>2027</v>
      </c>
      <c r="E5" s="31" t="n">
        <v>2028</v>
      </c>
      <c r="F5" s="31" t="n">
        <v>2029</v>
      </c>
      <c r="G5" s="31" t="n">
        <v>2030</v>
      </c>
      <c r="H5" s="31" t="n">
        <v>2031</v>
      </c>
      <c r="I5" s="31" t="n">
        <v>2032</v>
      </c>
      <c r="J5" s="31" t="n">
        <v>2033</v>
      </c>
      <c r="K5" s="31" t="n">
        <v>2034</v>
      </c>
      <c r="L5" s="31" t="n">
        <v>2035</v>
      </c>
      <c r="M5" s="31" t="n">
        <v>2036</v>
      </c>
      <c r="N5" s="31" t="n">
        <v>2037</v>
      </c>
      <c r="O5" s="31" t="n">
        <v>2038</v>
      </c>
      <c r="P5" s="31" t="n">
        <v>2039</v>
      </c>
      <c r="Q5" s="31" t="n">
        <v>2040</v>
      </c>
      <c r="R5" s="31" t="n">
        <v>2041</v>
      </c>
      <c r="S5" s="31" t="n">
        <v>2042</v>
      </c>
      <c r="T5" s="31" t="n">
        <v>2043</v>
      </c>
      <c r="U5" s="31" t="n">
        <v>2044</v>
      </c>
      <c r="V5" s="31" t="n">
        <v>2045</v>
      </c>
      <c r="W5" s="31" t="n">
        <v>2046</v>
      </c>
      <c r="X5" s="31" t="n">
        <v>2047</v>
      </c>
      <c r="Y5" s="31" t="n">
        <v>2048</v>
      </c>
      <c r="Z5" s="31" t="n">
        <v>2049</v>
      </c>
      <c r="AA5" s="31" t="n">
        <v>2050</v>
      </c>
      <c r="AB5" s="31" t="n">
        <v>2051</v>
      </c>
      <c r="AC5" s="31" t="n">
        <v>2052</v>
      </c>
      <c r="AD5" s="31" t="n">
        <v>2053</v>
      </c>
      <c r="AE5" s="31" t="n">
        <v>2054</v>
      </c>
      <c r="AF5" s="31" t="n">
        <v>2055</v>
      </c>
    </row>
    <row r="6" customFormat="false" ht="15" hidden="false" customHeight="true" outlineLevel="0" collapsed="false">
      <c r="B6" s="6" t="s">
        <v>482</v>
      </c>
      <c r="C6" s="17" t="n">
        <f aca="false">Scen_3rd_Child!C$21</f>
        <v>98036.4</v>
      </c>
      <c r="D6" s="17" t="n">
        <f aca="false">Scen_3rd_Child!D$21</f>
        <v>83553.4</v>
      </c>
      <c r="E6" s="17" t="n">
        <f aca="false">Scen_3rd_Child!E$21</f>
        <v>86219.5</v>
      </c>
      <c r="F6" s="17" t="n">
        <f aca="false">Scen_3rd_Child!F$21</f>
        <v>104601.912</v>
      </c>
      <c r="G6" s="17" t="n">
        <f aca="false">Scen_3rd_Child!G$21</f>
        <v>106458.22224</v>
      </c>
      <c r="H6" s="17" t="n">
        <f aca="false">Scen_3rd_Child!H$21</f>
        <v>108587.3866848</v>
      </c>
      <c r="I6" s="17" t="n">
        <f aca="false">Scen_3rd_Child!I$21</f>
        <v>110759.134418496</v>
      </c>
      <c r="J6" s="17" t="n">
        <f aca="false">Scen_3rd_Child!J$21</f>
        <v>112974.317106866</v>
      </c>
      <c r="K6" s="17" t="n">
        <f aca="false">Scen_3rd_Child!K$21</f>
        <v>115233.803449003</v>
      </c>
      <c r="L6" s="17" t="n">
        <f aca="false">Scen_3rd_Child!L$21</f>
        <v>117538.479517983</v>
      </c>
      <c r="M6" s="17" t="n">
        <f aca="false">Scen_3rd_Child!M$21</f>
        <v>119889.249108343</v>
      </c>
      <c r="N6" s="17" t="n">
        <f aca="false">Scen_3rd_Child!N$21</f>
        <v>122287.03409051</v>
      </c>
      <c r="O6" s="17" t="n">
        <f aca="false">Scen_3rd_Child!O$21</f>
        <v>124732.77477232</v>
      </c>
      <c r="P6" s="17" t="n">
        <f aca="false">Scen_3rd_Child!P$21</f>
        <v>127227.430267766</v>
      </c>
      <c r="Q6" s="17" t="n">
        <f aca="false">Scen_3rd_Child!Q$21</f>
        <v>129771.978873122</v>
      </c>
      <c r="R6" s="17" t="n">
        <f aca="false">Scen_3rd_Child!R$21</f>
        <v>132367.418450584</v>
      </c>
      <c r="S6" s="17" t="n">
        <f aca="false">Scen_3rd_Child!S$21</f>
        <v>135014.766819596</v>
      </c>
      <c r="T6" s="17" t="n">
        <f aca="false">Scen_3rd_Child!T$21</f>
        <v>137715.062155988</v>
      </c>
      <c r="U6" s="17" t="n">
        <f aca="false">Scen_3rd_Child!U$21</f>
        <v>140469.363399108</v>
      </c>
      <c r="V6" s="17" t="n">
        <f aca="false">Scen_3rd_Child!V$21</f>
        <v>143278.75066709</v>
      </c>
      <c r="W6" s="17" t="n">
        <f aca="false">Scen_3rd_Child!W$21</f>
        <v>146144.325680432</v>
      </c>
      <c r="X6" s="17" t="n">
        <f aca="false">Scen_3rd_Child!X$21</f>
        <v>149067.21219404</v>
      </c>
      <c r="Y6" s="17" t="n">
        <f aca="false">Scen_3rd_Child!Y$21</f>
        <v>152048.556437921</v>
      </c>
      <c r="Z6" s="17" t="n">
        <f aca="false">Scen_3rd_Child!Z$21</f>
        <v>155089.527566679</v>
      </c>
      <c r="AA6" s="17" t="n">
        <f aca="false">Scen_3rd_Child!AA$21</f>
        <v>158191.318118013</v>
      </c>
      <c r="AB6" s="17" t="n">
        <f aca="false">Scen_3rd_Child!AB$21</f>
        <v>161355.144480373</v>
      </c>
      <c r="AC6" s="17" t="n">
        <f aca="false">Scen_3rd_Child!AC$21</f>
        <v>164582.247369981</v>
      </c>
      <c r="AD6" s="17" t="n">
        <f aca="false">Scen_3rd_Child!AD$21</f>
        <v>167873.89231738</v>
      </c>
      <c r="AE6" s="17" t="n">
        <f aca="false">Scen_3rd_Child!AE$21</f>
        <v>171231.370163728</v>
      </c>
      <c r="AF6" s="17" t="n">
        <f aca="false">Scen_3rd_Child!AF$21</f>
        <v>174655.997567003</v>
      </c>
    </row>
    <row r="7" customFormat="false" ht="15" hidden="false" customHeight="true" outlineLevel="0" collapsed="false">
      <c r="B7" s="6" t="s">
        <v>483</v>
      </c>
      <c r="C7" s="17" t="n">
        <f aca="false">Scen_3rd_Child!C$31+Scen_3rd_Child!C$35</f>
        <v>143400</v>
      </c>
      <c r="D7" s="17" t="n">
        <f aca="false">Scen_3rd_Child!D$31+Scen_3rd_Child!D$35</f>
        <v>151536</v>
      </c>
      <c r="E7" s="17" t="n">
        <f aca="false">Scen_3rd_Child!E$31+Scen_3rd_Child!E$35</f>
        <v>169122.24</v>
      </c>
      <c r="F7" s="17" t="n">
        <f aca="false">Scen_3rd_Child!F$31+Scen_3rd_Child!F$35</f>
        <v>171964.6848</v>
      </c>
      <c r="G7" s="17" t="n">
        <f aca="false">Scen_3rd_Child!G$31+Scen_3rd_Child!G$35</f>
        <v>165863.978496</v>
      </c>
      <c r="H7" s="17" t="n">
        <f aca="false">Scen_3rd_Child!H$31+Scen_3rd_Child!H$35</f>
        <v>156424.99027968</v>
      </c>
      <c r="I7" s="17" t="n">
        <f aca="false">Scen_3rd_Child!I$31+Scen_3rd_Child!I$35</f>
        <v>124905.103801344</v>
      </c>
      <c r="J7" s="17" t="n">
        <f aca="false">Scen_3rd_Child!J$31+Scen_3rd_Child!J$35</f>
        <v>127223.205877371</v>
      </c>
      <c r="K7" s="17" t="n">
        <f aca="false">Scen_3rd_Child!K$31+Scen_3rd_Child!K$35</f>
        <v>98662.6390867514</v>
      </c>
      <c r="L7" s="17" t="n">
        <f aca="false">Scen_3rd_Child!L$31+Scen_3rd_Child!L$35</f>
        <v>100635.891868486</v>
      </c>
      <c r="M7" s="17" t="n">
        <f aca="false">Scen_3rd_Child!M$31+Scen_3rd_Child!M$35</f>
        <v>102648.609705856</v>
      </c>
      <c r="N7" s="17" t="n">
        <f aca="false">Scen_3rd_Child!N$31+Scen_3rd_Child!N$35</f>
        <v>104701.581899973</v>
      </c>
      <c r="O7" s="17" t="n">
        <f aca="false">Scen_3rd_Child!O$31+Scen_3rd_Child!O$35</f>
        <v>106795.613537973</v>
      </c>
      <c r="P7" s="17" t="n">
        <f aca="false">Scen_3rd_Child!P$31+Scen_3rd_Child!P$35</f>
        <v>108931.525808732</v>
      </c>
      <c r="Q7" s="17" t="n">
        <f aca="false">Scen_3rd_Child!Q$31+Scen_3rd_Child!Q$35</f>
        <v>111110.156324907</v>
      </c>
      <c r="R7" s="17" t="n">
        <f aca="false">Scen_3rd_Child!R$31+Scen_3rd_Child!R$35</f>
        <v>113332.359451405</v>
      </c>
      <c r="S7" s="17" t="n">
        <f aca="false">Scen_3rd_Child!S$31+Scen_3rd_Child!S$35</f>
        <v>115599.006640433</v>
      </c>
      <c r="T7" s="17" t="n">
        <f aca="false">Scen_3rd_Child!T$31+Scen_3rd_Child!T$35</f>
        <v>117910.986773242</v>
      </c>
      <c r="U7" s="17" t="n">
        <f aca="false">Scen_3rd_Child!U$31+Scen_3rd_Child!U$35</f>
        <v>120269.206508707</v>
      </c>
      <c r="V7" s="17" t="n">
        <f aca="false">Scen_3rd_Child!V$31+Scen_3rd_Child!V$35</f>
        <v>87235.2644543151</v>
      </c>
      <c r="W7" s="17" t="n">
        <f aca="false">Scen_3rd_Child!W$31+Scen_3rd_Child!W$35</f>
        <v>88979.9697434015</v>
      </c>
      <c r="X7" s="17" t="n">
        <f aca="false">Scen_3rd_Child!X$31+Scen_3rd_Child!X$35</f>
        <v>90759.5691382695</v>
      </c>
      <c r="Y7" s="17" t="n">
        <f aca="false">Scen_3rd_Child!Y$31+Scen_3rd_Child!Y$35</f>
        <v>92574.7605210349</v>
      </c>
      <c r="Z7" s="17" t="n">
        <f aca="false">Scen_3rd_Child!Z$31+Scen_3rd_Child!Z$35</f>
        <v>94426.2557314556</v>
      </c>
      <c r="AA7" s="17" t="n">
        <f aca="false">Scen_3rd_Child!AA$31+Scen_3rd_Child!AA$35</f>
        <v>96314.7808460847</v>
      </c>
      <c r="AB7" s="17" t="n">
        <f aca="false">Scen_3rd_Child!AB$31+Scen_3rd_Child!AB$35</f>
        <v>98241.0764630064</v>
      </c>
      <c r="AC7" s="17" t="n">
        <f aca="false">Scen_3rd_Child!AC$31+Scen_3rd_Child!AC$35</f>
        <v>100205.897992267</v>
      </c>
      <c r="AD7" s="17" t="n">
        <f aca="false">Scen_3rd_Child!AD$31+Scen_3rd_Child!AD$35</f>
        <v>102210.015952112</v>
      </c>
      <c r="AE7" s="17" t="n">
        <f aca="false">Scen_3rd_Child!AE$31+Scen_3rd_Child!AE$35</f>
        <v>104254.216271154</v>
      </c>
      <c r="AF7" s="17" t="n">
        <f aca="false">Scen_3rd_Child!AF$31+Scen_3rd_Child!AF$35</f>
        <v>106339.300596577</v>
      </c>
    </row>
    <row r="8" customFormat="false" ht="15" hidden="false" customHeight="true" outlineLevel="0" collapsed="false">
      <c r="B8" s="16" t="s">
        <v>484</v>
      </c>
      <c r="C8" s="64" t="n">
        <f aca="false">C6/C7</f>
        <v>0.68365690376569</v>
      </c>
      <c r="D8" s="64" t="n">
        <f aca="false">D6/D7</f>
        <v>0.551376570583888</v>
      </c>
      <c r="E8" s="64" t="n">
        <f aca="false">E6/E7</f>
        <v>0.509805806734821</v>
      </c>
      <c r="F8" s="64" t="n">
        <f aca="false">F6/F7</f>
        <v>0.608275542863089</v>
      </c>
      <c r="G8" s="64" t="n">
        <f aca="false">G6/G7</f>
        <v>0.641840520198105</v>
      </c>
      <c r="H8" s="64" t="n">
        <f aca="false">H6/H7</f>
        <v>0.694181834313374</v>
      </c>
      <c r="I8" s="64" t="n">
        <f aca="false">I6/I7</f>
        <v>0.886746266146606</v>
      </c>
      <c r="J8" s="64" t="n">
        <f aca="false">J6/J7</f>
        <v>0.888000866883992</v>
      </c>
      <c r="K8" s="64" t="n">
        <f aca="false">K6/K7</f>
        <v>1.16795784620845</v>
      </c>
      <c r="L8" s="64" t="n">
        <f aca="false">L6/L7</f>
        <v>1.16795784620844</v>
      </c>
      <c r="M8" s="64" t="n">
        <f aca="false">M6/M7</f>
        <v>1.16795784620844</v>
      </c>
      <c r="N8" s="64" t="n">
        <f aca="false">N6/N7</f>
        <v>1.16795784620845</v>
      </c>
      <c r="O8" s="64" t="n">
        <f aca="false">O6/O7</f>
        <v>1.16795784620844</v>
      </c>
      <c r="P8" s="64" t="n">
        <f aca="false">P6/P7</f>
        <v>1.16795784620845</v>
      </c>
      <c r="Q8" s="64" t="n">
        <f aca="false">Q6/Q7</f>
        <v>1.16795784620844</v>
      </c>
      <c r="R8" s="64" t="n">
        <f aca="false">R6/R7</f>
        <v>1.16795784620844</v>
      </c>
      <c r="S8" s="64" t="n">
        <f aca="false">S6/S7</f>
        <v>1.16795784620845</v>
      </c>
      <c r="T8" s="64" t="n">
        <f aca="false">T6/T7</f>
        <v>1.16795784620845</v>
      </c>
      <c r="U8" s="64" t="n">
        <f aca="false">U6/U7</f>
        <v>1.16795784620844</v>
      </c>
      <c r="V8" s="64" t="n">
        <f aca="false">V6/V7</f>
        <v>1.64244072123063</v>
      </c>
      <c r="W8" s="64" t="n">
        <f aca="false">W6/W7</f>
        <v>1.64244072123063</v>
      </c>
      <c r="X8" s="64" t="n">
        <f aca="false">X6/X7</f>
        <v>1.64244072123063</v>
      </c>
      <c r="Y8" s="64" t="n">
        <f aca="false">Y6/Y7</f>
        <v>1.64244072123063</v>
      </c>
      <c r="Z8" s="64" t="n">
        <f aca="false">Z6/Z7</f>
        <v>1.64244072123063</v>
      </c>
      <c r="AA8" s="64" t="n">
        <f aca="false">AA6/AA7</f>
        <v>1.64244072123063</v>
      </c>
      <c r="AB8" s="64" t="n">
        <f aca="false">AB6/AB7</f>
        <v>1.64244072123063</v>
      </c>
      <c r="AC8" s="64" t="n">
        <f aca="false">AC6/AC7</f>
        <v>1.64244072123063</v>
      </c>
      <c r="AD8" s="64" t="n">
        <f aca="false">AD6/AD7</f>
        <v>1.64244072123063</v>
      </c>
      <c r="AE8" s="64" t="n">
        <f aca="false">AE6/AE7</f>
        <v>1.64244072123063</v>
      </c>
      <c r="AF8" s="64" t="n">
        <f aca="false">AF6/AF7</f>
        <v>1.64244072123063</v>
      </c>
    </row>
    <row r="9" customFormat="false" ht="15" hidden="false" customHeight="true" outlineLevel="0" collapsed="false">
      <c r="B9" s="16" t="s">
        <v>485</v>
      </c>
      <c r="C9" s="66" t="n">
        <f aca="false">IF(MIN(C8:$AF$8)&gt;=1,1,0)</f>
        <v>0</v>
      </c>
      <c r="D9" s="66" t="n">
        <f aca="false">IF(MIN(D8:$AF$8)&gt;=1,1,0)</f>
        <v>0</v>
      </c>
      <c r="E9" s="66" t="n">
        <f aca="false">IF(MIN(E8:$AF$8)&gt;=1,1,0)</f>
        <v>0</v>
      </c>
      <c r="F9" s="66" t="n">
        <f aca="false">IF(MIN(F8:$AF$8)&gt;=1,1,0)</f>
        <v>0</v>
      </c>
      <c r="G9" s="66" t="n">
        <f aca="false">IF(MIN(G8:$AF$8)&gt;=1,1,0)</f>
        <v>0</v>
      </c>
      <c r="H9" s="66" t="n">
        <f aca="false">IF(MIN(H8:$AF$8)&gt;=1,1,0)</f>
        <v>0</v>
      </c>
      <c r="I9" s="66" t="n">
        <f aca="false">IF(MIN(I8:$AF$8)&gt;=1,1,0)</f>
        <v>0</v>
      </c>
      <c r="J9" s="66" t="n">
        <f aca="false">IF(MIN(J8:$AF$8)&gt;=1,1,0)</f>
        <v>0</v>
      </c>
      <c r="K9" s="66" t="n">
        <f aca="false">IF(MIN(K8:$AF$8)&gt;=1,1,0)</f>
        <v>1</v>
      </c>
      <c r="L9" s="66" t="n">
        <f aca="false">IF(MIN(L8:$AF$8)&gt;=1,1,0)</f>
        <v>1</v>
      </c>
      <c r="M9" s="66" t="n">
        <f aca="false">IF(MIN(M8:$AF$8)&gt;=1,1,0)</f>
        <v>1</v>
      </c>
      <c r="N9" s="66" t="n">
        <f aca="false">IF(MIN(N8:$AF$8)&gt;=1,1,0)</f>
        <v>1</v>
      </c>
      <c r="O9" s="66" t="n">
        <f aca="false">IF(MIN(O8:$AF$8)&gt;=1,1,0)</f>
        <v>1</v>
      </c>
      <c r="P9" s="66" t="n">
        <f aca="false">IF(MIN(P8:$AF$8)&gt;=1,1,0)</f>
        <v>1</v>
      </c>
      <c r="Q9" s="66" t="n">
        <f aca="false">IF(MIN(Q8:$AF$8)&gt;=1,1,0)</f>
        <v>1</v>
      </c>
      <c r="R9" s="66" t="n">
        <f aca="false">IF(MIN(R8:$AF$8)&gt;=1,1,0)</f>
        <v>1</v>
      </c>
      <c r="S9" s="66" t="n">
        <f aca="false">IF(MIN(S8:$AF$8)&gt;=1,1,0)</f>
        <v>1</v>
      </c>
      <c r="T9" s="66" t="n">
        <f aca="false">IF(MIN(T8:$AF$8)&gt;=1,1,0)</f>
        <v>1</v>
      </c>
      <c r="U9" s="66" t="n">
        <f aca="false">IF(MIN(U8:$AF$8)&gt;=1,1,0)</f>
        <v>1</v>
      </c>
      <c r="V9" s="66" t="n">
        <f aca="false">IF(MIN(V8:$AF$8)&gt;=1,1,0)</f>
        <v>1</v>
      </c>
      <c r="W9" s="66" t="n">
        <f aca="false">IF(MIN(W8:$AF$8)&gt;=1,1,0)</f>
        <v>1</v>
      </c>
      <c r="X9" s="66" t="n">
        <f aca="false">IF(MIN(X8:$AF$8)&gt;=1,1,0)</f>
        <v>1</v>
      </c>
      <c r="Y9" s="66" t="n">
        <f aca="false">IF(MIN(Y8:$AF$8)&gt;=1,1,0)</f>
        <v>1</v>
      </c>
      <c r="Z9" s="66" t="n">
        <f aca="false">IF(MIN(Z8:$AF$8)&gt;=1,1,0)</f>
        <v>1</v>
      </c>
      <c r="AA9" s="66" t="n">
        <f aca="false">IF(MIN(AA8:$AF$8)&gt;=1,1,0)</f>
        <v>1</v>
      </c>
      <c r="AB9" s="66" t="n">
        <f aca="false">IF(MIN(AB8:$AF$8)&gt;=1,1,0)</f>
        <v>1</v>
      </c>
      <c r="AC9" s="66" t="n">
        <f aca="false">IF(MIN(AC8:$AF$8)&gt;=1,1,0)</f>
        <v>1</v>
      </c>
      <c r="AD9" s="66" t="n">
        <f aca="false">IF(MIN(AD8:$AF$8)&gt;=1,1,0)</f>
        <v>1</v>
      </c>
      <c r="AE9" s="66" t="n">
        <f aca="false">IF(MIN(AE8:$AF$8)&gt;=1,1,0)</f>
        <v>1</v>
      </c>
      <c r="AF9" s="66" t="n">
        <f aca="false">IF(MIN(AF8:$AF$8)&gt;=1,1,0)</f>
        <v>1</v>
      </c>
    </row>
    <row r="10" customFormat="false" ht="15" hidden="false" customHeight="true" outlineLevel="0" collapsed="false">
      <c r="B10" s="16" t="s">
        <v>486</v>
      </c>
      <c r="C10" s="66" t="n">
        <f aca="false">IF(MIN(C8:$AF$8)&gt;=Assumptions!$C$115,1,0)</f>
        <v>0</v>
      </c>
      <c r="D10" s="66" t="n">
        <f aca="false">IF(MIN(D8:$AF$8)&gt;=Assumptions!$C$115,1,0)</f>
        <v>0</v>
      </c>
      <c r="E10" s="66" t="n">
        <f aca="false">IF(MIN(E8:$AF$8)&gt;=Assumptions!$C$115,1,0)</f>
        <v>0</v>
      </c>
      <c r="F10" s="66" t="n">
        <f aca="false">IF(MIN(F8:$AF$8)&gt;=Assumptions!$C$115,1,0)</f>
        <v>0</v>
      </c>
      <c r="G10" s="66" t="n">
        <f aca="false">IF(MIN(G8:$AF$8)&gt;=Assumptions!$C$115,1,0)</f>
        <v>0</v>
      </c>
      <c r="H10" s="66" t="n">
        <f aca="false">IF(MIN(H8:$AF$8)&gt;=Assumptions!$C$115,1,0)</f>
        <v>0</v>
      </c>
      <c r="I10" s="66" t="n">
        <f aca="false">IF(MIN(I8:$AF$8)&gt;=Assumptions!$C$115,1,0)</f>
        <v>0</v>
      </c>
      <c r="J10" s="66" t="n">
        <f aca="false">IF(MIN(J8:$AF$8)&gt;=Assumptions!$C$115,1,0)</f>
        <v>0</v>
      </c>
      <c r="K10" s="66" t="n">
        <f aca="false">IF(MIN(K8:$AF$8)&gt;=Assumptions!$C$115,1,0)</f>
        <v>0</v>
      </c>
      <c r="L10" s="66" t="n">
        <f aca="false">IF(MIN(L8:$AF$8)&gt;=Assumptions!$C$115,1,0)</f>
        <v>0</v>
      </c>
      <c r="M10" s="66" t="n">
        <f aca="false">IF(MIN(M8:$AF$8)&gt;=Assumptions!$C$115,1,0)</f>
        <v>0</v>
      </c>
      <c r="N10" s="66" t="n">
        <f aca="false">IF(MIN(N8:$AF$8)&gt;=Assumptions!$C$115,1,0)</f>
        <v>0</v>
      </c>
      <c r="O10" s="66" t="n">
        <f aca="false">IF(MIN(O8:$AF$8)&gt;=Assumptions!$C$115,1,0)</f>
        <v>0</v>
      </c>
      <c r="P10" s="66" t="n">
        <f aca="false">IF(MIN(P8:$AF$8)&gt;=Assumptions!$C$115,1,0)</f>
        <v>0</v>
      </c>
      <c r="Q10" s="66" t="n">
        <f aca="false">IF(MIN(Q8:$AF$8)&gt;=Assumptions!$C$115,1,0)</f>
        <v>0</v>
      </c>
      <c r="R10" s="66" t="n">
        <f aca="false">IF(MIN(R8:$AF$8)&gt;=Assumptions!$C$115,1,0)</f>
        <v>0</v>
      </c>
      <c r="S10" s="66" t="n">
        <f aca="false">IF(MIN(S8:$AF$8)&gt;=Assumptions!$C$115,1,0)</f>
        <v>0</v>
      </c>
      <c r="T10" s="66" t="n">
        <f aca="false">IF(MIN(T8:$AF$8)&gt;=Assumptions!$C$115,1,0)</f>
        <v>0</v>
      </c>
      <c r="U10" s="66" t="n">
        <f aca="false">IF(MIN(U8:$AF$8)&gt;=Assumptions!$C$115,1,0)</f>
        <v>0</v>
      </c>
      <c r="V10" s="66" t="n">
        <f aca="false">IF(MIN(V8:$AF$8)&gt;=Assumptions!$C$115,1,0)</f>
        <v>1</v>
      </c>
      <c r="W10" s="66" t="n">
        <f aca="false">IF(MIN(W8:$AF$8)&gt;=Assumptions!$C$115,1,0)</f>
        <v>1</v>
      </c>
      <c r="X10" s="66" t="n">
        <f aca="false">IF(MIN(X8:$AF$8)&gt;=Assumptions!$C$115,1,0)</f>
        <v>1</v>
      </c>
      <c r="Y10" s="66" t="n">
        <f aca="false">IF(MIN(Y8:$AF$8)&gt;=Assumptions!$C$115,1,0)</f>
        <v>1</v>
      </c>
      <c r="Z10" s="66" t="n">
        <f aca="false">IF(MIN(Z8:$AF$8)&gt;=Assumptions!$C$115,1,0)</f>
        <v>1</v>
      </c>
      <c r="AA10" s="66" t="n">
        <f aca="false">IF(MIN(AA8:$AF$8)&gt;=Assumptions!$C$115,1,0)</f>
        <v>1</v>
      </c>
      <c r="AB10" s="66" t="n">
        <f aca="false">IF(MIN(AB8:$AF$8)&gt;=Assumptions!$C$115,1,0)</f>
        <v>1</v>
      </c>
      <c r="AC10" s="66" t="n">
        <f aca="false">IF(MIN(AC8:$AF$8)&gt;=Assumptions!$C$115,1,0)</f>
        <v>1</v>
      </c>
      <c r="AD10" s="66" t="n">
        <f aca="false">IF(MIN(AD8:$AF$8)&gt;=Assumptions!$C$115,1,0)</f>
        <v>1</v>
      </c>
      <c r="AE10" s="66" t="n">
        <f aca="false">IF(MIN(AE8:$AF$8)&gt;=Assumptions!$C$115,1,0)</f>
        <v>1</v>
      </c>
      <c r="AF10" s="66" t="n">
        <f aca="false">IF(MIN(AF8:$AF$8)&gt;=Assumptions!$C$115,1,0)</f>
        <v>1</v>
      </c>
    </row>
    <row r="12" customFormat="false" ht="15" hidden="false" customHeight="true" outlineLevel="0" collapsed="false">
      <c r="A12" s="30" t="s">
        <v>487</v>
      </c>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row>
    <row r="13" customFormat="false" ht="15" hidden="false" customHeight="true" outlineLevel="0" collapsed="false">
      <c r="B13" s="6" t="s">
        <v>488</v>
      </c>
      <c r="C13" s="20" t="n">
        <f aca="false">C6-C7</f>
        <v>-45363.6</v>
      </c>
      <c r="D13" s="20" t="n">
        <f aca="false">D6-D7</f>
        <v>-67982.6</v>
      </c>
      <c r="E13" s="20" t="n">
        <f aca="false">E6-E7</f>
        <v>-82902.74</v>
      </c>
      <c r="F13" s="20" t="n">
        <f aca="false">F6-F7</f>
        <v>-67362.7728</v>
      </c>
      <c r="G13" s="20" t="n">
        <f aca="false">G6-G7</f>
        <v>-59405.756256</v>
      </c>
      <c r="H13" s="20" t="n">
        <f aca="false">H6-H7</f>
        <v>-47837.6035948801</v>
      </c>
      <c r="I13" s="20" t="n">
        <f aca="false">I6-I7</f>
        <v>-14145.969382848</v>
      </c>
      <c r="J13" s="20" t="n">
        <f aca="false">J6-J7</f>
        <v>-14248.888770505</v>
      </c>
      <c r="K13" s="20" t="n">
        <f aca="false">K6-K7</f>
        <v>16571.1643622519</v>
      </c>
      <c r="L13" s="20" t="n">
        <f aca="false">L6-L7</f>
        <v>16902.5876494969</v>
      </c>
      <c r="M13" s="20" t="n">
        <f aca="false">M6-M7</f>
        <v>17240.6394024869</v>
      </c>
      <c r="N13" s="20" t="n">
        <f aca="false">N6-N7</f>
        <v>17585.4521905366</v>
      </c>
      <c r="O13" s="20" t="n">
        <f aca="false">O6-O7</f>
        <v>17937.1612343473</v>
      </c>
      <c r="P13" s="20" t="n">
        <f aca="false">P6-P7</f>
        <v>18295.9044590343</v>
      </c>
      <c r="Q13" s="20" t="n">
        <f aca="false">Q6-Q7</f>
        <v>18661.822548215</v>
      </c>
      <c r="R13" s="20" t="n">
        <f aca="false">R6-R7</f>
        <v>19035.0589991793</v>
      </c>
      <c r="S13" s="20" t="n">
        <f aca="false">S6-S7</f>
        <v>19415.7601791629</v>
      </c>
      <c r="T13" s="20" t="n">
        <f aca="false">T6-T7</f>
        <v>19804.0753827461</v>
      </c>
      <c r="U13" s="20" t="n">
        <f aca="false">U6-U7</f>
        <v>20200.156890401</v>
      </c>
      <c r="V13" s="20" t="n">
        <f aca="false">V6-V7</f>
        <v>56043.4862127746</v>
      </c>
      <c r="W13" s="20" t="n">
        <f aca="false">W6-W7</f>
        <v>57164.3559370301</v>
      </c>
      <c r="X13" s="20" t="n">
        <f aca="false">X6-X7</f>
        <v>58307.6430557707</v>
      </c>
      <c r="Y13" s="20" t="n">
        <f aca="false">Y6-Y7</f>
        <v>59473.7959168861</v>
      </c>
      <c r="Z13" s="20" t="n">
        <f aca="false">Z6-Z7</f>
        <v>60663.2718352238</v>
      </c>
      <c r="AA13" s="20" t="n">
        <f aca="false">AA6-AA7</f>
        <v>61876.5372719283</v>
      </c>
      <c r="AB13" s="20" t="n">
        <f aca="false">AB6-AB7</f>
        <v>63114.0680173668</v>
      </c>
      <c r="AC13" s="20" t="n">
        <f aca="false">AC6-AC7</f>
        <v>64376.3493777142</v>
      </c>
      <c r="AD13" s="20" t="n">
        <f aca="false">AD6-AD7</f>
        <v>65663.8763652684</v>
      </c>
      <c r="AE13" s="20" t="n">
        <f aca="false">AE6-AE7</f>
        <v>66977.1538925739</v>
      </c>
      <c r="AF13" s="20" t="n">
        <f aca="false">AF6-AF7</f>
        <v>68316.6969704254</v>
      </c>
    </row>
    <row r="14" customFormat="false" ht="15" hidden="false" customHeight="true" outlineLevel="0" collapsed="false">
      <c r="B14" s="6" t="s">
        <v>489</v>
      </c>
      <c r="C14" s="17" t="n">
        <f aca="false">Scen_3rd_Child!C$31*Assumptions!$C$111/12</f>
        <v>125400</v>
      </c>
      <c r="D14" s="17" t="n">
        <f aca="false">Scen_3rd_Child!D$31*Assumptions!$C$111/12</f>
        <v>133536</v>
      </c>
      <c r="E14" s="17" t="n">
        <f aca="false">Scen_3rd_Child!E$31*Assumptions!$C$111/12</f>
        <v>142122.24</v>
      </c>
      <c r="F14" s="17" t="n">
        <f aca="false">Scen_3rd_Child!F$31*Assumptions!$C$111/12</f>
        <v>144964.6848</v>
      </c>
      <c r="G14" s="17" t="n">
        <f aca="false">Scen_3rd_Child!G$31*Assumptions!$C$111/12</f>
        <v>147863.978496</v>
      </c>
      <c r="H14" s="17" t="n">
        <f aca="false">Scen_3rd_Child!H$31*Assumptions!$C$111/12</f>
        <v>138424.99027968</v>
      </c>
      <c r="I14" s="17" t="n">
        <f aca="false">Scen_3rd_Child!I$31*Assumptions!$C$111/12</f>
        <v>115905.103801344</v>
      </c>
      <c r="J14" s="17" t="n">
        <f aca="false">Scen_3rd_Child!J$31*Assumptions!$C$111/12</f>
        <v>118223.205877371</v>
      </c>
      <c r="K14" s="17" t="n">
        <f aca="false">Scen_3rd_Child!K$31*Assumptions!$C$111/12</f>
        <v>98662.6390867513</v>
      </c>
      <c r="L14" s="17" t="n">
        <f aca="false">Scen_3rd_Child!L$31*Assumptions!$C$111/12</f>
        <v>100635.891868486</v>
      </c>
      <c r="M14" s="17" t="n">
        <f aca="false">Scen_3rd_Child!M$31*Assumptions!$C$111/12</f>
        <v>102648.609705856</v>
      </c>
      <c r="N14" s="17" t="n">
        <f aca="false">Scen_3rd_Child!N$31*Assumptions!$C$111/12</f>
        <v>104701.581899973</v>
      </c>
      <c r="O14" s="17" t="n">
        <f aca="false">Scen_3rd_Child!O$31*Assumptions!$C$111/12</f>
        <v>106795.613537973</v>
      </c>
      <c r="P14" s="17" t="n">
        <f aca="false">Scen_3rd_Child!P$31*Assumptions!$C$111/12</f>
        <v>108931.525808732</v>
      </c>
      <c r="Q14" s="17" t="n">
        <f aca="false">Scen_3rd_Child!Q$31*Assumptions!$C$111/12</f>
        <v>111110.156324907</v>
      </c>
      <c r="R14" s="17" t="n">
        <f aca="false">Scen_3rd_Child!R$31*Assumptions!$C$111/12</f>
        <v>113332.359451405</v>
      </c>
      <c r="S14" s="17" t="n">
        <f aca="false">Scen_3rd_Child!S$31*Assumptions!$C$111/12</f>
        <v>115599.006640433</v>
      </c>
      <c r="T14" s="17" t="n">
        <f aca="false">Scen_3rd_Child!T$31*Assumptions!$C$111/12</f>
        <v>117910.986773242</v>
      </c>
      <c r="U14" s="17" t="n">
        <f aca="false">Scen_3rd_Child!U$31*Assumptions!$C$111/12</f>
        <v>120269.206508707</v>
      </c>
      <c r="V14" s="17" t="n">
        <f aca="false">Scen_3rd_Child!V$31*Assumptions!$C$111/12</f>
        <v>87235.2644543151</v>
      </c>
      <c r="W14" s="17" t="n">
        <f aca="false">Scen_3rd_Child!W$31*Assumptions!$C$111/12</f>
        <v>88979.9697434015</v>
      </c>
      <c r="X14" s="17" t="n">
        <f aca="false">Scen_3rd_Child!X$31*Assumptions!$C$111/12</f>
        <v>90759.5691382695</v>
      </c>
      <c r="Y14" s="17" t="n">
        <f aca="false">Scen_3rd_Child!Y$31*Assumptions!$C$111/12</f>
        <v>92574.7605210349</v>
      </c>
      <c r="Z14" s="17" t="n">
        <f aca="false">Scen_3rd_Child!Z$31*Assumptions!$C$111/12</f>
        <v>94426.2557314556</v>
      </c>
      <c r="AA14" s="17" t="n">
        <f aca="false">Scen_3rd_Child!AA$31*Assumptions!$C$111/12</f>
        <v>96314.7808460847</v>
      </c>
      <c r="AB14" s="17" t="n">
        <f aca="false">Scen_3rd_Child!AB$31*Assumptions!$C$111/12</f>
        <v>98241.0764630064</v>
      </c>
      <c r="AC14" s="17" t="n">
        <f aca="false">Scen_3rd_Child!AC$31*Assumptions!$C$111/12</f>
        <v>100205.897992267</v>
      </c>
      <c r="AD14" s="17" t="n">
        <f aca="false">Scen_3rd_Child!AD$31*Assumptions!$C$111/12</f>
        <v>102210.015952112</v>
      </c>
      <c r="AE14" s="17" t="n">
        <f aca="false">Scen_3rd_Child!AE$31*Assumptions!$C$111/12</f>
        <v>104254.216271154</v>
      </c>
      <c r="AF14" s="17" t="n">
        <f aca="false">Scen_3rd_Child!AF$31*Assumptions!$C$111/12</f>
        <v>106339.300596577</v>
      </c>
    </row>
    <row r="15" customFormat="false" ht="15" hidden="false" customHeight="true" outlineLevel="0" collapsed="false">
      <c r="B15" s="6" t="s">
        <v>490</v>
      </c>
      <c r="C15" s="54" t="n">
        <f aca="false">Returns!C$11</f>
        <v>0.08</v>
      </c>
      <c r="D15" s="54" t="n">
        <f aca="false">Returns!D$11</f>
        <v>0.08</v>
      </c>
      <c r="E15" s="54" t="n">
        <f aca="false">Returns!E$11</f>
        <v>0.08</v>
      </c>
      <c r="F15" s="54" t="n">
        <f aca="false">Returns!F$11</f>
        <v>0.08</v>
      </c>
      <c r="G15" s="54" t="n">
        <f aca="false">Returns!G$11</f>
        <v>0.08</v>
      </c>
      <c r="H15" s="54" t="n">
        <f aca="false">Returns!H$11</f>
        <v>0.08</v>
      </c>
      <c r="I15" s="54" t="n">
        <f aca="false">Returns!I$11</f>
        <v>0.08</v>
      </c>
      <c r="J15" s="54" t="n">
        <f aca="false">Returns!J$11</f>
        <v>0.08</v>
      </c>
      <c r="K15" s="54" t="n">
        <f aca="false">Returns!K$11</f>
        <v>0.08</v>
      </c>
      <c r="L15" s="54" t="n">
        <f aca="false">Returns!L$11</f>
        <v>0.08</v>
      </c>
      <c r="M15" s="54" t="n">
        <f aca="false">Returns!M$11</f>
        <v>0.08</v>
      </c>
      <c r="N15" s="54" t="n">
        <f aca="false">Returns!N$11</f>
        <v>0.0785</v>
      </c>
      <c r="O15" s="54" t="n">
        <f aca="false">Returns!O$11</f>
        <v>0.0755</v>
      </c>
      <c r="P15" s="54" t="n">
        <f aca="false">Returns!P$11</f>
        <v>0.0725</v>
      </c>
      <c r="Q15" s="54" t="n">
        <f aca="false">Returns!Q$11</f>
        <v>0.0695</v>
      </c>
      <c r="R15" s="54" t="n">
        <f aca="false">Returns!R$11</f>
        <v>0.0665</v>
      </c>
      <c r="S15" s="54" t="n">
        <f aca="false">Returns!S$11</f>
        <v>0.0635</v>
      </c>
      <c r="T15" s="54" t="n">
        <f aca="false">Returns!T$11</f>
        <v>0.0605</v>
      </c>
      <c r="U15" s="54" t="n">
        <f aca="false">Returns!U$11</f>
        <v>0.0575</v>
      </c>
      <c r="V15" s="54" t="n">
        <f aca="false">Returns!V$11</f>
        <v>0.0545</v>
      </c>
      <c r="W15" s="54" t="n">
        <f aca="false">Returns!W$11</f>
        <v>0.0515</v>
      </c>
      <c r="X15" s="54" t="n">
        <f aca="false">Returns!X$11</f>
        <v>0.0485</v>
      </c>
      <c r="Y15" s="54" t="n">
        <f aca="false">Returns!Y$11</f>
        <v>0.0455</v>
      </c>
      <c r="Z15" s="54" t="n">
        <f aca="false">Returns!Z$11</f>
        <v>0.0425</v>
      </c>
      <c r="AA15" s="54" t="n">
        <f aca="false">Returns!AA$11</f>
        <v>0.0395</v>
      </c>
      <c r="AB15" s="54" t="n">
        <f aca="false">Returns!AB$11</f>
        <v>0.0365</v>
      </c>
      <c r="AC15" s="54" t="n">
        <f aca="false">Returns!AC$11</f>
        <v>0.0335</v>
      </c>
      <c r="AD15" s="54" t="n">
        <f aca="false">Returns!AD$11</f>
        <v>0.0305</v>
      </c>
      <c r="AE15" s="54" t="n">
        <f aca="false">Returns!AE$11</f>
        <v>0.0275</v>
      </c>
      <c r="AF15" s="54" t="n">
        <f aca="false">Returns!AF$11</f>
        <v>0.0245</v>
      </c>
    </row>
    <row r="16" customFormat="false" ht="15" hidden="false" customHeight="true" outlineLevel="0" collapsed="false">
      <c r="B16" s="6" t="s">
        <v>491</v>
      </c>
      <c r="C16" s="54" t="n">
        <f aca="false">Returns!C$12</f>
        <v>0.065</v>
      </c>
      <c r="D16" s="54" t="n">
        <f aca="false">Returns!D$12</f>
        <v>0.065</v>
      </c>
      <c r="E16" s="54" t="n">
        <f aca="false">Returns!E$12</f>
        <v>0.065</v>
      </c>
      <c r="F16" s="54" t="n">
        <f aca="false">Returns!F$12</f>
        <v>0.065</v>
      </c>
      <c r="G16" s="54" t="n">
        <f aca="false">Returns!G$12</f>
        <v>0.065</v>
      </c>
      <c r="H16" s="54" t="n">
        <f aca="false">Returns!H$12</f>
        <v>0.065</v>
      </c>
      <c r="I16" s="54" t="n">
        <f aca="false">Returns!I$12</f>
        <v>0.065</v>
      </c>
      <c r="J16" s="54" t="n">
        <f aca="false">Returns!J$12</f>
        <v>0.065</v>
      </c>
      <c r="K16" s="54" t="n">
        <f aca="false">Returns!K$12</f>
        <v>0.065</v>
      </c>
      <c r="L16" s="54" t="n">
        <f aca="false">Returns!L$12</f>
        <v>0.065</v>
      </c>
      <c r="M16" s="54" t="n">
        <f aca="false">Returns!M$12</f>
        <v>0.065</v>
      </c>
      <c r="N16" s="54" t="n">
        <f aca="false">Returns!N$12</f>
        <v>0.0635</v>
      </c>
      <c r="O16" s="54" t="n">
        <f aca="false">Returns!O$12</f>
        <v>0.0605</v>
      </c>
      <c r="P16" s="54" t="n">
        <f aca="false">Returns!P$12</f>
        <v>0.0575</v>
      </c>
      <c r="Q16" s="54" t="n">
        <f aca="false">Returns!Q$12</f>
        <v>0.0545</v>
      </c>
      <c r="R16" s="54" t="n">
        <f aca="false">Returns!R$12</f>
        <v>0.0515</v>
      </c>
      <c r="S16" s="54" t="n">
        <f aca="false">Returns!S$12</f>
        <v>0.0485</v>
      </c>
      <c r="T16" s="54" t="n">
        <f aca="false">Returns!T$12</f>
        <v>0.0455</v>
      </c>
      <c r="U16" s="54" t="n">
        <f aca="false">Returns!U$12</f>
        <v>0.0425</v>
      </c>
      <c r="V16" s="54" t="n">
        <f aca="false">Returns!V$12</f>
        <v>0.0395</v>
      </c>
      <c r="W16" s="54" t="n">
        <f aca="false">Returns!W$12</f>
        <v>0.0365</v>
      </c>
      <c r="X16" s="54" t="n">
        <f aca="false">Returns!X$12</f>
        <v>0.0335</v>
      </c>
      <c r="Y16" s="54" t="n">
        <f aca="false">Returns!Y$12</f>
        <v>0.0305</v>
      </c>
      <c r="Z16" s="54" t="n">
        <f aca="false">Returns!Z$12</f>
        <v>0.0275</v>
      </c>
      <c r="AA16" s="54" t="n">
        <f aca="false">Returns!AA$12</f>
        <v>0.0245</v>
      </c>
      <c r="AB16" s="54" t="n">
        <f aca="false">Returns!AB$12</f>
        <v>0.0215</v>
      </c>
      <c r="AC16" s="54" t="n">
        <f aca="false">Returns!AC$12</f>
        <v>0.0185</v>
      </c>
      <c r="AD16" s="54" t="n">
        <f aca="false">Returns!AD$12</f>
        <v>0.0155</v>
      </c>
      <c r="AE16" s="54" t="n">
        <f aca="false">Returns!AE$12</f>
        <v>0.0125</v>
      </c>
      <c r="AF16" s="54" t="n">
        <f aca="false">Returns!AF$12</f>
        <v>0.00950000000000001</v>
      </c>
    </row>
    <row r="17" customFormat="false" ht="15" hidden="false" customHeight="true" outlineLevel="0" collapsed="false">
      <c r="B17" s="6" t="s">
        <v>492</v>
      </c>
      <c r="C17" s="17" t="n">
        <f aca="false">Scen_3rd_Child!C$64</f>
        <v>0</v>
      </c>
      <c r="D17" s="17" t="n">
        <f aca="false">Scen_3rd_Child!D$64</f>
        <v>0</v>
      </c>
      <c r="E17" s="17" t="n">
        <f aca="false">Scen_3rd_Child!E$64</f>
        <v>0</v>
      </c>
      <c r="F17" s="17" t="n">
        <f aca="false">Scen_3rd_Child!F$64</f>
        <v>0</v>
      </c>
      <c r="G17" s="17" t="n">
        <f aca="false">Scen_3rd_Child!G$64</f>
        <v>0</v>
      </c>
      <c r="H17" s="17" t="n">
        <f aca="false">Scen_3rd_Child!H$64</f>
        <v>0</v>
      </c>
      <c r="I17" s="17" t="n">
        <f aca="false">Scen_3rd_Child!I$64</f>
        <v>30077.0962523597</v>
      </c>
      <c r="J17" s="17" t="n">
        <f aca="false">Scen_3rd_Child!J$64</f>
        <v>62890.7456861701</v>
      </c>
      <c r="K17" s="17" t="n">
        <f aca="false">Scen_3rd_Child!K$64</f>
        <v>129559.486004893</v>
      </c>
      <c r="L17" s="17" t="n">
        <f aca="false">Scen_3rd_Child!L$64</f>
        <v>201813.311281316</v>
      </c>
      <c r="M17" s="17" t="n">
        <f aca="false">Scen_3rd_Child!M$64</f>
        <v>280040.284374428</v>
      </c>
      <c r="N17" s="17" t="n">
        <f aca="false">Scen_3rd_Child!N$64</f>
        <v>364234.132449227</v>
      </c>
      <c r="O17" s="17" t="n">
        <f aca="false">Scen_3rd_Child!O$64</f>
        <v>454009.813279768</v>
      </c>
      <c r="P17" s="17" t="n">
        <f aca="false">Scen_3rd_Child!P$64</f>
        <v>549209.683677066</v>
      </c>
      <c r="Q17" s="17" t="n">
        <f aca="false">Scen_3rd_Child!Q$64</f>
        <v>649617.803693851</v>
      </c>
      <c r="R17" s="17" t="n">
        <f aca="false">Scen_3rd_Child!R$64</f>
        <v>754958.836685597</v>
      </c>
      <c r="S17" s="17" t="n">
        <f aca="false">Scen_3rd_Child!S$64</f>
        <v>864897.770688392</v>
      </c>
      <c r="T17" s="17" t="n">
        <f aca="false">Scen_3rd_Child!T$64</f>
        <v>979040.518286727</v>
      </c>
      <c r="U17" s="17" t="n">
        <f aca="false">Scen_3rd_Child!U$64</f>
        <v>1096935.43732657</v>
      </c>
      <c r="V17" s="17" t="n">
        <f aca="false">Scen_3rd_Child!V$64</f>
        <v>1253515.12423844</v>
      </c>
      <c r="W17" s="17" t="n">
        <f aca="false">Scen_3rd_Child!W$64</f>
        <v>1414784.17815336</v>
      </c>
      <c r="X17" s="17" t="n">
        <f aca="false">Scen_3rd_Child!X$64</f>
        <v>1580005.51503933</v>
      </c>
      <c r="Y17" s="17" t="n">
        <f aca="false">Scen_3rd_Child!Y$64</f>
        <v>1748378.27150421</v>
      </c>
      <c r="Z17" s="17" t="n">
        <f aca="false">Scen_3rd_Child!Z$64</f>
        <v>1919044.91399188</v>
      </c>
      <c r="AA17" s="17" t="n">
        <f aca="false">Scen_3rd_Child!AA$64</f>
        <v>2091099.47920642</v>
      </c>
      <c r="AB17" s="17" t="n">
        <f aca="false">Scen_3rd_Child!AB$64</f>
        <v>2263596.84212752</v>
      </c>
      <c r="AC17" s="17" t="n">
        <f aca="false">Scen_3rd_Child!AC$64</f>
        <v>2435562.88230741</v>
      </c>
      <c r="AD17" s="17" t="n">
        <f aca="false">Scen_3rd_Child!AD$64</f>
        <v>2606005.39555572</v>
      </c>
      <c r="AE17" s="17" t="n">
        <f aca="false">Scen_3rd_Child!AE$64</f>
        <v>2773925.57734416</v>
      </c>
      <c r="AF17" s="17" t="n">
        <f aca="false">Scen_3rd_Child!AF$64</f>
        <v>2938329.8869598</v>
      </c>
    </row>
    <row r="18" customFormat="false" ht="15" hidden="false" customHeight="true" outlineLevel="0" collapsed="false">
      <c r="B18" s="6" t="s">
        <v>493</v>
      </c>
      <c r="C18" s="17" t="n">
        <f aca="false">Scen_3rd_Child!C$70</f>
        <v>302223.8</v>
      </c>
      <c r="D18" s="17" t="n">
        <f aca="false">Scen_3rd_Child!D$70</f>
        <v>341447.268885496</v>
      </c>
      <c r="E18" s="17" t="n">
        <f aca="false">Scen_3rd_Child!E$70</f>
        <v>378426.982520813</v>
      </c>
      <c r="F18" s="17" t="n">
        <f aca="false">Scen_3rd_Child!F$70</f>
        <v>423092.815822478</v>
      </c>
      <c r="G18" s="17" t="n">
        <f aca="false">Scen_3rd_Child!G$70</f>
        <v>480040.314931477</v>
      </c>
      <c r="H18" s="17" t="n">
        <f aca="false">Scen_3rd_Child!H$70</f>
        <v>554761.883232299</v>
      </c>
      <c r="I18" s="17" t="n">
        <f aca="false">Scen_3rd_Child!I$70</f>
        <v>640758.833890883</v>
      </c>
      <c r="J18" s="17" t="n">
        <f aca="false">Scen_3rd_Child!J$70</f>
        <v>734467.860602153</v>
      </c>
      <c r="K18" s="17" t="n">
        <f aca="false">Scen_3rd_Child!K$70</f>
        <v>836522.575850325</v>
      </c>
      <c r="L18" s="17" t="n">
        <f aca="false">Scen_3rd_Child!L$70</f>
        <v>947607.614046351</v>
      </c>
      <c r="M18" s="17" t="n">
        <f aca="false">Scen_3rd_Child!M$70</f>
        <v>1068462.71994062</v>
      </c>
      <c r="N18" s="17" t="n">
        <f aca="false">Scen_3rd_Child!N$70</f>
        <v>1198284.47016193</v>
      </c>
      <c r="O18" s="17" t="n">
        <f aca="false">Scen_3rd_Child!O$70</f>
        <v>1335621.32289925</v>
      </c>
      <c r="P18" s="17" t="n">
        <f aca="false">Scen_3rd_Child!P$70</f>
        <v>1480257.57155433</v>
      </c>
      <c r="Q18" s="17" t="n">
        <f aca="false">Scen_3rd_Child!Q$70</f>
        <v>1631895.24957715</v>
      </c>
      <c r="R18" s="17" t="n">
        <f aca="false">Scen_3rd_Child!R$70</f>
        <v>1790151.25600982</v>
      </c>
      <c r="S18" s="17" t="n">
        <f aca="false">Scen_3rd_Child!S$70</f>
        <v>1954555.53254894</v>
      </c>
      <c r="T18" s="17" t="n">
        <f aca="false">Scen_3rd_Child!T$70</f>
        <v>2124550.4074863</v>
      </c>
      <c r="U18" s="17" t="n">
        <f aca="false">Scen_3rd_Child!U$70</f>
        <v>2299491.20643928</v>
      </c>
      <c r="V18" s="17" t="n">
        <f aca="false">Scen_3rd_Child!V$70</f>
        <v>2478648.21072319</v>
      </c>
      <c r="W18" s="17" t="n">
        <f aca="false">Scen_3rd_Child!W$70</f>
        <v>2661210.02177906</v>
      </c>
      <c r="X18" s="17" t="n">
        <f aca="false">Scen_3rd_Child!X$70</f>
        <v>2846288.36460304</v>
      </c>
      <c r="Y18" s="17" t="n">
        <f aca="false">Scen_3rd_Child!Y$70</f>
        <v>3032924.33509553</v>
      </c>
      <c r="Z18" s="17" t="n">
        <f aca="false">Scen_3rd_Child!Z$70</f>
        <v>3220096.0662382</v>
      </c>
      <c r="AA18" s="17" t="n">
        <f aca="false">Scen_3rd_Child!AA$70</f>
        <v>3406727.75669374</v>
      </c>
      <c r="AB18" s="17" t="n">
        <f aca="false">Scen_3rd_Child!AB$70</f>
        <v>3591699.97356898</v>
      </c>
      <c r="AC18" s="17" t="n">
        <f aca="false">Scen_3rd_Child!AC$70</f>
        <v>3773861.10951458</v>
      </c>
      <c r="AD18" s="17" t="n">
        <f aca="false">Scen_3rd_Child!AD$70</f>
        <v>3952039.84392243</v>
      </c>
      <c r="AE18" s="17" t="n">
        <f aca="false">Scen_3rd_Child!AE$70</f>
        <v>4125058.4296093</v>
      </c>
      <c r="AF18" s="17" t="n">
        <f aca="false">Scen_3rd_Child!AF$70</f>
        <v>4291746.60091332</v>
      </c>
    </row>
    <row r="20" customFormat="false" ht="15" hidden="false" customHeight="true" outlineLevel="0" collapsed="false">
      <c r="A20" s="30" t="s">
        <v>494</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customFormat="false" ht="15" hidden="false" customHeight="true" outlineLevel="0" collapsed="false">
      <c r="B21" s="16" t="s">
        <v>101</v>
      </c>
      <c r="C21" s="31" t="n">
        <v>2026</v>
      </c>
      <c r="D21" s="31" t="n">
        <v>2027</v>
      </c>
      <c r="E21" s="31" t="n">
        <v>2028</v>
      </c>
      <c r="F21" s="31" t="n">
        <v>2029</v>
      </c>
      <c r="G21" s="31" t="n">
        <v>2030</v>
      </c>
      <c r="H21" s="31" t="n">
        <v>2031</v>
      </c>
      <c r="I21" s="31" t="n">
        <v>2032</v>
      </c>
      <c r="J21" s="31" t="n">
        <v>2033</v>
      </c>
      <c r="K21" s="31" t="n">
        <v>2034</v>
      </c>
      <c r="L21" s="31" t="n">
        <v>2035</v>
      </c>
      <c r="M21" s="31" t="n">
        <v>2036</v>
      </c>
      <c r="N21" s="31" t="n">
        <v>2037</v>
      </c>
      <c r="O21" s="31" t="n">
        <v>2038</v>
      </c>
      <c r="P21" s="31" t="n">
        <v>2039</v>
      </c>
      <c r="Q21" s="31" t="n">
        <v>2040</v>
      </c>
      <c r="R21" s="31" t="n">
        <v>2041</v>
      </c>
      <c r="S21" s="31" t="n">
        <v>2042</v>
      </c>
      <c r="T21" s="31" t="n">
        <v>2043</v>
      </c>
      <c r="U21" s="31" t="n">
        <v>2044</v>
      </c>
      <c r="V21" s="31" t="n">
        <v>2045</v>
      </c>
      <c r="W21" s="31" t="n">
        <v>2046</v>
      </c>
      <c r="X21" s="31" t="n">
        <v>2047</v>
      </c>
      <c r="Y21" s="31" t="n">
        <v>2048</v>
      </c>
      <c r="Z21" s="31" t="n">
        <v>2049</v>
      </c>
      <c r="AA21" s="31" t="n">
        <v>2050</v>
      </c>
      <c r="AB21" s="31" t="n">
        <v>2051</v>
      </c>
      <c r="AC21" s="31" t="n">
        <v>2052</v>
      </c>
      <c r="AD21" s="31" t="n">
        <v>2053</v>
      </c>
      <c r="AE21" s="31" t="n">
        <v>2054</v>
      </c>
      <c r="AF21" s="31" t="n">
        <v>2055</v>
      </c>
    </row>
    <row r="22" customFormat="false" ht="15" hidden="false" customHeight="true" outlineLevel="0" collapsed="false">
      <c r="B22" s="67" t="n">
        <v>2026</v>
      </c>
      <c r="C22" s="20" t="n">
        <f aca="false">C17</f>
        <v>0</v>
      </c>
      <c r="D22" s="20" t="n">
        <f aca="false">IF(D$5&lt;=$B22,D17,MAX(0,C22*(1+D$16)+D$13))</f>
        <v>0</v>
      </c>
      <c r="E22" s="20" t="n">
        <f aca="false">IF(E$5&lt;=$B22,E17,MAX(0,D22*(1+E$16)+E$13))</f>
        <v>0</v>
      </c>
      <c r="F22" s="20" t="n">
        <f aca="false">IF(F$5&lt;=$B22,F17,MAX(0,E22*(1+F$16)+F$13))</f>
        <v>0</v>
      </c>
      <c r="G22" s="20" t="n">
        <f aca="false">IF(G$5&lt;=$B22,G17,MAX(0,F22*(1+G$16)+G$13))</f>
        <v>0</v>
      </c>
      <c r="H22" s="20" t="n">
        <f aca="false">IF(H$5&lt;=$B22,H17,MAX(0,G22*(1+H$16)+H$13))</f>
        <v>0</v>
      </c>
      <c r="I22" s="20" t="n">
        <f aca="false">IF(I$5&lt;=$B22,I17,MAX(0,H22*(1+I$16)+I$13))</f>
        <v>0</v>
      </c>
      <c r="J22" s="20" t="n">
        <f aca="false">IF(J$5&lt;=$B22,J17,MAX(0,I22*(1+J$16)+J$13))</f>
        <v>0</v>
      </c>
      <c r="K22" s="20" t="n">
        <f aca="false">IF(K$5&lt;=$B22,K17,MAX(0,J22*(1+K$16)+K$13))</f>
        <v>16571.1643622519</v>
      </c>
      <c r="L22" s="20" t="n">
        <f aca="false">IF(L$5&lt;=$B22,L17,MAX(0,K22*(1+L$16)+L$13))</f>
        <v>34550.8776952952</v>
      </c>
      <c r="M22" s="20" t="n">
        <f aca="false">IF(M$5&lt;=$B22,M17,MAX(0,L22*(1+M$16)+M$13))</f>
        <v>54037.3241479762</v>
      </c>
      <c r="N22" s="20" t="n">
        <f aca="false">IF(N$5&lt;=$B22,N17,MAX(0,M22*(1+N$16)+N$13))</f>
        <v>75054.1464219093</v>
      </c>
      <c r="O22" s="20" t="n">
        <f aca="false">IF(O$5&lt;=$B22,O17,MAX(0,N22*(1+O$16)+O$13))</f>
        <v>97532.0835147822</v>
      </c>
      <c r="P22" s="20" t="n">
        <f aca="false">IF(P$5&lt;=$B22,P17,MAX(0,O22*(1+P$16)+P$13))</f>
        <v>121436.082775916</v>
      </c>
      <c r="Q22" s="20" t="n">
        <f aca="false">IF(Q$5&lt;=$B22,Q17,MAX(0,P22*(1+Q$16)+Q$13))</f>
        <v>146716.171835419</v>
      </c>
      <c r="R22" s="20" t="n">
        <f aca="false">IF(R$5&lt;=$B22,R17,MAX(0,Q22*(1+R$16)+R$13))</f>
        <v>173307.113684122</v>
      </c>
      <c r="S22" s="20" t="n">
        <f aca="false">IF(S$5&lt;=$B22,S17,MAX(0,R22*(1+S$16)+S$13))</f>
        <v>201128.268876965</v>
      </c>
      <c r="T22" s="20" t="n">
        <f aca="false">IF(T$5&lt;=$B22,T17,MAX(0,S22*(1+T$16)+T$13))</f>
        <v>230083.680493613</v>
      </c>
      <c r="U22" s="20" t="n">
        <f aca="false">IF(U$5&lt;=$B22,U17,MAX(0,T22*(1+U$16)+U$13))</f>
        <v>260062.393804993</v>
      </c>
      <c r="V22" s="20" t="n">
        <f aca="false">IF(V$5&lt;=$B22,V17,MAX(0,U22*(1+V$16)+V$13))</f>
        <v>326378.344573065</v>
      </c>
      <c r="W22" s="20" t="n">
        <f aca="false">IF(W$5&lt;=$B22,W17,MAX(0,V22*(1+W$16)+W$13))</f>
        <v>395455.510087011</v>
      </c>
      <c r="X22" s="20" t="n">
        <f aca="false">IF(X$5&lt;=$B22,X17,MAX(0,W22*(1+X$16)+X$13))</f>
        <v>467010.912730697</v>
      </c>
      <c r="Y22" s="20" t="n">
        <f aca="false">IF(Y$5&lt;=$B22,Y17,MAX(0,X22*(1+Y$16)+Y$13))</f>
        <v>540728.541485869</v>
      </c>
      <c r="Z22" s="20" t="n">
        <f aca="false">IF(Z$5&lt;=$B22,Z17,MAX(0,Y22*(1+Z$16)+Z$13))</f>
        <v>616261.848211955</v>
      </c>
      <c r="AA22" s="20" t="n">
        <f aca="false">IF(AA$5&lt;=$B22,AA17,MAX(0,Z22*(1+AA$16)+AA$13))</f>
        <v>693236.800765076</v>
      </c>
      <c r="AB22" s="20" t="n">
        <f aca="false">IF(AB$5&lt;=$B22,AB17,MAX(0,AA22*(1+AB$16)+AB$13))</f>
        <v>771255.459998892</v>
      </c>
      <c r="AC22" s="20" t="n">
        <f aca="false">IF(AC$5&lt;=$B22,AC17,MAX(0,AB22*(1+AC$16)+AC$13))</f>
        <v>849900.035386585</v>
      </c>
      <c r="AD22" s="20" t="n">
        <f aca="false">IF(AD$5&lt;=$B22,AD17,MAX(0,AC22*(1+AD$16)+AD$13))</f>
        <v>928737.362300346</v>
      </c>
      <c r="AE22" s="20" t="n">
        <f aca="false">IF(AE$5&lt;=$B22,AE17,MAX(0,AD22*(1+AE$16)+AE$13))</f>
        <v>1007323.73322167</v>
      </c>
      <c r="AF22" s="20" t="n">
        <f aca="false">IF(AF$5&lt;=$B22,AF17,MAX(0,AE22*(1+AF$16)+AF$13))</f>
        <v>1085210.00565771</v>
      </c>
    </row>
    <row r="23" customFormat="false" ht="15" hidden="false" customHeight="true" outlineLevel="0" collapsed="false">
      <c r="B23" s="67" t="n">
        <v>2027</v>
      </c>
      <c r="C23" s="20" t="n">
        <f aca="false">C17</f>
        <v>0</v>
      </c>
      <c r="D23" s="20" t="n">
        <f aca="false">IF(D$5&lt;=$B23,D17,MAX(0,C23*(1+D$16)+D$13))</f>
        <v>0</v>
      </c>
      <c r="E23" s="20" t="n">
        <f aca="false">IF(E$5&lt;=$B23,E17,MAX(0,D23*(1+E$16)+E$13))</f>
        <v>0</v>
      </c>
      <c r="F23" s="20" t="n">
        <f aca="false">IF(F$5&lt;=$B23,F17,MAX(0,E23*(1+F$16)+F$13))</f>
        <v>0</v>
      </c>
      <c r="G23" s="20" t="n">
        <f aca="false">IF(G$5&lt;=$B23,G17,MAX(0,F23*(1+G$16)+G$13))</f>
        <v>0</v>
      </c>
      <c r="H23" s="20" t="n">
        <f aca="false">IF(H$5&lt;=$B23,H17,MAX(0,G23*(1+H$16)+H$13))</f>
        <v>0</v>
      </c>
      <c r="I23" s="20" t="n">
        <f aca="false">IF(I$5&lt;=$B23,I17,MAX(0,H23*(1+I$16)+I$13))</f>
        <v>0</v>
      </c>
      <c r="J23" s="20" t="n">
        <f aca="false">IF(J$5&lt;=$B23,J17,MAX(0,I23*(1+J$16)+J$13))</f>
        <v>0</v>
      </c>
      <c r="K23" s="20" t="n">
        <f aca="false">IF(K$5&lt;=$B23,K17,MAX(0,J23*(1+K$16)+K$13))</f>
        <v>16571.1643622519</v>
      </c>
      <c r="L23" s="20" t="n">
        <f aca="false">IF(L$5&lt;=$B23,L17,MAX(0,K23*(1+L$16)+L$13))</f>
        <v>34550.8776952952</v>
      </c>
      <c r="M23" s="20" t="n">
        <f aca="false">IF(M$5&lt;=$B23,M17,MAX(0,L23*(1+M$16)+M$13))</f>
        <v>54037.3241479762</v>
      </c>
      <c r="N23" s="20" t="n">
        <f aca="false">IF(N$5&lt;=$B23,N17,MAX(0,M23*(1+N$16)+N$13))</f>
        <v>75054.1464219093</v>
      </c>
      <c r="O23" s="20" t="n">
        <f aca="false">IF(O$5&lt;=$B23,O17,MAX(0,N23*(1+O$16)+O$13))</f>
        <v>97532.0835147822</v>
      </c>
      <c r="P23" s="20" t="n">
        <f aca="false">IF(P$5&lt;=$B23,P17,MAX(0,O23*(1+P$16)+P$13))</f>
        <v>121436.082775916</v>
      </c>
      <c r="Q23" s="20" t="n">
        <f aca="false">IF(Q$5&lt;=$B23,Q17,MAX(0,P23*(1+Q$16)+Q$13))</f>
        <v>146716.171835419</v>
      </c>
      <c r="R23" s="20" t="n">
        <f aca="false">IF(R$5&lt;=$B23,R17,MAX(0,Q23*(1+R$16)+R$13))</f>
        <v>173307.113684122</v>
      </c>
      <c r="S23" s="20" t="n">
        <f aca="false">IF(S$5&lt;=$B23,S17,MAX(0,R23*(1+S$16)+S$13))</f>
        <v>201128.268876965</v>
      </c>
      <c r="T23" s="20" t="n">
        <f aca="false">IF(T$5&lt;=$B23,T17,MAX(0,S23*(1+T$16)+T$13))</f>
        <v>230083.680493613</v>
      </c>
      <c r="U23" s="20" t="n">
        <f aca="false">IF(U$5&lt;=$B23,U17,MAX(0,T23*(1+U$16)+U$13))</f>
        <v>260062.393804993</v>
      </c>
      <c r="V23" s="20" t="n">
        <f aca="false">IF(V$5&lt;=$B23,V17,MAX(0,U23*(1+V$16)+V$13))</f>
        <v>326378.344573065</v>
      </c>
      <c r="W23" s="20" t="n">
        <f aca="false">IF(W$5&lt;=$B23,W17,MAX(0,V23*(1+W$16)+W$13))</f>
        <v>395455.510087011</v>
      </c>
      <c r="X23" s="20" t="n">
        <f aca="false">IF(X$5&lt;=$B23,X17,MAX(0,W23*(1+X$16)+X$13))</f>
        <v>467010.912730697</v>
      </c>
      <c r="Y23" s="20" t="n">
        <f aca="false">IF(Y$5&lt;=$B23,Y17,MAX(0,X23*(1+Y$16)+Y$13))</f>
        <v>540728.541485869</v>
      </c>
      <c r="Z23" s="20" t="n">
        <f aca="false">IF(Z$5&lt;=$B23,Z17,MAX(0,Y23*(1+Z$16)+Z$13))</f>
        <v>616261.848211955</v>
      </c>
      <c r="AA23" s="20" t="n">
        <f aca="false">IF(AA$5&lt;=$B23,AA17,MAX(0,Z23*(1+AA$16)+AA$13))</f>
        <v>693236.800765076</v>
      </c>
      <c r="AB23" s="20" t="n">
        <f aca="false">IF(AB$5&lt;=$B23,AB17,MAX(0,AA23*(1+AB$16)+AB$13))</f>
        <v>771255.459998892</v>
      </c>
      <c r="AC23" s="20" t="n">
        <f aca="false">IF(AC$5&lt;=$B23,AC17,MAX(0,AB23*(1+AC$16)+AC$13))</f>
        <v>849900.035386585</v>
      </c>
      <c r="AD23" s="20" t="n">
        <f aca="false">IF(AD$5&lt;=$B23,AD17,MAX(0,AC23*(1+AD$16)+AD$13))</f>
        <v>928737.362300346</v>
      </c>
      <c r="AE23" s="20" t="n">
        <f aca="false">IF(AE$5&lt;=$B23,AE17,MAX(0,AD23*(1+AE$16)+AE$13))</f>
        <v>1007323.73322167</v>
      </c>
      <c r="AF23" s="20" t="n">
        <f aca="false">IF(AF$5&lt;=$B23,AF17,MAX(0,AE23*(1+AF$16)+AF$13))</f>
        <v>1085210.00565771</v>
      </c>
    </row>
    <row r="24" customFormat="false" ht="15" hidden="false" customHeight="true" outlineLevel="0" collapsed="false">
      <c r="B24" s="67" t="n">
        <v>2028</v>
      </c>
      <c r="C24" s="20" t="n">
        <f aca="false">C17</f>
        <v>0</v>
      </c>
      <c r="D24" s="20" t="n">
        <f aca="false">IF(D$5&lt;=$B24,D17,MAX(0,C24*(1+D$16)+D$13))</f>
        <v>0</v>
      </c>
      <c r="E24" s="20" t="n">
        <f aca="false">IF(E$5&lt;=$B24,E17,MAX(0,D24*(1+E$16)+E$13))</f>
        <v>0</v>
      </c>
      <c r="F24" s="20" t="n">
        <f aca="false">IF(F$5&lt;=$B24,F17,MAX(0,E24*(1+F$16)+F$13))</f>
        <v>0</v>
      </c>
      <c r="G24" s="20" t="n">
        <f aca="false">IF(G$5&lt;=$B24,G17,MAX(0,F24*(1+G$16)+G$13))</f>
        <v>0</v>
      </c>
      <c r="H24" s="20" t="n">
        <f aca="false">IF(H$5&lt;=$B24,H17,MAX(0,G24*(1+H$16)+H$13))</f>
        <v>0</v>
      </c>
      <c r="I24" s="20" t="n">
        <f aca="false">IF(I$5&lt;=$B24,I17,MAX(0,H24*(1+I$16)+I$13))</f>
        <v>0</v>
      </c>
      <c r="J24" s="20" t="n">
        <f aca="false">IF(J$5&lt;=$B24,J17,MAX(0,I24*(1+J$16)+J$13))</f>
        <v>0</v>
      </c>
      <c r="K24" s="20" t="n">
        <f aca="false">IF(K$5&lt;=$B24,K17,MAX(0,J24*(1+K$16)+K$13))</f>
        <v>16571.1643622519</v>
      </c>
      <c r="L24" s="20" t="n">
        <f aca="false">IF(L$5&lt;=$B24,L17,MAX(0,K24*(1+L$16)+L$13))</f>
        <v>34550.8776952952</v>
      </c>
      <c r="M24" s="20" t="n">
        <f aca="false">IF(M$5&lt;=$B24,M17,MAX(0,L24*(1+M$16)+M$13))</f>
        <v>54037.3241479762</v>
      </c>
      <c r="N24" s="20" t="n">
        <f aca="false">IF(N$5&lt;=$B24,N17,MAX(0,M24*(1+N$16)+N$13))</f>
        <v>75054.1464219093</v>
      </c>
      <c r="O24" s="20" t="n">
        <f aca="false">IF(O$5&lt;=$B24,O17,MAX(0,N24*(1+O$16)+O$13))</f>
        <v>97532.0835147822</v>
      </c>
      <c r="P24" s="20" t="n">
        <f aca="false">IF(P$5&lt;=$B24,P17,MAX(0,O24*(1+P$16)+P$13))</f>
        <v>121436.082775916</v>
      </c>
      <c r="Q24" s="20" t="n">
        <f aca="false">IF(Q$5&lt;=$B24,Q17,MAX(0,P24*(1+Q$16)+Q$13))</f>
        <v>146716.171835419</v>
      </c>
      <c r="R24" s="20" t="n">
        <f aca="false">IF(R$5&lt;=$B24,R17,MAX(0,Q24*(1+R$16)+R$13))</f>
        <v>173307.113684122</v>
      </c>
      <c r="S24" s="20" t="n">
        <f aca="false">IF(S$5&lt;=$B24,S17,MAX(0,R24*(1+S$16)+S$13))</f>
        <v>201128.268876965</v>
      </c>
      <c r="T24" s="20" t="n">
        <f aca="false">IF(T$5&lt;=$B24,T17,MAX(0,S24*(1+T$16)+T$13))</f>
        <v>230083.680493613</v>
      </c>
      <c r="U24" s="20" t="n">
        <f aca="false">IF(U$5&lt;=$B24,U17,MAX(0,T24*(1+U$16)+U$13))</f>
        <v>260062.393804993</v>
      </c>
      <c r="V24" s="20" t="n">
        <f aca="false">IF(V$5&lt;=$B24,V17,MAX(0,U24*(1+V$16)+V$13))</f>
        <v>326378.344573065</v>
      </c>
      <c r="W24" s="20" t="n">
        <f aca="false">IF(W$5&lt;=$B24,W17,MAX(0,V24*(1+W$16)+W$13))</f>
        <v>395455.510087011</v>
      </c>
      <c r="X24" s="20" t="n">
        <f aca="false">IF(X$5&lt;=$B24,X17,MAX(0,W24*(1+X$16)+X$13))</f>
        <v>467010.912730697</v>
      </c>
      <c r="Y24" s="20" t="n">
        <f aca="false">IF(Y$5&lt;=$B24,Y17,MAX(0,X24*(1+Y$16)+Y$13))</f>
        <v>540728.541485869</v>
      </c>
      <c r="Z24" s="20" t="n">
        <f aca="false">IF(Z$5&lt;=$B24,Z17,MAX(0,Y24*(1+Z$16)+Z$13))</f>
        <v>616261.848211955</v>
      </c>
      <c r="AA24" s="20" t="n">
        <f aca="false">IF(AA$5&lt;=$B24,AA17,MAX(0,Z24*(1+AA$16)+AA$13))</f>
        <v>693236.800765076</v>
      </c>
      <c r="AB24" s="20" t="n">
        <f aca="false">IF(AB$5&lt;=$B24,AB17,MAX(0,AA24*(1+AB$16)+AB$13))</f>
        <v>771255.459998892</v>
      </c>
      <c r="AC24" s="20" t="n">
        <f aca="false">IF(AC$5&lt;=$B24,AC17,MAX(0,AB24*(1+AC$16)+AC$13))</f>
        <v>849900.035386585</v>
      </c>
      <c r="AD24" s="20" t="n">
        <f aca="false">IF(AD$5&lt;=$B24,AD17,MAX(0,AC24*(1+AD$16)+AD$13))</f>
        <v>928737.362300346</v>
      </c>
      <c r="AE24" s="20" t="n">
        <f aca="false">IF(AE$5&lt;=$B24,AE17,MAX(0,AD24*(1+AE$16)+AE$13))</f>
        <v>1007323.73322167</v>
      </c>
      <c r="AF24" s="20" t="n">
        <f aca="false">IF(AF$5&lt;=$B24,AF17,MAX(0,AE24*(1+AF$16)+AF$13))</f>
        <v>1085210.00565771</v>
      </c>
    </row>
    <row r="25" customFormat="false" ht="15" hidden="false" customHeight="true" outlineLevel="0" collapsed="false">
      <c r="B25" s="67" t="n">
        <v>2029</v>
      </c>
      <c r="C25" s="20" t="n">
        <f aca="false">C17</f>
        <v>0</v>
      </c>
      <c r="D25" s="20" t="n">
        <f aca="false">IF(D$5&lt;=$B25,D17,MAX(0,C25*(1+D$16)+D$13))</f>
        <v>0</v>
      </c>
      <c r="E25" s="20" t="n">
        <f aca="false">IF(E$5&lt;=$B25,E17,MAX(0,D25*(1+E$16)+E$13))</f>
        <v>0</v>
      </c>
      <c r="F25" s="20" t="n">
        <f aca="false">IF(F$5&lt;=$B25,F17,MAX(0,E25*(1+F$16)+F$13))</f>
        <v>0</v>
      </c>
      <c r="G25" s="20" t="n">
        <f aca="false">IF(G$5&lt;=$B25,G17,MAX(0,F25*(1+G$16)+G$13))</f>
        <v>0</v>
      </c>
      <c r="H25" s="20" t="n">
        <f aca="false">IF(H$5&lt;=$B25,H17,MAX(0,G25*(1+H$16)+H$13))</f>
        <v>0</v>
      </c>
      <c r="I25" s="20" t="n">
        <f aca="false">IF(I$5&lt;=$B25,I17,MAX(0,H25*(1+I$16)+I$13))</f>
        <v>0</v>
      </c>
      <c r="J25" s="20" t="n">
        <f aca="false">IF(J$5&lt;=$B25,J17,MAX(0,I25*(1+J$16)+J$13))</f>
        <v>0</v>
      </c>
      <c r="K25" s="20" t="n">
        <f aca="false">IF(K$5&lt;=$B25,K17,MAX(0,J25*(1+K$16)+K$13))</f>
        <v>16571.1643622519</v>
      </c>
      <c r="L25" s="20" t="n">
        <f aca="false">IF(L$5&lt;=$B25,L17,MAX(0,K25*(1+L$16)+L$13))</f>
        <v>34550.8776952952</v>
      </c>
      <c r="M25" s="20" t="n">
        <f aca="false">IF(M$5&lt;=$B25,M17,MAX(0,L25*(1+M$16)+M$13))</f>
        <v>54037.3241479762</v>
      </c>
      <c r="N25" s="20" t="n">
        <f aca="false">IF(N$5&lt;=$B25,N17,MAX(0,M25*(1+N$16)+N$13))</f>
        <v>75054.1464219093</v>
      </c>
      <c r="O25" s="20" t="n">
        <f aca="false">IF(O$5&lt;=$B25,O17,MAX(0,N25*(1+O$16)+O$13))</f>
        <v>97532.0835147822</v>
      </c>
      <c r="P25" s="20" t="n">
        <f aca="false">IF(P$5&lt;=$B25,P17,MAX(0,O25*(1+P$16)+P$13))</f>
        <v>121436.082775916</v>
      </c>
      <c r="Q25" s="20" t="n">
        <f aca="false">IF(Q$5&lt;=$B25,Q17,MAX(0,P25*(1+Q$16)+Q$13))</f>
        <v>146716.171835419</v>
      </c>
      <c r="R25" s="20" t="n">
        <f aca="false">IF(R$5&lt;=$B25,R17,MAX(0,Q25*(1+R$16)+R$13))</f>
        <v>173307.113684122</v>
      </c>
      <c r="S25" s="20" t="n">
        <f aca="false">IF(S$5&lt;=$B25,S17,MAX(0,R25*(1+S$16)+S$13))</f>
        <v>201128.268876965</v>
      </c>
      <c r="T25" s="20" t="n">
        <f aca="false">IF(T$5&lt;=$B25,T17,MAX(0,S25*(1+T$16)+T$13))</f>
        <v>230083.680493613</v>
      </c>
      <c r="U25" s="20" t="n">
        <f aca="false">IF(U$5&lt;=$B25,U17,MAX(0,T25*(1+U$16)+U$13))</f>
        <v>260062.393804993</v>
      </c>
      <c r="V25" s="20" t="n">
        <f aca="false">IF(V$5&lt;=$B25,V17,MAX(0,U25*(1+V$16)+V$13))</f>
        <v>326378.344573065</v>
      </c>
      <c r="W25" s="20" t="n">
        <f aca="false">IF(W$5&lt;=$B25,W17,MAX(0,V25*(1+W$16)+W$13))</f>
        <v>395455.510087011</v>
      </c>
      <c r="X25" s="20" t="n">
        <f aca="false">IF(X$5&lt;=$B25,X17,MAX(0,W25*(1+X$16)+X$13))</f>
        <v>467010.912730697</v>
      </c>
      <c r="Y25" s="20" t="n">
        <f aca="false">IF(Y$5&lt;=$B25,Y17,MAX(0,X25*(1+Y$16)+Y$13))</f>
        <v>540728.541485869</v>
      </c>
      <c r="Z25" s="20" t="n">
        <f aca="false">IF(Z$5&lt;=$B25,Z17,MAX(0,Y25*(1+Z$16)+Z$13))</f>
        <v>616261.848211955</v>
      </c>
      <c r="AA25" s="20" t="n">
        <f aca="false">IF(AA$5&lt;=$B25,AA17,MAX(0,Z25*(1+AA$16)+AA$13))</f>
        <v>693236.800765076</v>
      </c>
      <c r="AB25" s="20" t="n">
        <f aca="false">IF(AB$5&lt;=$B25,AB17,MAX(0,AA25*(1+AB$16)+AB$13))</f>
        <v>771255.459998892</v>
      </c>
      <c r="AC25" s="20" t="n">
        <f aca="false">IF(AC$5&lt;=$B25,AC17,MAX(0,AB25*(1+AC$16)+AC$13))</f>
        <v>849900.035386585</v>
      </c>
      <c r="AD25" s="20" t="n">
        <f aca="false">IF(AD$5&lt;=$B25,AD17,MAX(0,AC25*(1+AD$16)+AD$13))</f>
        <v>928737.362300346</v>
      </c>
      <c r="AE25" s="20" t="n">
        <f aca="false">IF(AE$5&lt;=$B25,AE17,MAX(0,AD25*(1+AE$16)+AE$13))</f>
        <v>1007323.73322167</v>
      </c>
      <c r="AF25" s="20" t="n">
        <f aca="false">IF(AF$5&lt;=$B25,AF17,MAX(0,AE25*(1+AF$16)+AF$13))</f>
        <v>1085210.00565771</v>
      </c>
    </row>
    <row r="26" customFormat="false" ht="15" hidden="false" customHeight="true" outlineLevel="0" collapsed="false">
      <c r="B26" s="67" t="n">
        <v>2030</v>
      </c>
      <c r="C26" s="20" t="n">
        <f aca="false">C17</f>
        <v>0</v>
      </c>
      <c r="D26" s="20" t="n">
        <f aca="false">IF(D$5&lt;=$B26,D17,MAX(0,C26*(1+D$16)+D$13))</f>
        <v>0</v>
      </c>
      <c r="E26" s="20" t="n">
        <f aca="false">IF(E$5&lt;=$B26,E17,MAX(0,D26*(1+E$16)+E$13))</f>
        <v>0</v>
      </c>
      <c r="F26" s="20" t="n">
        <f aca="false">IF(F$5&lt;=$B26,F17,MAX(0,E26*(1+F$16)+F$13))</f>
        <v>0</v>
      </c>
      <c r="G26" s="20" t="n">
        <f aca="false">IF(G$5&lt;=$B26,G17,MAX(0,F26*(1+G$16)+G$13))</f>
        <v>0</v>
      </c>
      <c r="H26" s="20" t="n">
        <f aca="false">IF(H$5&lt;=$B26,H17,MAX(0,G26*(1+H$16)+H$13))</f>
        <v>0</v>
      </c>
      <c r="I26" s="20" t="n">
        <f aca="false">IF(I$5&lt;=$B26,I17,MAX(0,H26*(1+I$16)+I$13))</f>
        <v>0</v>
      </c>
      <c r="J26" s="20" t="n">
        <f aca="false">IF(J$5&lt;=$B26,J17,MAX(0,I26*(1+J$16)+J$13))</f>
        <v>0</v>
      </c>
      <c r="K26" s="20" t="n">
        <f aca="false">IF(K$5&lt;=$B26,K17,MAX(0,J26*(1+K$16)+K$13))</f>
        <v>16571.1643622519</v>
      </c>
      <c r="L26" s="20" t="n">
        <f aca="false">IF(L$5&lt;=$B26,L17,MAX(0,K26*(1+L$16)+L$13))</f>
        <v>34550.8776952952</v>
      </c>
      <c r="M26" s="20" t="n">
        <f aca="false">IF(M$5&lt;=$B26,M17,MAX(0,L26*(1+M$16)+M$13))</f>
        <v>54037.3241479762</v>
      </c>
      <c r="N26" s="20" t="n">
        <f aca="false">IF(N$5&lt;=$B26,N17,MAX(0,M26*(1+N$16)+N$13))</f>
        <v>75054.1464219093</v>
      </c>
      <c r="O26" s="20" t="n">
        <f aca="false">IF(O$5&lt;=$B26,O17,MAX(0,N26*(1+O$16)+O$13))</f>
        <v>97532.0835147822</v>
      </c>
      <c r="P26" s="20" t="n">
        <f aca="false">IF(P$5&lt;=$B26,P17,MAX(0,O26*(1+P$16)+P$13))</f>
        <v>121436.082775916</v>
      </c>
      <c r="Q26" s="20" t="n">
        <f aca="false">IF(Q$5&lt;=$B26,Q17,MAX(0,P26*(1+Q$16)+Q$13))</f>
        <v>146716.171835419</v>
      </c>
      <c r="R26" s="20" t="n">
        <f aca="false">IF(R$5&lt;=$B26,R17,MAX(0,Q26*(1+R$16)+R$13))</f>
        <v>173307.113684122</v>
      </c>
      <c r="S26" s="20" t="n">
        <f aca="false">IF(S$5&lt;=$B26,S17,MAX(0,R26*(1+S$16)+S$13))</f>
        <v>201128.268876965</v>
      </c>
      <c r="T26" s="20" t="n">
        <f aca="false">IF(T$5&lt;=$B26,T17,MAX(0,S26*(1+T$16)+T$13))</f>
        <v>230083.680493613</v>
      </c>
      <c r="U26" s="20" t="n">
        <f aca="false">IF(U$5&lt;=$B26,U17,MAX(0,T26*(1+U$16)+U$13))</f>
        <v>260062.393804993</v>
      </c>
      <c r="V26" s="20" t="n">
        <f aca="false">IF(V$5&lt;=$B26,V17,MAX(0,U26*(1+V$16)+V$13))</f>
        <v>326378.344573065</v>
      </c>
      <c r="W26" s="20" t="n">
        <f aca="false">IF(W$5&lt;=$B26,W17,MAX(0,V26*(1+W$16)+W$13))</f>
        <v>395455.510087011</v>
      </c>
      <c r="X26" s="20" t="n">
        <f aca="false">IF(X$5&lt;=$B26,X17,MAX(0,W26*(1+X$16)+X$13))</f>
        <v>467010.912730697</v>
      </c>
      <c r="Y26" s="20" t="n">
        <f aca="false">IF(Y$5&lt;=$B26,Y17,MAX(0,X26*(1+Y$16)+Y$13))</f>
        <v>540728.541485869</v>
      </c>
      <c r="Z26" s="20" t="n">
        <f aca="false">IF(Z$5&lt;=$B26,Z17,MAX(0,Y26*(1+Z$16)+Z$13))</f>
        <v>616261.848211955</v>
      </c>
      <c r="AA26" s="20" t="n">
        <f aca="false">IF(AA$5&lt;=$B26,AA17,MAX(0,Z26*(1+AA$16)+AA$13))</f>
        <v>693236.800765076</v>
      </c>
      <c r="AB26" s="20" t="n">
        <f aca="false">IF(AB$5&lt;=$B26,AB17,MAX(0,AA26*(1+AB$16)+AB$13))</f>
        <v>771255.459998892</v>
      </c>
      <c r="AC26" s="20" t="n">
        <f aca="false">IF(AC$5&lt;=$B26,AC17,MAX(0,AB26*(1+AC$16)+AC$13))</f>
        <v>849900.035386585</v>
      </c>
      <c r="AD26" s="20" t="n">
        <f aca="false">IF(AD$5&lt;=$B26,AD17,MAX(0,AC26*(1+AD$16)+AD$13))</f>
        <v>928737.362300346</v>
      </c>
      <c r="AE26" s="20" t="n">
        <f aca="false">IF(AE$5&lt;=$B26,AE17,MAX(0,AD26*(1+AE$16)+AE$13))</f>
        <v>1007323.73322167</v>
      </c>
      <c r="AF26" s="20" t="n">
        <f aca="false">IF(AF$5&lt;=$B26,AF17,MAX(0,AE26*(1+AF$16)+AF$13))</f>
        <v>1085210.00565771</v>
      </c>
    </row>
    <row r="27" customFormat="false" ht="15" hidden="false" customHeight="true" outlineLevel="0" collapsed="false">
      <c r="B27" s="67" t="n">
        <v>2031</v>
      </c>
      <c r="C27" s="20" t="n">
        <f aca="false">C17</f>
        <v>0</v>
      </c>
      <c r="D27" s="20" t="n">
        <f aca="false">IF(D$5&lt;=$B27,D17,MAX(0,C27*(1+D$16)+D$13))</f>
        <v>0</v>
      </c>
      <c r="E27" s="20" t="n">
        <f aca="false">IF(E$5&lt;=$B27,E17,MAX(0,D27*(1+E$16)+E$13))</f>
        <v>0</v>
      </c>
      <c r="F27" s="20" t="n">
        <f aca="false">IF(F$5&lt;=$B27,F17,MAX(0,E27*(1+F$16)+F$13))</f>
        <v>0</v>
      </c>
      <c r="G27" s="20" t="n">
        <f aca="false">IF(G$5&lt;=$B27,G17,MAX(0,F27*(1+G$16)+G$13))</f>
        <v>0</v>
      </c>
      <c r="H27" s="20" t="n">
        <f aca="false">IF(H$5&lt;=$B27,H17,MAX(0,G27*(1+H$16)+H$13))</f>
        <v>0</v>
      </c>
      <c r="I27" s="20" t="n">
        <f aca="false">IF(I$5&lt;=$B27,I17,MAX(0,H27*(1+I$16)+I$13))</f>
        <v>0</v>
      </c>
      <c r="J27" s="20" t="n">
        <f aca="false">IF(J$5&lt;=$B27,J17,MAX(0,I27*(1+J$16)+J$13))</f>
        <v>0</v>
      </c>
      <c r="K27" s="20" t="n">
        <f aca="false">IF(K$5&lt;=$B27,K17,MAX(0,J27*(1+K$16)+K$13))</f>
        <v>16571.1643622519</v>
      </c>
      <c r="L27" s="20" t="n">
        <f aca="false">IF(L$5&lt;=$B27,L17,MAX(0,K27*(1+L$16)+L$13))</f>
        <v>34550.8776952952</v>
      </c>
      <c r="M27" s="20" t="n">
        <f aca="false">IF(M$5&lt;=$B27,M17,MAX(0,L27*(1+M$16)+M$13))</f>
        <v>54037.3241479762</v>
      </c>
      <c r="N27" s="20" t="n">
        <f aca="false">IF(N$5&lt;=$B27,N17,MAX(0,M27*(1+N$16)+N$13))</f>
        <v>75054.1464219093</v>
      </c>
      <c r="O27" s="20" t="n">
        <f aca="false">IF(O$5&lt;=$B27,O17,MAX(0,N27*(1+O$16)+O$13))</f>
        <v>97532.0835147822</v>
      </c>
      <c r="P27" s="20" t="n">
        <f aca="false">IF(P$5&lt;=$B27,P17,MAX(0,O27*(1+P$16)+P$13))</f>
        <v>121436.082775916</v>
      </c>
      <c r="Q27" s="20" t="n">
        <f aca="false">IF(Q$5&lt;=$B27,Q17,MAX(0,P27*(1+Q$16)+Q$13))</f>
        <v>146716.171835419</v>
      </c>
      <c r="R27" s="20" t="n">
        <f aca="false">IF(R$5&lt;=$B27,R17,MAX(0,Q27*(1+R$16)+R$13))</f>
        <v>173307.113684122</v>
      </c>
      <c r="S27" s="20" t="n">
        <f aca="false">IF(S$5&lt;=$B27,S17,MAX(0,R27*(1+S$16)+S$13))</f>
        <v>201128.268876965</v>
      </c>
      <c r="T27" s="20" t="n">
        <f aca="false">IF(T$5&lt;=$B27,T17,MAX(0,S27*(1+T$16)+T$13))</f>
        <v>230083.680493613</v>
      </c>
      <c r="U27" s="20" t="n">
        <f aca="false">IF(U$5&lt;=$B27,U17,MAX(0,T27*(1+U$16)+U$13))</f>
        <v>260062.393804993</v>
      </c>
      <c r="V27" s="20" t="n">
        <f aca="false">IF(V$5&lt;=$B27,V17,MAX(0,U27*(1+V$16)+V$13))</f>
        <v>326378.344573065</v>
      </c>
      <c r="W27" s="20" t="n">
        <f aca="false">IF(W$5&lt;=$B27,W17,MAX(0,V27*(1+W$16)+W$13))</f>
        <v>395455.510087011</v>
      </c>
      <c r="X27" s="20" t="n">
        <f aca="false">IF(X$5&lt;=$B27,X17,MAX(0,W27*(1+X$16)+X$13))</f>
        <v>467010.912730697</v>
      </c>
      <c r="Y27" s="20" t="n">
        <f aca="false">IF(Y$5&lt;=$B27,Y17,MAX(0,X27*(1+Y$16)+Y$13))</f>
        <v>540728.541485869</v>
      </c>
      <c r="Z27" s="20" t="n">
        <f aca="false">IF(Z$5&lt;=$B27,Z17,MAX(0,Y27*(1+Z$16)+Z$13))</f>
        <v>616261.848211955</v>
      </c>
      <c r="AA27" s="20" t="n">
        <f aca="false">IF(AA$5&lt;=$B27,AA17,MAX(0,Z27*(1+AA$16)+AA$13))</f>
        <v>693236.800765076</v>
      </c>
      <c r="AB27" s="20" t="n">
        <f aca="false">IF(AB$5&lt;=$B27,AB17,MAX(0,AA27*(1+AB$16)+AB$13))</f>
        <v>771255.459998892</v>
      </c>
      <c r="AC27" s="20" t="n">
        <f aca="false">IF(AC$5&lt;=$B27,AC17,MAX(0,AB27*(1+AC$16)+AC$13))</f>
        <v>849900.035386585</v>
      </c>
      <c r="AD27" s="20" t="n">
        <f aca="false">IF(AD$5&lt;=$B27,AD17,MAX(0,AC27*(1+AD$16)+AD$13))</f>
        <v>928737.362300346</v>
      </c>
      <c r="AE27" s="20" t="n">
        <f aca="false">IF(AE$5&lt;=$B27,AE17,MAX(0,AD27*(1+AE$16)+AE$13))</f>
        <v>1007323.73322167</v>
      </c>
      <c r="AF27" s="20" t="n">
        <f aca="false">IF(AF$5&lt;=$B27,AF17,MAX(0,AE27*(1+AF$16)+AF$13))</f>
        <v>1085210.00565771</v>
      </c>
    </row>
    <row r="28" customFormat="false" ht="15" hidden="false" customHeight="true" outlineLevel="0" collapsed="false">
      <c r="B28" s="67" t="n">
        <v>2032</v>
      </c>
      <c r="C28" s="20" t="n">
        <f aca="false">C17</f>
        <v>0</v>
      </c>
      <c r="D28" s="20" t="n">
        <f aca="false">IF(D$5&lt;=$B28,D17,MAX(0,C28*(1+D$16)+D$13))</f>
        <v>0</v>
      </c>
      <c r="E28" s="20" t="n">
        <f aca="false">IF(E$5&lt;=$B28,E17,MAX(0,D28*(1+E$16)+E$13))</f>
        <v>0</v>
      </c>
      <c r="F28" s="20" t="n">
        <f aca="false">IF(F$5&lt;=$B28,F17,MAX(0,E28*(1+F$16)+F$13))</f>
        <v>0</v>
      </c>
      <c r="G28" s="20" t="n">
        <f aca="false">IF(G$5&lt;=$B28,G17,MAX(0,F28*(1+G$16)+G$13))</f>
        <v>0</v>
      </c>
      <c r="H28" s="20" t="n">
        <f aca="false">IF(H$5&lt;=$B28,H17,MAX(0,G28*(1+H$16)+H$13))</f>
        <v>0</v>
      </c>
      <c r="I28" s="20" t="n">
        <f aca="false">IF(I$5&lt;=$B28,I17,MAX(0,H28*(1+I$16)+I$13))</f>
        <v>30077.0962523597</v>
      </c>
      <c r="J28" s="20" t="n">
        <f aca="false">IF(J$5&lt;=$B28,J17,MAX(0,I28*(1+J$16)+J$13))</f>
        <v>17783.2187382581</v>
      </c>
      <c r="K28" s="20" t="n">
        <f aca="false">IF(K$5&lt;=$B28,K17,MAX(0,J28*(1+K$16)+K$13))</f>
        <v>35510.2923184968</v>
      </c>
      <c r="L28" s="20" t="n">
        <f aca="false">IF(L$5&lt;=$B28,L17,MAX(0,K28*(1+L$16)+L$13))</f>
        <v>54721.048968696</v>
      </c>
      <c r="M28" s="20" t="n">
        <f aca="false">IF(M$5&lt;=$B28,M17,MAX(0,L28*(1+M$16)+M$13))</f>
        <v>75518.5565541481</v>
      </c>
      <c r="N28" s="20" t="n">
        <f aca="false">IF(N$5&lt;=$B28,N17,MAX(0,M28*(1+N$16)+N$13))</f>
        <v>97899.4370858731</v>
      </c>
      <c r="O28" s="20" t="n">
        <f aca="false">IF(O$5&lt;=$B28,O17,MAX(0,N28*(1+O$16)+O$13))</f>
        <v>121759.514263916</v>
      </c>
      <c r="P28" s="20" t="n">
        <f aca="false">IF(P$5&lt;=$B28,P17,MAX(0,O28*(1+P$16)+P$13))</f>
        <v>147056.590793125</v>
      </c>
      <c r="Q28" s="20" t="n">
        <f aca="false">IF(Q$5&lt;=$B28,Q17,MAX(0,P28*(1+Q$16)+Q$13))</f>
        <v>173732.997539566</v>
      </c>
      <c r="R28" s="20" t="n">
        <f aca="false">IF(R$5&lt;=$B28,R17,MAX(0,Q28*(1+R$16)+R$13))</f>
        <v>201715.305912032</v>
      </c>
      <c r="S28" s="20" t="n">
        <f aca="false">IF(S$5&lt;=$B28,S17,MAX(0,R28*(1+S$16)+S$13))</f>
        <v>230914.258427929</v>
      </c>
      <c r="T28" s="20" t="n">
        <f aca="false">IF(T$5&lt;=$B28,T17,MAX(0,S28*(1+T$16)+T$13))</f>
        <v>261224.932569146</v>
      </c>
      <c r="U28" s="20" t="n">
        <f aca="false">IF(U$5&lt;=$B28,U17,MAX(0,T28*(1+U$16)+U$13))</f>
        <v>292527.149093736</v>
      </c>
      <c r="V28" s="20" t="n">
        <f aca="false">IF(V$5&lt;=$B28,V17,MAX(0,U28*(1+V$16)+V$13))</f>
        <v>360125.457695713</v>
      </c>
      <c r="W28" s="20" t="n">
        <f aca="false">IF(W$5&lt;=$B28,W17,MAX(0,V28*(1+W$16)+W$13))</f>
        <v>430434.392838636</v>
      </c>
      <c r="X28" s="20" t="n">
        <f aca="false">IF(X$5&lt;=$B28,X17,MAX(0,W28*(1+X$16)+X$13))</f>
        <v>503161.588054501</v>
      </c>
      <c r="Y28" s="20" t="n">
        <f aca="false">IF(Y$5&lt;=$B28,Y17,MAX(0,X28*(1+Y$16)+Y$13))</f>
        <v>577981.81240705</v>
      </c>
      <c r="Z28" s="20" t="n">
        <f aca="false">IF(Z$5&lt;=$B28,Z17,MAX(0,Y28*(1+Z$16)+Z$13))</f>
        <v>654539.584083467</v>
      </c>
      <c r="AA28" s="20" t="n">
        <f aca="false">IF(AA$5&lt;=$B28,AA17,MAX(0,Z28*(1+AA$16)+AA$13))</f>
        <v>732452.341165441</v>
      </c>
      <c r="AB28" s="20" t="n">
        <f aca="false">IF(AB$5&lt;=$B28,AB17,MAX(0,AA28*(1+AB$16)+AB$13))</f>
        <v>811314.134517864</v>
      </c>
      <c r="AC28" s="20" t="n">
        <f aca="false">IF(AC$5&lt;=$B28,AC17,MAX(0,AB28*(1+AC$16)+AC$13))</f>
        <v>890699.795384159</v>
      </c>
      <c r="AD28" s="20" t="n">
        <f aca="false">IF(AD$5&lt;=$B28,AD17,MAX(0,AC28*(1+AD$16)+AD$13))</f>
        <v>970169.518577882</v>
      </c>
      <c r="AE28" s="20" t="n">
        <f aca="false">IF(AE$5&lt;=$B28,AE17,MAX(0,AD28*(1+AE$16)+AE$13))</f>
        <v>1049273.79145268</v>
      </c>
      <c r="AF28" s="20" t="n">
        <f aca="false">IF(AF$5&lt;=$B28,AF17,MAX(0,AE28*(1+AF$16)+AF$13))</f>
        <v>1127558.58944191</v>
      </c>
    </row>
    <row r="29" customFormat="false" ht="15" hidden="false" customHeight="true" outlineLevel="0" collapsed="false">
      <c r="B29" s="67" t="n">
        <v>2033</v>
      </c>
      <c r="C29" s="20" t="n">
        <f aca="false">C17</f>
        <v>0</v>
      </c>
      <c r="D29" s="20" t="n">
        <f aca="false">IF(D$5&lt;=$B29,D17,MAX(0,C29*(1+D$16)+D$13))</f>
        <v>0</v>
      </c>
      <c r="E29" s="20" t="n">
        <f aca="false">IF(E$5&lt;=$B29,E17,MAX(0,D29*(1+E$16)+E$13))</f>
        <v>0</v>
      </c>
      <c r="F29" s="20" t="n">
        <f aca="false">IF(F$5&lt;=$B29,F17,MAX(0,E29*(1+F$16)+F$13))</f>
        <v>0</v>
      </c>
      <c r="G29" s="20" t="n">
        <f aca="false">IF(G$5&lt;=$B29,G17,MAX(0,F29*(1+G$16)+G$13))</f>
        <v>0</v>
      </c>
      <c r="H29" s="20" t="n">
        <f aca="false">IF(H$5&lt;=$B29,H17,MAX(0,G29*(1+H$16)+H$13))</f>
        <v>0</v>
      </c>
      <c r="I29" s="20" t="n">
        <f aca="false">IF(I$5&lt;=$B29,I17,MAX(0,H29*(1+I$16)+I$13))</f>
        <v>30077.0962523597</v>
      </c>
      <c r="J29" s="20" t="n">
        <f aca="false">IF(J$5&lt;=$B29,J17,MAX(0,I29*(1+J$16)+J$13))</f>
        <v>62890.7456861701</v>
      </c>
      <c r="K29" s="20" t="n">
        <f aca="false">IF(K$5&lt;=$B29,K17,MAX(0,J29*(1+K$16)+K$13))</f>
        <v>83549.808518023</v>
      </c>
      <c r="L29" s="20" t="n">
        <f aca="false">IF(L$5&lt;=$B29,L17,MAX(0,K29*(1+L$16)+L$13))</f>
        <v>105883.133721191</v>
      </c>
      <c r="M29" s="20" t="n">
        <f aca="false">IF(M$5&lt;=$B29,M17,MAX(0,L29*(1+M$16)+M$13))</f>
        <v>130006.176815556</v>
      </c>
      <c r="N29" s="20" t="n">
        <f aca="false">IF(N$5&lt;=$B29,N17,MAX(0,M29*(1+N$16)+N$13))</f>
        <v>155847.02123388</v>
      </c>
      <c r="O29" s="20" t="n">
        <f aca="false">IF(O$5&lt;=$B29,O17,MAX(0,N29*(1+O$16)+O$13))</f>
        <v>183212.927252877</v>
      </c>
      <c r="P29" s="20" t="n">
        <f aca="false">IF(P$5&lt;=$B29,P17,MAX(0,O29*(1+P$16)+P$13))</f>
        <v>212043.575028952</v>
      </c>
      <c r="Q29" s="20" t="n">
        <f aca="false">IF(Q$5&lt;=$B29,Q17,MAX(0,P29*(1+Q$16)+Q$13))</f>
        <v>242261.772416245</v>
      </c>
      <c r="R29" s="20" t="n">
        <f aca="false">IF(R$5&lt;=$B29,R17,MAX(0,Q29*(1+R$16)+R$13))</f>
        <v>273773.312694861</v>
      </c>
      <c r="S29" s="20" t="n">
        <f aca="false">IF(S$5&lt;=$B29,S17,MAX(0,R29*(1+S$16)+S$13))</f>
        <v>306467.078539724</v>
      </c>
      <c r="T29" s="20" t="n">
        <f aca="false">IF(T$5&lt;=$B29,T17,MAX(0,S29*(1+T$16)+T$13))</f>
        <v>340215.405996028</v>
      </c>
      <c r="U29" s="20" t="n">
        <f aca="false">IF(U$5&lt;=$B29,U17,MAX(0,T29*(1+U$16)+U$13))</f>
        <v>374874.71764126</v>
      </c>
      <c r="V29" s="20" t="n">
        <f aca="false">IF(V$5&lt;=$B29,V17,MAX(0,U29*(1+V$16)+V$13))</f>
        <v>445725.755200864</v>
      </c>
      <c r="W29" s="20" t="n">
        <f aca="false">IF(W$5&lt;=$B29,W17,MAX(0,V29*(1+W$16)+W$13))</f>
        <v>519159.101202726</v>
      </c>
      <c r="X29" s="20" t="n">
        <f aca="false">IF(X$5&lt;=$B29,X17,MAX(0,W29*(1+X$16)+X$13))</f>
        <v>594858.574148788</v>
      </c>
      <c r="Y29" s="20" t="n">
        <f aca="false">IF(Y$5&lt;=$B29,Y17,MAX(0,X29*(1+Y$16)+Y$13))</f>
        <v>672475.556577212</v>
      </c>
      <c r="Z29" s="20" t="n">
        <f aca="false">IF(Z$5&lt;=$B29,Z17,MAX(0,Y29*(1+Z$16)+Z$13))</f>
        <v>751631.906218309</v>
      </c>
      <c r="AA29" s="20" t="n">
        <f aca="false">IF(AA$5&lt;=$B29,AA17,MAX(0,Z29*(1+AA$16)+AA$13))</f>
        <v>831923.425192586</v>
      </c>
      <c r="AB29" s="20" t="n">
        <f aca="false">IF(AB$5&lt;=$B29,AB17,MAX(0,AA29*(1+AB$16)+AB$13))</f>
        <v>912923.846851594</v>
      </c>
      <c r="AC29" s="20" t="n">
        <f aca="false">IF(AC$5&lt;=$B29,AC17,MAX(0,AB29*(1+AC$16)+AC$13))</f>
        <v>994189.287396062</v>
      </c>
      <c r="AD29" s="20" t="n">
        <f aca="false">IF(AD$5&lt;=$B29,AD17,MAX(0,AC29*(1+AD$16)+AD$13))</f>
        <v>1075263.09771597</v>
      </c>
      <c r="AE29" s="20" t="n">
        <f aca="false">IF(AE$5&lt;=$B29,AE17,MAX(0,AD29*(1+AE$16)+AE$13))</f>
        <v>1155681.04032999</v>
      </c>
      <c r="AF29" s="20" t="n">
        <f aca="false">IF(AF$5&lt;=$B29,AF17,MAX(0,AE29*(1+AF$16)+AF$13))</f>
        <v>1234976.70718355</v>
      </c>
    </row>
    <row r="30" customFormat="false" ht="15" hidden="false" customHeight="true" outlineLevel="0" collapsed="false">
      <c r="B30" s="67" t="n">
        <v>2034</v>
      </c>
      <c r="C30" s="20" t="n">
        <f aca="false">C17</f>
        <v>0</v>
      </c>
      <c r="D30" s="20" t="n">
        <f aca="false">IF(D$5&lt;=$B30,D17,MAX(0,C30*(1+D$16)+D$13))</f>
        <v>0</v>
      </c>
      <c r="E30" s="20" t="n">
        <f aca="false">IF(E$5&lt;=$B30,E17,MAX(0,D30*(1+E$16)+E$13))</f>
        <v>0</v>
      </c>
      <c r="F30" s="20" t="n">
        <f aca="false">IF(F$5&lt;=$B30,F17,MAX(0,E30*(1+F$16)+F$13))</f>
        <v>0</v>
      </c>
      <c r="G30" s="20" t="n">
        <f aca="false">IF(G$5&lt;=$B30,G17,MAX(0,F30*(1+G$16)+G$13))</f>
        <v>0</v>
      </c>
      <c r="H30" s="20" t="n">
        <f aca="false">IF(H$5&lt;=$B30,H17,MAX(0,G30*(1+H$16)+H$13))</f>
        <v>0</v>
      </c>
      <c r="I30" s="20" t="n">
        <f aca="false">IF(I$5&lt;=$B30,I17,MAX(0,H30*(1+I$16)+I$13))</f>
        <v>30077.0962523597</v>
      </c>
      <c r="J30" s="20" t="n">
        <f aca="false">IF(J$5&lt;=$B30,J17,MAX(0,I30*(1+J$16)+J$13))</f>
        <v>62890.7456861701</v>
      </c>
      <c r="K30" s="20" t="n">
        <f aca="false">IF(K$5&lt;=$B30,K17,MAX(0,J30*(1+K$16)+K$13))</f>
        <v>129559.486004893</v>
      </c>
      <c r="L30" s="20" t="n">
        <f aca="false">IF(L$5&lt;=$B30,L17,MAX(0,K30*(1+L$16)+L$13))</f>
        <v>154883.440244708</v>
      </c>
      <c r="M30" s="20" t="n">
        <f aca="false">IF(M$5&lt;=$B30,M17,MAX(0,L30*(1+M$16)+M$13))</f>
        <v>182191.503263101</v>
      </c>
      <c r="N30" s="20" t="n">
        <f aca="false">IF(N$5&lt;=$B30,N17,MAX(0,M30*(1+N$16)+N$13))</f>
        <v>211346.115910844</v>
      </c>
      <c r="O30" s="20" t="n">
        <f aca="false">IF(O$5&lt;=$B30,O17,MAX(0,N30*(1+O$16)+O$13))</f>
        <v>242069.717157798</v>
      </c>
      <c r="P30" s="20" t="n">
        <f aca="false">IF(P$5&lt;=$B30,P17,MAX(0,O30*(1+P$16)+P$13))</f>
        <v>274284.630353406</v>
      </c>
      <c r="Q30" s="20" t="n">
        <f aca="false">IF(Q$5&lt;=$B30,Q17,MAX(0,P30*(1+Q$16)+Q$13))</f>
        <v>307894.965255881</v>
      </c>
      <c r="R30" s="20" t="n">
        <f aca="false">IF(R$5&lt;=$B30,R17,MAX(0,Q30*(1+R$16)+R$13))</f>
        <v>342786.614965738</v>
      </c>
      <c r="S30" s="20" t="n">
        <f aca="false">IF(S$5&lt;=$B30,S17,MAX(0,R30*(1+S$16)+S$13))</f>
        <v>378827.52597074</v>
      </c>
      <c r="T30" s="20" t="n">
        <f aca="false">IF(T$5&lt;=$B30,T17,MAX(0,S30*(1+T$16)+T$13))</f>
        <v>415868.253785154</v>
      </c>
      <c r="U30" s="20" t="n">
        <f aca="false">IF(U$5&lt;=$B30,U17,MAX(0,T30*(1+U$16)+U$13))</f>
        <v>453742.811461424</v>
      </c>
      <c r="V30" s="20" t="n">
        <f aca="false">IF(V$5&lt;=$B30,V17,MAX(0,U30*(1+V$16)+V$13))</f>
        <v>527709.138726925</v>
      </c>
      <c r="W30" s="20" t="n">
        <f aca="false">IF(W$5&lt;=$B30,W17,MAX(0,V30*(1+W$16)+W$13))</f>
        <v>604134.878227488</v>
      </c>
      <c r="X30" s="20" t="n">
        <f aca="false">IF(X$5&lt;=$B30,X17,MAX(0,W30*(1+X$16)+X$13))</f>
        <v>682681.03970388</v>
      </c>
      <c r="Y30" s="20" t="n">
        <f aca="false">IF(Y$5&lt;=$B30,Y17,MAX(0,X30*(1+Y$16)+Y$13))</f>
        <v>762976.607331734</v>
      </c>
      <c r="Z30" s="20" t="n">
        <f aca="false">IF(Z$5&lt;=$B30,Z17,MAX(0,Y30*(1+Z$16)+Z$13))</f>
        <v>844621.735868581</v>
      </c>
      <c r="AA30" s="20" t="n">
        <f aca="false">IF(AA$5&lt;=$B30,AA17,MAX(0,Z30*(1+AA$16)+AA$13))</f>
        <v>927191.505669289</v>
      </c>
      <c r="AB30" s="20" t="n">
        <f aca="false">IF(AB$5&lt;=$B30,AB17,MAX(0,AA30*(1+AB$16)+AB$13))</f>
        <v>1010240.19105855</v>
      </c>
      <c r="AC30" s="20" t="n">
        <f aca="false">IF(AC$5&lt;=$B30,AC17,MAX(0,AB30*(1+AC$16)+AC$13))</f>
        <v>1093305.98397084</v>
      </c>
      <c r="AD30" s="20" t="n">
        <f aca="false">IF(AD$5&lt;=$B30,AD17,MAX(0,AC30*(1+AD$16)+AD$13))</f>
        <v>1175916.10308766</v>
      </c>
      <c r="AE30" s="20" t="n">
        <f aca="false">IF(AE$5&lt;=$B30,AE17,MAX(0,AD30*(1+AE$16)+AE$13))</f>
        <v>1257592.20826883</v>
      </c>
      <c r="AF30" s="20" t="n">
        <f aca="false">IF(AF$5&lt;=$B30,AF17,MAX(0,AE30*(1+AF$16)+AF$13))</f>
        <v>1337856.03121781</v>
      </c>
    </row>
    <row r="31" customFormat="false" ht="15" hidden="false" customHeight="true" outlineLevel="0" collapsed="false">
      <c r="B31" s="67" t="n">
        <v>2035</v>
      </c>
      <c r="C31" s="20" t="n">
        <f aca="false">C17</f>
        <v>0</v>
      </c>
      <c r="D31" s="20" t="n">
        <f aca="false">IF(D$5&lt;=$B31,D17,MAX(0,C31*(1+D$16)+D$13))</f>
        <v>0</v>
      </c>
      <c r="E31" s="20" t="n">
        <f aca="false">IF(E$5&lt;=$B31,E17,MAX(0,D31*(1+E$16)+E$13))</f>
        <v>0</v>
      </c>
      <c r="F31" s="20" t="n">
        <f aca="false">IF(F$5&lt;=$B31,F17,MAX(0,E31*(1+F$16)+F$13))</f>
        <v>0</v>
      </c>
      <c r="G31" s="20" t="n">
        <f aca="false">IF(G$5&lt;=$B31,G17,MAX(0,F31*(1+G$16)+G$13))</f>
        <v>0</v>
      </c>
      <c r="H31" s="20" t="n">
        <f aca="false">IF(H$5&lt;=$B31,H17,MAX(0,G31*(1+H$16)+H$13))</f>
        <v>0</v>
      </c>
      <c r="I31" s="20" t="n">
        <f aca="false">IF(I$5&lt;=$B31,I17,MAX(0,H31*(1+I$16)+I$13))</f>
        <v>30077.0962523597</v>
      </c>
      <c r="J31" s="20" t="n">
        <f aca="false">IF(J$5&lt;=$B31,J17,MAX(0,I31*(1+J$16)+J$13))</f>
        <v>62890.7456861701</v>
      </c>
      <c r="K31" s="20" t="n">
        <f aca="false">IF(K$5&lt;=$B31,K17,MAX(0,J31*(1+K$16)+K$13))</f>
        <v>129559.486004893</v>
      </c>
      <c r="L31" s="20" t="n">
        <f aca="false">IF(L$5&lt;=$B31,L17,MAX(0,K31*(1+L$16)+L$13))</f>
        <v>201813.311281316</v>
      </c>
      <c r="M31" s="20" t="n">
        <f aca="false">IF(M$5&lt;=$B31,M17,MAX(0,L31*(1+M$16)+M$13))</f>
        <v>232171.815917088</v>
      </c>
      <c r="N31" s="20" t="n">
        <f aca="false">IF(N$5&lt;=$B31,N17,MAX(0,M31*(1+N$16)+N$13))</f>
        <v>264500.17841836</v>
      </c>
      <c r="O31" s="20" t="n">
        <f aca="false">IF(O$5&lt;=$B31,O17,MAX(0,N31*(1+O$16)+O$13))</f>
        <v>298439.600447018</v>
      </c>
      <c r="P31" s="20" t="n">
        <f aca="false">IF(P$5&lt;=$B31,P17,MAX(0,O31*(1+P$16)+P$13))</f>
        <v>333895.781931756</v>
      </c>
      <c r="Q31" s="20" t="n">
        <f aca="false">IF(Q$5&lt;=$B31,Q17,MAX(0,P31*(1+Q$16)+Q$13))</f>
        <v>370754.924595251</v>
      </c>
      <c r="R31" s="20" t="n">
        <f aca="false">IF(R$5&lt;=$B31,R17,MAX(0,Q31*(1+R$16)+R$13))</f>
        <v>408883.862211086</v>
      </c>
      <c r="S31" s="20" t="n">
        <f aca="false">IF(S$5&lt;=$B31,S17,MAX(0,R31*(1+S$16)+S$13))</f>
        <v>448130.489707487</v>
      </c>
      <c r="T31" s="20" t="n">
        <f aca="false">IF(T$5&lt;=$B31,T17,MAX(0,S31*(1+T$16)+T$13))</f>
        <v>488324.502371923</v>
      </c>
      <c r="U31" s="20" t="n">
        <f aca="false">IF(U$5&lt;=$B31,U17,MAX(0,T31*(1+U$16)+U$13))</f>
        <v>529278.450613131</v>
      </c>
      <c r="V31" s="20" t="n">
        <f aca="false">IF(V$5&lt;=$B31,V17,MAX(0,U31*(1+V$16)+V$13))</f>
        <v>606228.435625124</v>
      </c>
      <c r="W31" s="20" t="n">
        <f aca="false">IF(W$5&lt;=$B31,W17,MAX(0,V31*(1+W$16)+W$13))</f>
        <v>685520.129462472</v>
      </c>
      <c r="X31" s="20" t="n">
        <f aca="false">IF(X$5&lt;=$B31,X17,MAX(0,W31*(1+X$16)+X$13))</f>
        <v>766792.696855235</v>
      </c>
      <c r="Y31" s="20" t="n">
        <f aca="false">IF(Y$5&lt;=$B31,Y17,MAX(0,X31*(1+Y$16)+Y$13))</f>
        <v>849653.670026206</v>
      </c>
      <c r="Z31" s="20" t="n">
        <f aca="false">IF(Z$5&lt;=$B31,Z17,MAX(0,Y31*(1+Z$16)+Z$13))</f>
        <v>933682.41778715</v>
      </c>
      <c r="AA31" s="20" t="n">
        <f aca="false">IF(AA$5&lt;=$B31,AA17,MAX(0,Z31*(1+AA$16)+AA$13))</f>
        <v>1018434.17429486</v>
      </c>
      <c r="AB31" s="20" t="n">
        <f aca="false">IF(AB$5&lt;=$B31,AB17,MAX(0,AA31*(1+AB$16)+AB$13))</f>
        <v>1103444.57705957</v>
      </c>
      <c r="AC31" s="20" t="n">
        <f aca="false">IF(AC$5&lt;=$B31,AC17,MAX(0,AB31*(1+AC$16)+AC$13))</f>
        <v>1188234.65111289</v>
      </c>
      <c r="AD31" s="20" t="n">
        <f aca="false">IF(AD$5&lt;=$B31,AD17,MAX(0,AC31*(1+AD$16)+AD$13))</f>
        <v>1272316.1645704</v>
      </c>
      <c r="AE31" s="20" t="n">
        <f aca="false">IF(AE$5&lt;=$B31,AE17,MAX(0,AD31*(1+AE$16)+AE$13))</f>
        <v>1355197.27052011</v>
      </c>
      <c r="AF31" s="20" t="n">
        <f aca="false">IF(AF$5&lt;=$B31,AF17,MAX(0,AE31*(1+AF$16)+AF$13))</f>
        <v>1436388.34156048</v>
      </c>
    </row>
    <row r="32" customFormat="false" ht="15" hidden="false" customHeight="true" outlineLevel="0" collapsed="false">
      <c r="B32" s="67" t="n">
        <v>2036</v>
      </c>
      <c r="C32" s="20" t="n">
        <f aca="false">C17</f>
        <v>0</v>
      </c>
      <c r="D32" s="20" t="n">
        <f aca="false">IF(D$5&lt;=$B32,D17,MAX(0,C32*(1+D$16)+D$13))</f>
        <v>0</v>
      </c>
      <c r="E32" s="20" t="n">
        <f aca="false">IF(E$5&lt;=$B32,E17,MAX(0,D32*(1+E$16)+E$13))</f>
        <v>0</v>
      </c>
      <c r="F32" s="20" t="n">
        <f aca="false">IF(F$5&lt;=$B32,F17,MAX(0,E32*(1+F$16)+F$13))</f>
        <v>0</v>
      </c>
      <c r="G32" s="20" t="n">
        <f aca="false">IF(G$5&lt;=$B32,G17,MAX(0,F32*(1+G$16)+G$13))</f>
        <v>0</v>
      </c>
      <c r="H32" s="20" t="n">
        <f aca="false">IF(H$5&lt;=$B32,H17,MAX(0,G32*(1+H$16)+H$13))</f>
        <v>0</v>
      </c>
      <c r="I32" s="20" t="n">
        <f aca="false">IF(I$5&lt;=$B32,I17,MAX(0,H32*(1+I$16)+I$13))</f>
        <v>30077.0962523597</v>
      </c>
      <c r="J32" s="20" t="n">
        <f aca="false">IF(J$5&lt;=$B32,J17,MAX(0,I32*(1+J$16)+J$13))</f>
        <v>62890.7456861701</v>
      </c>
      <c r="K32" s="20" t="n">
        <f aca="false">IF(K$5&lt;=$B32,K17,MAX(0,J32*(1+K$16)+K$13))</f>
        <v>129559.486004893</v>
      </c>
      <c r="L32" s="20" t="n">
        <f aca="false">IF(L$5&lt;=$B32,L17,MAX(0,K32*(1+L$16)+L$13))</f>
        <v>201813.311281316</v>
      </c>
      <c r="M32" s="20" t="n">
        <f aca="false">IF(M$5&lt;=$B32,M17,MAX(0,L32*(1+M$16)+M$13))</f>
        <v>280040.284374428</v>
      </c>
      <c r="N32" s="20" t="n">
        <f aca="false">IF(N$5&lt;=$B32,N17,MAX(0,M32*(1+N$16)+N$13))</f>
        <v>315408.29462274</v>
      </c>
      <c r="O32" s="20" t="n">
        <f aca="false">IF(O$5&lt;=$B32,O17,MAX(0,N32*(1+O$16)+O$13))</f>
        <v>352427.657681763</v>
      </c>
      <c r="P32" s="20" t="n">
        <f aca="false">IF(P$5&lt;=$B32,P17,MAX(0,O32*(1+P$16)+P$13))</f>
        <v>390988.152457499</v>
      </c>
      <c r="Q32" s="20" t="n">
        <f aca="false">IF(Q$5&lt;=$B32,Q17,MAX(0,P32*(1+Q$16)+Q$13))</f>
        <v>430958.829314648</v>
      </c>
      <c r="R32" s="20" t="n">
        <f aca="false">IF(R$5&lt;=$B32,R17,MAX(0,Q32*(1+R$16)+R$13))</f>
        <v>472188.268023532</v>
      </c>
      <c r="S32" s="20" t="n">
        <f aca="false">IF(S$5&lt;=$B32,S17,MAX(0,R32*(1+S$16)+S$13))</f>
        <v>514505.159201836</v>
      </c>
      <c r="T32" s="20" t="n">
        <f aca="false">IF(T$5&lt;=$B32,T17,MAX(0,S32*(1+T$16)+T$13))</f>
        <v>557719.219328265</v>
      </c>
      <c r="U32" s="20" t="n">
        <f aca="false">IF(U$5&lt;=$B32,U17,MAX(0,T32*(1+U$16)+U$13))</f>
        <v>601622.443040118</v>
      </c>
      <c r="V32" s="20" t="n">
        <f aca="false">IF(V$5&lt;=$B32,V17,MAX(0,U32*(1+V$16)+V$13))</f>
        <v>681430.015752977</v>
      </c>
      <c r="W32" s="20" t="n">
        <f aca="false">IF(W$5&lt;=$B32,W17,MAX(0,V32*(1+W$16)+W$13))</f>
        <v>763466.567264991</v>
      </c>
      <c r="X32" s="20" t="n">
        <f aca="false">IF(X$5&lt;=$B32,X17,MAX(0,W32*(1+X$16)+X$13))</f>
        <v>847350.340324139</v>
      </c>
      <c r="Y32" s="20" t="n">
        <f aca="false">IF(Y$5&lt;=$B32,Y17,MAX(0,X32*(1+Y$16)+Y$13))</f>
        <v>932668.321620911</v>
      </c>
      <c r="Z32" s="20" t="n">
        <f aca="false">IF(Z$5&lt;=$B32,Z17,MAX(0,Y32*(1+Z$16)+Z$13))</f>
        <v>1018979.97230071</v>
      </c>
      <c r="AA32" s="20" t="n">
        <f aca="false">IF(AA$5&lt;=$B32,AA17,MAX(0,Z32*(1+AA$16)+AA$13))</f>
        <v>1105821.51889401</v>
      </c>
      <c r="AB32" s="20" t="n">
        <f aca="false">IF(AB$5&lt;=$B32,AB17,MAX(0,AA32*(1+AB$16)+AB$13))</f>
        <v>1192710.74956759</v>
      </c>
      <c r="AC32" s="20" t="n">
        <f aca="false">IF(AC$5&lt;=$B32,AC17,MAX(0,AB32*(1+AC$16)+AC$13))</f>
        <v>1279152.24781231</v>
      </c>
      <c r="AD32" s="20" t="n">
        <f aca="false">IF(AD$5&lt;=$B32,AD17,MAX(0,AC32*(1+AD$16)+AD$13))</f>
        <v>1364642.98401867</v>
      </c>
      <c r="AE32" s="20" t="n">
        <f aca="false">IF(AE$5&lt;=$B32,AE17,MAX(0,AD32*(1+AE$16)+AE$13))</f>
        <v>1448678.17521147</v>
      </c>
      <c r="AF32" s="20" t="n">
        <f aca="false">IF(AF$5&lt;=$B32,AF17,MAX(0,AE32*(1+AF$16)+AF$13))</f>
        <v>1530757.31484641</v>
      </c>
    </row>
    <row r="33" customFormat="false" ht="15" hidden="false" customHeight="true" outlineLevel="0" collapsed="false">
      <c r="B33" s="67" t="n">
        <v>2037</v>
      </c>
      <c r="C33" s="20" t="n">
        <f aca="false">C17</f>
        <v>0</v>
      </c>
      <c r="D33" s="20" t="n">
        <f aca="false">IF(D$5&lt;=$B33,D17,MAX(0,C33*(1+D$16)+D$13))</f>
        <v>0</v>
      </c>
      <c r="E33" s="20" t="n">
        <f aca="false">IF(E$5&lt;=$B33,E17,MAX(0,D33*(1+E$16)+E$13))</f>
        <v>0</v>
      </c>
      <c r="F33" s="20" t="n">
        <f aca="false">IF(F$5&lt;=$B33,F17,MAX(0,E33*(1+F$16)+F$13))</f>
        <v>0</v>
      </c>
      <c r="G33" s="20" t="n">
        <f aca="false">IF(G$5&lt;=$B33,G17,MAX(0,F33*(1+G$16)+G$13))</f>
        <v>0</v>
      </c>
      <c r="H33" s="20" t="n">
        <f aca="false">IF(H$5&lt;=$B33,H17,MAX(0,G33*(1+H$16)+H$13))</f>
        <v>0</v>
      </c>
      <c r="I33" s="20" t="n">
        <f aca="false">IF(I$5&lt;=$B33,I17,MAX(0,H33*(1+I$16)+I$13))</f>
        <v>30077.0962523597</v>
      </c>
      <c r="J33" s="20" t="n">
        <f aca="false">IF(J$5&lt;=$B33,J17,MAX(0,I33*(1+J$16)+J$13))</f>
        <v>62890.7456861701</v>
      </c>
      <c r="K33" s="20" t="n">
        <f aca="false">IF(K$5&lt;=$B33,K17,MAX(0,J33*(1+K$16)+K$13))</f>
        <v>129559.486004893</v>
      </c>
      <c r="L33" s="20" t="n">
        <f aca="false">IF(L$5&lt;=$B33,L17,MAX(0,K33*(1+L$16)+L$13))</f>
        <v>201813.311281316</v>
      </c>
      <c r="M33" s="20" t="n">
        <f aca="false">IF(M$5&lt;=$B33,M17,MAX(0,L33*(1+M$16)+M$13))</f>
        <v>280040.284374428</v>
      </c>
      <c r="N33" s="20" t="n">
        <f aca="false">IF(N$5&lt;=$B33,N17,MAX(0,M33*(1+N$16)+N$13))</f>
        <v>364234.132449227</v>
      </c>
      <c r="O33" s="20" t="n">
        <f aca="false">IF(O$5&lt;=$B33,O17,MAX(0,N33*(1+O$16)+O$13))</f>
        <v>404207.458696752</v>
      </c>
      <c r="P33" s="20" t="n">
        <f aca="false">IF(P$5&lt;=$B33,P17,MAX(0,O33*(1+P$16)+P$13))</f>
        <v>445745.29203085</v>
      </c>
      <c r="Q33" s="20" t="n">
        <f aca="false">IF(Q$5&lt;=$B33,Q17,MAX(0,P33*(1+Q$16)+Q$13))</f>
        <v>488700.232994746</v>
      </c>
      <c r="R33" s="20" t="n">
        <f aca="false">IF(R$5&lt;=$B33,R17,MAX(0,Q33*(1+R$16)+R$13))</f>
        <v>532903.353993155</v>
      </c>
      <c r="S33" s="20" t="n">
        <f aca="false">IF(S$5&lt;=$B33,S17,MAX(0,R33*(1+S$16)+S$13))</f>
        <v>578164.926840986</v>
      </c>
      <c r="T33" s="20" t="n">
        <f aca="false">IF(T$5&lt;=$B33,T17,MAX(0,S33*(1+T$16)+T$13))</f>
        <v>624275.506394997</v>
      </c>
      <c r="U33" s="20" t="n">
        <f aca="false">IF(U$5&lt;=$B33,U17,MAX(0,T33*(1+U$16)+U$13))</f>
        <v>671007.372307185</v>
      </c>
      <c r="V33" s="20" t="n">
        <f aca="false">IF(V$5&lt;=$B33,V17,MAX(0,U33*(1+V$16)+V$13))</f>
        <v>753555.649726094</v>
      </c>
      <c r="W33" s="20" t="n">
        <f aca="false">IF(W$5&lt;=$B33,W17,MAX(0,V33*(1+W$16)+W$13))</f>
        <v>838224.786878126</v>
      </c>
      <c r="X33" s="20" t="n">
        <f aca="false">IF(X$5&lt;=$B33,X17,MAX(0,W33*(1+X$16)+X$13))</f>
        <v>924612.960294314</v>
      </c>
      <c r="Y33" s="20" t="n">
        <f aca="false">IF(Y$5&lt;=$B33,Y17,MAX(0,X33*(1+Y$16)+Y$13))</f>
        <v>1012287.45150018</v>
      </c>
      <c r="Z33" s="20" t="n">
        <f aca="false">IF(Z$5&lt;=$B33,Z17,MAX(0,Y33*(1+Z$16)+Z$13))</f>
        <v>1100788.62825166</v>
      </c>
      <c r="AA33" s="20" t="n">
        <f aca="false">IF(AA$5&lt;=$B33,AA17,MAX(0,Z33*(1+AA$16)+AA$13))</f>
        <v>1189634.48691575</v>
      </c>
      <c r="AB33" s="20" t="n">
        <f aca="false">IF(AB$5&lt;=$B33,AB17,MAX(0,AA33*(1+AB$16)+AB$13))</f>
        <v>1278325.6964018</v>
      </c>
      <c r="AC33" s="20" t="n">
        <f aca="false">IF(AC$5&lt;=$B33,AC17,MAX(0,AB33*(1+AC$16)+AC$13))</f>
        <v>1366351.07116295</v>
      </c>
      <c r="AD33" s="20" t="n">
        <f aca="false">IF(AD$5&lt;=$B33,AD17,MAX(0,AC33*(1+AD$16)+AD$13))</f>
        <v>1453193.38913125</v>
      </c>
      <c r="AE33" s="20" t="n">
        <f aca="false">IF(AE$5&lt;=$B33,AE17,MAX(0,AD33*(1+AE$16)+AE$13))</f>
        <v>1538335.46038796</v>
      </c>
      <c r="AF33" s="20" t="n">
        <f aca="false">IF(AF$5&lt;=$B33,AF17,MAX(0,AE33*(1+AF$16)+AF$13))</f>
        <v>1621266.34423207</v>
      </c>
    </row>
    <row r="34" customFormat="false" ht="15" hidden="false" customHeight="true" outlineLevel="0" collapsed="false">
      <c r="B34" s="67" t="n">
        <v>2038</v>
      </c>
      <c r="C34" s="20" t="n">
        <f aca="false">C17</f>
        <v>0</v>
      </c>
      <c r="D34" s="20" t="n">
        <f aca="false">IF(D$5&lt;=$B34,D17,MAX(0,C34*(1+D$16)+D$13))</f>
        <v>0</v>
      </c>
      <c r="E34" s="20" t="n">
        <f aca="false">IF(E$5&lt;=$B34,E17,MAX(0,D34*(1+E$16)+E$13))</f>
        <v>0</v>
      </c>
      <c r="F34" s="20" t="n">
        <f aca="false">IF(F$5&lt;=$B34,F17,MAX(0,E34*(1+F$16)+F$13))</f>
        <v>0</v>
      </c>
      <c r="G34" s="20" t="n">
        <f aca="false">IF(G$5&lt;=$B34,G17,MAX(0,F34*(1+G$16)+G$13))</f>
        <v>0</v>
      </c>
      <c r="H34" s="20" t="n">
        <f aca="false">IF(H$5&lt;=$B34,H17,MAX(0,G34*(1+H$16)+H$13))</f>
        <v>0</v>
      </c>
      <c r="I34" s="20" t="n">
        <f aca="false">IF(I$5&lt;=$B34,I17,MAX(0,H34*(1+I$16)+I$13))</f>
        <v>30077.0962523597</v>
      </c>
      <c r="J34" s="20" t="n">
        <f aca="false">IF(J$5&lt;=$B34,J17,MAX(0,I34*(1+J$16)+J$13))</f>
        <v>62890.7456861701</v>
      </c>
      <c r="K34" s="20" t="n">
        <f aca="false">IF(K$5&lt;=$B34,K17,MAX(0,J34*(1+K$16)+K$13))</f>
        <v>129559.486004893</v>
      </c>
      <c r="L34" s="20" t="n">
        <f aca="false">IF(L$5&lt;=$B34,L17,MAX(0,K34*(1+L$16)+L$13))</f>
        <v>201813.311281316</v>
      </c>
      <c r="M34" s="20" t="n">
        <f aca="false">IF(M$5&lt;=$B34,M17,MAX(0,L34*(1+M$16)+M$13))</f>
        <v>280040.284374428</v>
      </c>
      <c r="N34" s="20" t="n">
        <f aca="false">IF(N$5&lt;=$B34,N17,MAX(0,M34*(1+N$16)+N$13))</f>
        <v>364234.132449227</v>
      </c>
      <c r="O34" s="20" t="n">
        <f aca="false">IF(O$5&lt;=$B34,O17,MAX(0,N34*(1+O$16)+O$13))</f>
        <v>454009.813279768</v>
      </c>
      <c r="P34" s="20" t="n">
        <f aca="false">IF(P$5&lt;=$B34,P17,MAX(0,O34*(1+P$16)+P$13))</f>
        <v>498411.282002389</v>
      </c>
      <c r="Q34" s="20" t="n">
        <f aca="false">IF(Q$5&lt;=$B34,Q17,MAX(0,P34*(1+Q$16)+Q$13))</f>
        <v>544236.519419735</v>
      </c>
      <c r="R34" s="20" t="n">
        <f aca="false">IF(R$5&lt;=$B34,R17,MAX(0,Q34*(1+R$16)+R$13))</f>
        <v>591299.75916903</v>
      </c>
      <c r="S34" s="20" t="n">
        <f aca="false">IF(S$5&lt;=$B34,S17,MAX(0,R34*(1+S$16)+S$13))</f>
        <v>639393.557667891</v>
      </c>
      <c r="T34" s="20" t="n">
        <f aca="false">IF(T$5&lt;=$B34,T17,MAX(0,S34*(1+T$16)+T$13))</f>
        <v>688290.039924526</v>
      </c>
      <c r="U34" s="20" t="n">
        <f aca="false">IF(U$5&lt;=$B34,U17,MAX(0,T34*(1+U$16)+U$13))</f>
        <v>737742.52351172</v>
      </c>
      <c r="V34" s="20" t="n">
        <f aca="false">IF(V$5&lt;=$B34,V17,MAX(0,U34*(1+V$16)+V$13))</f>
        <v>822926.839403207</v>
      </c>
      <c r="W34" s="20" t="n">
        <f aca="false">IF(W$5&lt;=$B34,W17,MAX(0,V34*(1+W$16)+W$13))</f>
        <v>910128.024978455</v>
      </c>
      <c r="X34" s="20" t="n">
        <f aca="false">IF(X$5&lt;=$B34,X17,MAX(0,W34*(1+X$16)+X$13))</f>
        <v>998924.956871003</v>
      </c>
      <c r="Y34" s="20" t="n">
        <f aca="false">IF(Y$5&lt;=$B34,Y17,MAX(0,X34*(1+Y$16)+Y$13))</f>
        <v>1088865.96397246</v>
      </c>
      <c r="Z34" s="20" t="n">
        <f aca="false">IF(Z$5&lt;=$B34,Z17,MAX(0,Y34*(1+Z$16)+Z$13))</f>
        <v>1179473.04981692</v>
      </c>
      <c r="AA34" s="20" t="n">
        <f aca="false">IF(AA$5&lt;=$B34,AA17,MAX(0,Z34*(1+AA$16)+AA$13))</f>
        <v>1270246.67680936</v>
      </c>
      <c r="AB34" s="20" t="n">
        <f aca="false">IF(AB$5&lt;=$B34,AB17,MAX(0,AA34*(1+AB$16)+AB$13))</f>
        <v>1360671.04837813</v>
      </c>
      <c r="AC34" s="20" t="n">
        <f aca="false">IF(AC$5&lt;=$B34,AC17,MAX(0,AB34*(1+AC$16)+AC$13))</f>
        <v>1450219.81215084</v>
      </c>
      <c r="AD34" s="20" t="n">
        <f aca="false">IF(AD$5&lt;=$B34,AD17,MAX(0,AC34*(1+AD$16)+AD$13))</f>
        <v>1538362.09560445</v>
      </c>
      <c r="AE34" s="20" t="n">
        <f aca="false">IF(AE$5&lt;=$B34,AE17,MAX(0,AD34*(1+AE$16)+AE$13))</f>
        <v>1624568.77569208</v>
      </c>
      <c r="AF34" s="20" t="n">
        <f aca="false">IF(AF$5&lt;=$B34,AF17,MAX(0,AE34*(1+AF$16)+AF$13))</f>
        <v>1708318.87603158</v>
      </c>
    </row>
    <row r="35" customFormat="false" ht="15" hidden="false" customHeight="true" outlineLevel="0" collapsed="false">
      <c r="B35" s="67" t="n">
        <v>2039</v>
      </c>
      <c r="C35" s="20" t="n">
        <f aca="false">C17</f>
        <v>0</v>
      </c>
      <c r="D35" s="20" t="n">
        <f aca="false">IF(D$5&lt;=$B35,D17,MAX(0,C35*(1+D$16)+D$13))</f>
        <v>0</v>
      </c>
      <c r="E35" s="20" t="n">
        <f aca="false">IF(E$5&lt;=$B35,E17,MAX(0,D35*(1+E$16)+E$13))</f>
        <v>0</v>
      </c>
      <c r="F35" s="20" t="n">
        <f aca="false">IF(F$5&lt;=$B35,F17,MAX(0,E35*(1+F$16)+F$13))</f>
        <v>0</v>
      </c>
      <c r="G35" s="20" t="n">
        <f aca="false">IF(G$5&lt;=$B35,G17,MAX(0,F35*(1+G$16)+G$13))</f>
        <v>0</v>
      </c>
      <c r="H35" s="20" t="n">
        <f aca="false">IF(H$5&lt;=$B35,H17,MAX(0,G35*(1+H$16)+H$13))</f>
        <v>0</v>
      </c>
      <c r="I35" s="20" t="n">
        <f aca="false">IF(I$5&lt;=$B35,I17,MAX(0,H35*(1+I$16)+I$13))</f>
        <v>30077.0962523597</v>
      </c>
      <c r="J35" s="20" t="n">
        <f aca="false">IF(J$5&lt;=$B35,J17,MAX(0,I35*(1+J$16)+J$13))</f>
        <v>62890.7456861701</v>
      </c>
      <c r="K35" s="20" t="n">
        <f aca="false">IF(K$5&lt;=$B35,K17,MAX(0,J35*(1+K$16)+K$13))</f>
        <v>129559.486004893</v>
      </c>
      <c r="L35" s="20" t="n">
        <f aca="false">IF(L$5&lt;=$B35,L17,MAX(0,K35*(1+L$16)+L$13))</f>
        <v>201813.311281316</v>
      </c>
      <c r="M35" s="20" t="n">
        <f aca="false">IF(M$5&lt;=$B35,M17,MAX(0,L35*(1+M$16)+M$13))</f>
        <v>280040.284374428</v>
      </c>
      <c r="N35" s="20" t="n">
        <f aca="false">IF(N$5&lt;=$B35,N17,MAX(0,M35*(1+N$16)+N$13))</f>
        <v>364234.132449227</v>
      </c>
      <c r="O35" s="20" t="n">
        <f aca="false">IF(O$5&lt;=$B35,O17,MAX(0,N35*(1+O$16)+O$13))</f>
        <v>454009.813279768</v>
      </c>
      <c r="P35" s="20" t="n">
        <f aca="false">IF(P$5&lt;=$B35,P17,MAX(0,O35*(1+P$16)+P$13))</f>
        <v>549209.683677066</v>
      </c>
      <c r="Q35" s="20" t="n">
        <f aca="false">IF(Q$5&lt;=$B35,Q17,MAX(0,P35*(1+Q$16)+Q$13))</f>
        <v>597803.433985681</v>
      </c>
      <c r="R35" s="20" t="n">
        <f aca="false">IF(R$5&lt;=$B35,R17,MAX(0,Q35*(1+R$16)+R$13))</f>
        <v>647625.369835123</v>
      </c>
      <c r="S35" s="20" t="n">
        <f aca="false">IF(S$5&lt;=$B35,S17,MAX(0,R35*(1+S$16)+S$13))</f>
        <v>698450.960451289</v>
      </c>
      <c r="T35" s="20" t="n">
        <f aca="false">IF(T$5&lt;=$B35,T17,MAX(0,S35*(1+T$16)+T$13))</f>
        <v>750034.554534569</v>
      </c>
      <c r="U35" s="20" t="n">
        <f aca="false">IF(U$5&lt;=$B35,U17,MAX(0,T35*(1+U$16)+U$13))</f>
        <v>802111.179992689</v>
      </c>
      <c r="V35" s="20" t="n">
        <f aca="false">IF(V$5&lt;=$B35,V17,MAX(0,U35*(1+V$16)+V$13))</f>
        <v>889838.057815175</v>
      </c>
      <c r="W35" s="20" t="n">
        <f aca="false">IF(W$5&lt;=$B35,W17,MAX(0,V35*(1+W$16)+W$13))</f>
        <v>979481.502862459</v>
      </c>
      <c r="X35" s="20" t="n">
        <f aca="false">IF(X$5&lt;=$B35,X17,MAX(0,W35*(1+X$16)+X$13))</f>
        <v>1070601.77626412</v>
      </c>
      <c r="Y35" s="20" t="n">
        <f aca="false">IF(Y$5&lt;=$B35,Y17,MAX(0,X35*(1+Y$16)+Y$13))</f>
        <v>1162728.92635706</v>
      </c>
      <c r="Z35" s="20" t="n">
        <f aca="false">IF(Z$5&lt;=$B35,Z17,MAX(0,Y35*(1+Z$16)+Z$13))</f>
        <v>1255367.24366711</v>
      </c>
      <c r="AA35" s="20" t="n">
        <f aca="false">IF(AA$5&lt;=$B35,AA17,MAX(0,Z35*(1+AA$16)+AA$13))</f>
        <v>1348000.27840888</v>
      </c>
      <c r="AB35" s="20" t="n">
        <f aca="false">IF(AB$5&lt;=$B35,AB17,MAX(0,AA35*(1+AB$16)+AB$13))</f>
        <v>1440096.35241204</v>
      </c>
      <c r="AC35" s="20" t="n">
        <f aca="false">IF(AC$5&lt;=$B35,AC17,MAX(0,AB35*(1+AC$16)+AC$13))</f>
        <v>1531114.48430937</v>
      </c>
      <c r="AD35" s="20" t="n">
        <f aca="false">IF(AD$5&lt;=$B35,AD17,MAX(0,AC35*(1+AD$16)+AD$13))</f>
        <v>1620510.63518144</v>
      </c>
      <c r="AE35" s="20" t="n">
        <f aca="false">IF(AE$5&lt;=$B35,AE17,MAX(0,AD35*(1+AE$16)+AE$13))</f>
        <v>1707744.17201378</v>
      </c>
      <c r="AF35" s="20" t="n">
        <f aca="false">IF(AF$5&lt;=$B35,AF17,MAX(0,AE35*(1+AF$16)+AF$13))</f>
        <v>1792284.43861834</v>
      </c>
    </row>
    <row r="36" customFormat="false" ht="15" hidden="false" customHeight="true" outlineLevel="0" collapsed="false">
      <c r="B36" s="67" t="n">
        <v>2040</v>
      </c>
      <c r="C36" s="20" t="n">
        <f aca="false">C17</f>
        <v>0</v>
      </c>
      <c r="D36" s="20" t="n">
        <f aca="false">IF(D$5&lt;=$B36,D17,MAX(0,C36*(1+D$16)+D$13))</f>
        <v>0</v>
      </c>
      <c r="E36" s="20" t="n">
        <f aca="false">IF(E$5&lt;=$B36,E17,MAX(0,D36*(1+E$16)+E$13))</f>
        <v>0</v>
      </c>
      <c r="F36" s="20" t="n">
        <f aca="false">IF(F$5&lt;=$B36,F17,MAX(0,E36*(1+F$16)+F$13))</f>
        <v>0</v>
      </c>
      <c r="G36" s="20" t="n">
        <f aca="false">IF(G$5&lt;=$B36,G17,MAX(0,F36*(1+G$16)+G$13))</f>
        <v>0</v>
      </c>
      <c r="H36" s="20" t="n">
        <f aca="false">IF(H$5&lt;=$B36,H17,MAX(0,G36*(1+H$16)+H$13))</f>
        <v>0</v>
      </c>
      <c r="I36" s="20" t="n">
        <f aca="false">IF(I$5&lt;=$B36,I17,MAX(0,H36*(1+I$16)+I$13))</f>
        <v>30077.0962523597</v>
      </c>
      <c r="J36" s="20" t="n">
        <f aca="false">IF(J$5&lt;=$B36,J17,MAX(0,I36*(1+J$16)+J$13))</f>
        <v>62890.7456861701</v>
      </c>
      <c r="K36" s="20" t="n">
        <f aca="false">IF(K$5&lt;=$B36,K17,MAX(0,J36*(1+K$16)+K$13))</f>
        <v>129559.486004893</v>
      </c>
      <c r="L36" s="20" t="n">
        <f aca="false">IF(L$5&lt;=$B36,L17,MAX(0,K36*(1+L$16)+L$13))</f>
        <v>201813.311281316</v>
      </c>
      <c r="M36" s="20" t="n">
        <f aca="false">IF(M$5&lt;=$B36,M17,MAX(0,L36*(1+M$16)+M$13))</f>
        <v>280040.284374428</v>
      </c>
      <c r="N36" s="20" t="n">
        <f aca="false">IF(N$5&lt;=$B36,N17,MAX(0,M36*(1+N$16)+N$13))</f>
        <v>364234.132449227</v>
      </c>
      <c r="O36" s="20" t="n">
        <f aca="false">IF(O$5&lt;=$B36,O17,MAX(0,N36*(1+O$16)+O$13))</f>
        <v>454009.813279768</v>
      </c>
      <c r="P36" s="20" t="n">
        <f aca="false">IF(P$5&lt;=$B36,P17,MAX(0,O36*(1+P$16)+P$13))</f>
        <v>549209.683677066</v>
      </c>
      <c r="Q36" s="20" t="n">
        <f aca="false">IF(Q$5&lt;=$B36,Q17,MAX(0,P36*(1+Q$16)+Q$13))</f>
        <v>649617.803693851</v>
      </c>
      <c r="R36" s="20" t="n">
        <f aca="false">IF(R$5&lt;=$B36,R17,MAX(0,Q36*(1+R$16)+R$13))</f>
        <v>702108.179583264</v>
      </c>
      <c r="S36" s="20" t="n">
        <f aca="false">IF(S$5&lt;=$B36,S17,MAX(0,R36*(1+S$16)+S$13))</f>
        <v>755576.186472215</v>
      </c>
      <c r="T36" s="20" t="n">
        <f aca="false">IF(T$5&lt;=$B36,T17,MAX(0,S36*(1+T$16)+T$13))</f>
        <v>809758.978339447</v>
      </c>
      <c r="U36" s="20" t="n">
        <f aca="false">IF(U$5&lt;=$B36,U17,MAX(0,T36*(1+U$16)+U$13))</f>
        <v>864373.891809275</v>
      </c>
      <c r="V36" s="20" t="n">
        <f aca="false">IF(V$5&lt;=$B36,V17,MAX(0,U36*(1+V$16)+V$13))</f>
        <v>954560.146748516</v>
      </c>
      <c r="W36" s="20" t="n">
        <f aca="false">IF(W$5&lt;=$B36,W17,MAX(0,V36*(1+W$16)+W$13))</f>
        <v>1046565.94804187</v>
      </c>
      <c r="X36" s="20" t="n">
        <f aca="false">IF(X$5&lt;=$B36,X17,MAX(0,W36*(1+X$16)+X$13))</f>
        <v>1139933.55035704</v>
      </c>
      <c r="Y36" s="20" t="n">
        <f aca="false">IF(Y$5&lt;=$B36,Y17,MAX(0,X36*(1+Y$16)+Y$13))</f>
        <v>1234175.31955982</v>
      </c>
      <c r="Z36" s="20" t="n">
        <f aca="false">IF(Z$5&lt;=$B36,Z17,MAX(0,Y36*(1+Z$16)+Z$13))</f>
        <v>1328778.41268293</v>
      </c>
      <c r="AA36" s="20" t="n">
        <f aca="false">IF(AA$5&lt;=$B36,AA17,MAX(0,Z36*(1+AA$16)+AA$13))</f>
        <v>1423210.02106559</v>
      </c>
      <c r="AB36" s="20" t="n">
        <f aca="false">IF(AB$5&lt;=$B36,AB17,MAX(0,AA36*(1+AB$16)+AB$13))</f>
        <v>1516923.10453587</v>
      </c>
      <c r="AC36" s="20" t="n">
        <f aca="false">IF(AC$5&lt;=$B36,AC17,MAX(0,AB36*(1+AC$16)+AC$13))</f>
        <v>1609362.5313475</v>
      </c>
      <c r="AD36" s="20" t="n">
        <f aca="false">IF(AD$5&lt;=$B36,AD17,MAX(0,AC36*(1+AD$16)+AD$13))</f>
        <v>1699971.52694865</v>
      </c>
      <c r="AE36" s="20" t="n">
        <f aca="false">IF(AE$5&lt;=$B36,AE17,MAX(0,AD36*(1+AE$16)+AE$13))</f>
        <v>1788198.32492809</v>
      </c>
      <c r="AF36" s="20" t="n">
        <f aca="false">IF(AF$5&lt;=$B36,AF17,MAX(0,AE36*(1+AF$16)+AF$13))</f>
        <v>1873502.90598533</v>
      </c>
    </row>
    <row r="37" customFormat="false" ht="15" hidden="false" customHeight="true" outlineLevel="0" collapsed="false">
      <c r="B37" s="67" t="n">
        <v>2041</v>
      </c>
      <c r="C37" s="20" t="n">
        <f aca="false">C17</f>
        <v>0</v>
      </c>
      <c r="D37" s="20" t="n">
        <f aca="false">IF(D$5&lt;=$B37,D17,MAX(0,C37*(1+D$16)+D$13))</f>
        <v>0</v>
      </c>
      <c r="E37" s="20" t="n">
        <f aca="false">IF(E$5&lt;=$B37,E17,MAX(0,D37*(1+E$16)+E$13))</f>
        <v>0</v>
      </c>
      <c r="F37" s="20" t="n">
        <f aca="false">IF(F$5&lt;=$B37,F17,MAX(0,E37*(1+F$16)+F$13))</f>
        <v>0</v>
      </c>
      <c r="G37" s="20" t="n">
        <f aca="false">IF(G$5&lt;=$B37,G17,MAX(0,F37*(1+G$16)+G$13))</f>
        <v>0</v>
      </c>
      <c r="H37" s="20" t="n">
        <f aca="false">IF(H$5&lt;=$B37,H17,MAX(0,G37*(1+H$16)+H$13))</f>
        <v>0</v>
      </c>
      <c r="I37" s="20" t="n">
        <f aca="false">IF(I$5&lt;=$B37,I17,MAX(0,H37*(1+I$16)+I$13))</f>
        <v>30077.0962523597</v>
      </c>
      <c r="J37" s="20" t="n">
        <f aca="false">IF(J$5&lt;=$B37,J17,MAX(0,I37*(1+J$16)+J$13))</f>
        <v>62890.7456861701</v>
      </c>
      <c r="K37" s="20" t="n">
        <f aca="false">IF(K$5&lt;=$B37,K17,MAX(0,J37*(1+K$16)+K$13))</f>
        <v>129559.486004893</v>
      </c>
      <c r="L37" s="20" t="n">
        <f aca="false">IF(L$5&lt;=$B37,L17,MAX(0,K37*(1+L$16)+L$13))</f>
        <v>201813.311281316</v>
      </c>
      <c r="M37" s="20" t="n">
        <f aca="false">IF(M$5&lt;=$B37,M17,MAX(0,L37*(1+M$16)+M$13))</f>
        <v>280040.284374428</v>
      </c>
      <c r="N37" s="20" t="n">
        <f aca="false">IF(N$5&lt;=$B37,N17,MAX(0,M37*(1+N$16)+N$13))</f>
        <v>364234.132449227</v>
      </c>
      <c r="O37" s="20" t="n">
        <f aca="false">IF(O$5&lt;=$B37,O17,MAX(0,N37*(1+O$16)+O$13))</f>
        <v>454009.813279768</v>
      </c>
      <c r="P37" s="20" t="n">
        <f aca="false">IF(P$5&lt;=$B37,P17,MAX(0,O37*(1+P$16)+P$13))</f>
        <v>549209.683677066</v>
      </c>
      <c r="Q37" s="20" t="n">
        <f aca="false">IF(Q$5&lt;=$B37,Q17,MAX(0,P37*(1+Q$16)+Q$13))</f>
        <v>649617.803693851</v>
      </c>
      <c r="R37" s="20" t="n">
        <f aca="false">IF(R$5&lt;=$B37,R17,MAX(0,Q37*(1+R$16)+R$13))</f>
        <v>754958.836685597</v>
      </c>
      <c r="S37" s="20" t="n">
        <f aca="false">IF(S$5&lt;=$B37,S17,MAX(0,R37*(1+S$16)+S$13))</f>
        <v>810990.100444011</v>
      </c>
      <c r="T37" s="20" t="n">
        <f aca="false">IF(T$5&lt;=$B37,T17,MAX(0,S37*(1+T$16)+T$13))</f>
        <v>867694.22539696</v>
      </c>
      <c r="U37" s="20" t="n">
        <f aca="false">IF(U$5&lt;=$B37,U17,MAX(0,T37*(1+U$16)+U$13))</f>
        <v>924771.386866732</v>
      </c>
      <c r="V37" s="20" t="n">
        <f aca="false">IF(V$5&lt;=$B37,V17,MAX(0,U37*(1+V$16)+V$13))</f>
        <v>1017343.34286074</v>
      </c>
      <c r="W37" s="20" t="n">
        <f aca="false">IF(W$5&lt;=$B37,W17,MAX(0,V37*(1+W$16)+W$13))</f>
        <v>1111640.73081219</v>
      </c>
      <c r="X37" s="20" t="n">
        <f aca="false">IF(X$5&lt;=$B37,X17,MAX(0,W37*(1+X$16)+X$13))</f>
        <v>1207188.33835017</v>
      </c>
      <c r="Y37" s="20" t="n">
        <f aca="false">IF(Y$5&lt;=$B37,Y17,MAX(0,X37*(1+Y$16)+Y$13))</f>
        <v>1303481.37858674</v>
      </c>
      <c r="Z37" s="20" t="n">
        <f aca="false">IF(Z$5&lt;=$B37,Z17,MAX(0,Y37*(1+Z$16)+Z$13))</f>
        <v>1399990.38833309</v>
      </c>
      <c r="AA37" s="20" t="n">
        <f aca="false">IF(AA$5&lt;=$B37,AA17,MAX(0,Z37*(1+AA$16)+AA$13))</f>
        <v>1496166.69011918</v>
      </c>
      <c r="AB37" s="20" t="n">
        <f aca="false">IF(AB$5&lt;=$B37,AB17,MAX(0,AA37*(1+AB$16)+AB$13))</f>
        <v>1591448.34197411</v>
      </c>
      <c r="AC37" s="20" t="n">
        <f aca="false">IF(AC$5&lt;=$B37,AC17,MAX(0,AB37*(1+AC$16)+AC$13))</f>
        <v>1685266.48567835</v>
      </c>
      <c r="AD37" s="20" t="n">
        <f aca="false">IF(AD$5&lt;=$B37,AD17,MAX(0,AC37*(1+AD$16)+AD$13))</f>
        <v>1777051.99257163</v>
      </c>
      <c r="AE37" s="20" t="n">
        <f aca="false">IF(AE$5&lt;=$B37,AE17,MAX(0,AD37*(1+AE$16)+AE$13))</f>
        <v>1866242.29637135</v>
      </c>
      <c r="AF37" s="20" t="n">
        <f aca="false">IF(AF$5&lt;=$B37,AF17,MAX(0,AE37*(1+AF$16)+AF$13))</f>
        <v>1952288.2951573</v>
      </c>
    </row>
    <row r="38" customFormat="false" ht="15" hidden="false" customHeight="true" outlineLevel="0" collapsed="false">
      <c r="B38" s="67" t="n">
        <v>2042</v>
      </c>
      <c r="C38" s="20" t="n">
        <f aca="false">C17</f>
        <v>0</v>
      </c>
      <c r="D38" s="20" t="n">
        <f aca="false">IF(D$5&lt;=$B38,D17,MAX(0,C38*(1+D$16)+D$13))</f>
        <v>0</v>
      </c>
      <c r="E38" s="20" t="n">
        <f aca="false">IF(E$5&lt;=$B38,E17,MAX(0,D38*(1+E$16)+E$13))</f>
        <v>0</v>
      </c>
      <c r="F38" s="20" t="n">
        <f aca="false">IF(F$5&lt;=$B38,F17,MAX(0,E38*(1+F$16)+F$13))</f>
        <v>0</v>
      </c>
      <c r="G38" s="20" t="n">
        <f aca="false">IF(G$5&lt;=$B38,G17,MAX(0,F38*(1+G$16)+G$13))</f>
        <v>0</v>
      </c>
      <c r="H38" s="20" t="n">
        <f aca="false">IF(H$5&lt;=$B38,H17,MAX(0,G38*(1+H$16)+H$13))</f>
        <v>0</v>
      </c>
      <c r="I38" s="20" t="n">
        <f aca="false">IF(I$5&lt;=$B38,I17,MAX(0,H38*(1+I$16)+I$13))</f>
        <v>30077.0962523597</v>
      </c>
      <c r="J38" s="20" t="n">
        <f aca="false">IF(J$5&lt;=$B38,J17,MAX(0,I38*(1+J$16)+J$13))</f>
        <v>62890.7456861701</v>
      </c>
      <c r="K38" s="20" t="n">
        <f aca="false">IF(K$5&lt;=$B38,K17,MAX(0,J38*(1+K$16)+K$13))</f>
        <v>129559.486004893</v>
      </c>
      <c r="L38" s="20" t="n">
        <f aca="false">IF(L$5&lt;=$B38,L17,MAX(0,K38*(1+L$16)+L$13))</f>
        <v>201813.311281316</v>
      </c>
      <c r="M38" s="20" t="n">
        <f aca="false">IF(M$5&lt;=$B38,M17,MAX(0,L38*(1+M$16)+M$13))</f>
        <v>280040.284374428</v>
      </c>
      <c r="N38" s="20" t="n">
        <f aca="false">IF(N$5&lt;=$B38,N17,MAX(0,M38*(1+N$16)+N$13))</f>
        <v>364234.132449227</v>
      </c>
      <c r="O38" s="20" t="n">
        <f aca="false">IF(O$5&lt;=$B38,O17,MAX(0,N38*(1+O$16)+O$13))</f>
        <v>454009.813279768</v>
      </c>
      <c r="P38" s="20" t="n">
        <f aca="false">IF(P$5&lt;=$B38,P17,MAX(0,O38*(1+P$16)+P$13))</f>
        <v>549209.683677066</v>
      </c>
      <c r="Q38" s="20" t="n">
        <f aca="false">IF(Q$5&lt;=$B38,Q17,MAX(0,P38*(1+Q$16)+Q$13))</f>
        <v>649617.803693851</v>
      </c>
      <c r="R38" s="20" t="n">
        <f aca="false">IF(R$5&lt;=$B38,R17,MAX(0,Q38*(1+R$16)+R$13))</f>
        <v>754958.836685597</v>
      </c>
      <c r="S38" s="20" t="n">
        <f aca="false">IF(S$5&lt;=$B38,S17,MAX(0,R38*(1+S$16)+S$13))</f>
        <v>864897.770688392</v>
      </c>
      <c r="T38" s="20" t="n">
        <f aca="false">IF(T$5&lt;=$B38,T17,MAX(0,S38*(1+T$16)+T$13))</f>
        <v>924054.69463746</v>
      </c>
      <c r="U38" s="20" t="n">
        <f aca="false">IF(U$5&lt;=$B38,U17,MAX(0,T38*(1+U$16)+U$13))</f>
        <v>983527.176049953</v>
      </c>
      <c r="V38" s="20" t="n">
        <f aca="false">IF(V$5&lt;=$B38,V17,MAX(0,U38*(1+V$16)+V$13))</f>
        <v>1078419.9857167</v>
      </c>
      <c r="W38" s="20" t="n">
        <f aca="false">IF(W$5&lt;=$B38,W17,MAX(0,V38*(1+W$16)+W$13))</f>
        <v>1174946.67113239</v>
      </c>
      <c r="X38" s="20" t="n">
        <f aca="false">IF(X$5&lt;=$B38,X17,MAX(0,W38*(1+X$16)+X$13))</f>
        <v>1272615.0276711</v>
      </c>
      <c r="Y38" s="20" t="n">
        <f aca="false">IF(Y$5&lt;=$B38,Y17,MAX(0,X38*(1+Y$16)+Y$13))</f>
        <v>1370903.58193195</v>
      </c>
      <c r="Z38" s="20" t="n">
        <f aca="false">IF(Z$5&lt;=$B38,Z17,MAX(0,Y38*(1+Z$16)+Z$13))</f>
        <v>1469266.7022703</v>
      </c>
      <c r="AA38" s="20" t="n">
        <f aca="false">IF(AA$5&lt;=$B38,AA17,MAX(0,Z38*(1+AA$16)+AA$13))</f>
        <v>1567140.27374785</v>
      </c>
      <c r="AB38" s="20" t="n">
        <f aca="false">IF(AB$5&lt;=$B38,AB17,MAX(0,AA38*(1+AB$16)+AB$13))</f>
        <v>1663947.8576508</v>
      </c>
      <c r="AC38" s="20" t="n">
        <f aca="false">IF(AC$5&lt;=$B38,AC17,MAX(0,AB38*(1+AC$16)+AC$13))</f>
        <v>1759107.24239505</v>
      </c>
      <c r="AD38" s="20" t="n">
        <f aca="false">IF(AD$5&lt;=$B38,AD17,MAX(0,AC38*(1+AD$16)+AD$13))</f>
        <v>1852037.28101744</v>
      </c>
      <c r="AE38" s="20" t="n">
        <f aca="false">IF(AE$5&lt;=$B38,AE17,MAX(0,AD38*(1+AE$16)+AE$13))</f>
        <v>1942164.90092274</v>
      </c>
      <c r="AF38" s="20" t="n">
        <f aca="false">IF(AF$5&lt;=$B38,AF17,MAX(0,AE38*(1+AF$16)+AF$13))</f>
        <v>2028932.16445193</v>
      </c>
    </row>
    <row r="39" customFormat="false" ht="15" hidden="false" customHeight="true" outlineLevel="0" collapsed="false">
      <c r="B39" s="67" t="n">
        <v>2043</v>
      </c>
      <c r="C39" s="20" t="n">
        <f aca="false">C17</f>
        <v>0</v>
      </c>
      <c r="D39" s="20" t="n">
        <f aca="false">IF(D$5&lt;=$B39,D17,MAX(0,C39*(1+D$16)+D$13))</f>
        <v>0</v>
      </c>
      <c r="E39" s="20" t="n">
        <f aca="false">IF(E$5&lt;=$B39,E17,MAX(0,D39*(1+E$16)+E$13))</f>
        <v>0</v>
      </c>
      <c r="F39" s="20" t="n">
        <f aca="false">IF(F$5&lt;=$B39,F17,MAX(0,E39*(1+F$16)+F$13))</f>
        <v>0</v>
      </c>
      <c r="G39" s="20" t="n">
        <f aca="false">IF(G$5&lt;=$B39,G17,MAX(0,F39*(1+G$16)+G$13))</f>
        <v>0</v>
      </c>
      <c r="H39" s="20" t="n">
        <f aca="false">IF(H$5&lt;=$B39,H17,MAX(0,G39*(1+H$16)+H$13))</f>
        <v>0</v>
      </c>
      <c r="I39" s="20" t="n">
        <f aca="false">IF(I$5&lt;=$B39,I17,MAX(0,H39*(1+I$16)+I$13))</f>
        <v>30077.0962523597</v>
      </c>
      <c r="J39" s="20" t="n">
        <f aca="false">IF(J$5&lt;=$B39,J17,MAX(0,I39*(1+J$16)+J$13))</f>
        <v>62890.7456861701</v>
      </c>
      <c r="K39" s="20" t="n">
        <f aca="false">IF(K$5&lt;=$B39,K17,MAX(0,J39*(1+K$16)+K$13))</f>
        <v>129559.486004893</v>
      </c>
      <c r="L39" s="20" t="n">
        <f aca="false">IF(L$5&lt;=$B39,L17,MAX(0,K39*(1+L$16)+L$13))</f>
        <v>201813.311281316</v>
      </c>
      <c r="M39" s="20" t="n">
        <f aca="false">IF(M$5&lt;=$B39,M17,MAX(0,L39*(1+M$16)+M$13))</f>
        <v>280040.284374428</v>
      </c>
      <c r="N39" s="20" t="n">
        <f aca="false">IF(N$5&lt;=$B39,N17,MAX(0,M39*(1+N$16)+N$13))</f>
        <v>364234.132449227</v>
      </c>
      <c r="O39" s="20" t="n">
        <f aca="false">IF(O$5&lt;=$B39,O17,MAX(0,N39*(1+O$16)+O$13))</f>
        <v>454009.813279768</v>
      </c>
      <c r="P39" s="20" t="n">
        <f aca="false">IF(P$5&lt;=$B39,P17,MAX(0,O39*(1+P$16)+P$13))</f>
        <v>549209.683677066</v>
      </c>
      <c r="Q39" s="20" t="n">
        <f aca="false">IF(Q$5&lt;=$B39,Q17,MAX(0,P39*(1+Q$16)+Q$13))</f>
        <v>649617.803693851</v>
      </c>
      <c r="R39" s="20" t="n">
        <f aca="false">IF(R$5&lt;=$B39,R17,MAX(0,Q39*(1+R$16)+R$13))</f>
        <v>754958.836685597</v>
      </c>
      <c r="S39" s="20" t="n">
        <f aca="false">IF(S$5&lt;=$B39,S17,MAX(0,R39*(1+S$16)+S$13))</f>
        <v>864897.770688392</v>
      </c>
      <c r="T39" s="20" t="n">
        <f aca="false">IF(T$5&lt;=$B39,T17,MAX(0,S39*(1+T$16)+T$13))</f>
        <v>979040.518286727</v>
      </c>
      <c r="U39" s="20" t="n">
        <f aca="false">IF(U$5&lt;=$B39,U17,MAX(0,T39*(1+U$16)+U$13))</f>
        <v>1040849.89720431</v>
      </c>
      <c r="V39" s="20" t="n">
        <f aca="false">IF(V$5&lt;=$B39,V17,MAX(0,U39*(1+V$16)+V$13))</f>
        <v>1138006.95435666</v>
      </c>
      <c r="W39" s="20" t="n">
        <f aca="false">IF(W$5&lt;=$B39,W17,MAX(0,V39*(1+W$16)+W$13))</f>
        <v>1236708.56412771</v>
      </c>
      <c r="X39" s="20" t="n">
        <f aca="false">IF(X$5&lt;=$B39,X17,MAX(0,W39*(1+X$16)+X$13))</f>
        <v>1336445.94408176</v>
      </c>
      <c r="Y39" s="20" t="n">
        <f aca="false">IF(Y$5&lt;=$B39,Y17,MAX(0,X39*(1+Y$16)+Y$13))</f>
        <v>1436681.34129314</v>
      </c>
      <c r="Z39" s="20" t="n">
        <f aca="false">IF(Z$5&lt;=$B39,Z17,MAX(0,Y39*(1+Z$16)+Z$13))</f>
        <v>1536853.35001392</v>
      </c>
      <c r="AA39" s="20" t="n">
        <f aca="false">IF(AA$5&lt;=$B39,AA17,MAX(0,Z39*(1+AA$16)+AA$13))</f>
        <v>1636382.79436119</v>
      </c>
      <c r="AB39" s="20" t="n">
        <f aca="false">IF(AB$5&lt;=$B39,AB17,MAX(0,AA39*(1+AB$16)+AB$13))</f>
        <v>1734679.09245732</v>
      </c>
      <c r="AC39" s="20" t="n">
        <f aca="false">IF(AC$5&lt;=$B39,AC17,MAX(0,AB39*(1+AC$16)+AC$13))</f>
        <v>1831147.0050455</v>
      </c>
      <c r="AD39" s="20" t="n">
        <f aca="false">IF(AD$5&lt;=$B39,AD17,MAX(0,AC39*(1+AD$16)+AD$13))</f>
        <v>1925193.65998897</v>
      </c>
      <c r="AE39" s="20" t="n">
        <f aca="false">IF(AE$5&lt;=$B39,AE17,MAX(0,AD39*(1+AE$16)+AE$13))</f>
        <v>2016235.73463141</v>
      </c>
      <c r="AF39" s="20" t="n">
        <f aca="false">IF(AF$5&lt;=$B39,AF17,MAX(0,AE39*(1+AF$16)+AF$13))</f>
        <v>2103706.67108083</v>
      </c>
    </row>
    <row r="40" customFormat="false" ht="15" hidden="false" customHeight="true" outlineLevel="0" collapsed="false">
      <c r="B40" s="67" t="n">
        <v>2044</v>
      </c>
      <c r="C40" s="20" t="n">
        <f aca="false">C17</f>
        <v>0</v>
      </c>
      <c r="D40" s="20" t="n">
        <f aca="false">IF(D$5&lt;=$B40,D17,MAX(0,C40*(1+D$16)+D$13))</f>
        <v>0</v>
      </c>
      <c r="E40" s="20" t="n">
        <f aca="false">IF(E$5&lt;=$B40,E17,MAX(0,D40*(1+E$16)+E$13))</f>
        <v>0</v>
      </c>
      <c r="F40" s="20" t="n">
        <f aca="false">IF(F$5&lt;=$B40,F17,MAX(0,E40*(1+F$16)+F$13))</f>
        <v>0</v>
      </c>
      <c r="G40" s="20" t="n">
        <f aca="false">IF(G$5&lt;=$B40,G17,MAX(0,F40*(1+G$16)+G$13))</f>
        <v>0</v>
      </c>
      <c r="H40" s="20" t="n">
        <f aca="false">IF(H$5&lt;=$B40,H17,MAX(0,G40*(1+H$16)+H$13))</f>
        <v>0</v>
      </c>
      <c r="I40" s="20" t="n">
        <f aca="false">IF(I$5&lt;=$B40,I17,MAX(0,H40*(1+I$16)+I$13))</f>
        <v>30077.0962523597</v>
      </c>
      <c r="J40" s="20" t="n">
        <f aca="false">IF(J$5&lt;=$B40,J17,MAX(0,I40*(1+J$16)+J$13))</f>
        <v>62890.7456861701</v>
      </c>
      <c r="K40" s="20" t="n">
        <f aca="false">IF(K$5&lt;=$B40,K17,MAX(0,J40*(1+K$16)+K$13))</f>
        <v>129559.486004893</v>
      </c>
      <c r="L40" s="20" t="n">
        <f aca="false">IF(L$5&lt;=$B40,L17,MAX(0,K40*(1+L$16)+L$13))</f>
        <v>201813.311281316</v>
      </c>
      <c r="M40" s="20" t="n">
        <f aca="false">IF(M$5&lt;=$B40,M17,MAX(0,L40*(1+M$16)+M$13))</f>
        <v>280040.284374428</v>
      </c>
      <c r="N40" s="20" t="n">
        <f aca="false">IF(N$5&lt;=$B40,N17,MAX(0,M40*(1+N$16)+N$13))</f>
        <v>364234.132449227</v>
      </c>
      <c r="O40" s="20" t="n">
        <f aca="false">IF(O$5&lt;=$B40,O17,MAX(0,N40*(1+O$16)+O$13))</f>
        <v>454009.813279768</v>
      </c>
      <c r="P40" s="20" t="n">
        <f aca="false">IF(P$5&lt;=$B40,P17,MAX(0,O40*(1+P$16)+P$13))</f>
        <v>549209.683677066</v>
      </c>
      <c r="Q40" s="20" t="n">
        <f aca="false">IF(Q$5&lt;=$B40,Q17,MAX(0,P40*(1+Q$16)+Q$13))</f>
        <v>649617.803693851</v>
      </c>
      <c r="R40" s="20" t="n">
        <f aca="false">IF(R$5&lt;=$B40,R17,MAX(0,Q40*(1+R$16)+R$13))</f>
        <v>754958.836685597</v>
      </c>
      <c r="S40" s="20" t="n">
        <f aca="false">IF(S$5&lt;=$B40,S17,MAX(0,R40*(1+S$16)+S$13))</f>
        <v>864897.770688392</v>
      </c>
      <c r="T40" s="20" t="n">
        <f aca="false">IF(T$5&lt;=$B40,T17,MAX(0,S40*(1+T$16)+T$13))</f>
        <v>979040.518286727</v>
      </c>
      <c r="U40" s="20" t="n">
        <f aca="false">IF(U$5&lt;=$B40,U17,MAX(0,T40*(1+U$16)+U$13))</f>
        <v>1096935.43732657</v>
      </c>
      <c r="V40" s="20" t="n">
        <f aca="false">IF(V$5&lt;=$B40,V17,MAX(0,U40*(1+V$16)+V$13))</f>
        <v>1196307.87331374</v>
      </c>
      <c r="W40" s="20" t="n">
        <f aca="false">IF(W$5&lt;=$B40,W17,MAX(0,V40*(1+W$16)+W$13))</f>
        <v>1297137.46662672</v>
      </c>
      <c r="X40" s="20" t="n">
        <f aca="false">IF(X$5&lt;=$B40,X17,MAX(0,W40*(1+X$16)+X$13))</f>
        <v>1398899.21481449</v>
      </c>
      <c r="Y40" s="20" t="n">
        <f aca="false">IF(Y$5&lt;=$B40,Y17,MAX(0,X40*(1+Y$16)+Y$13))</f>
        <v>1501039.43678322</v>
      </c>
      <c r="Z40" s="20" t="n">
        <f aca="false">IF(Z$5&lt;=$B40,Z17,MAX(0,Y40*(1+Z$16)+Z$13))</f>
        <v>1602981.29312998</v>
      </c>
      <c r="AA40" s="20" t="n">
        <f aca="false">IF(AA$5&lt;=$B40,AA17,MAX(0,Z40*(1+AA$16)+AA$13))</f>
        <v>1704130.87208359</v>
      </c>
      <c r="AB40" s="20" t="n">
        <f aca="false">IF(AB$5&lt;=$B40,AB17,MAX(0,AA40*(1+AB$16)+AB$13))</f>
        <v>1803883.75385076</v>
      </c>
      <c r="AC40" s="20" t="n">
        <f aca="false">IF(AC$5&lt;=$B40,AC17,MAX(0,AB40*(1+AC$16)+AC$13))</f>
        <v>1901631.95267471</v>
      </c>
      <c r="AD40" s="20" t="n">
        <f aca="false">IF(AD$5&lt;=$B40,AD17,MAX(0,AC40*(1+AD$16)+AD$13))</f>
        <v>1996771.12430644</v>
      </c>
      <c r="AE40" s="20" t="n">
        <f aca="false">IF(AE$5&lt;=$B40,AE17,MAX(0,AD40*(1+AE$16)+AE$13))</f>
        <v>2088707.91725284</v>
      </c>
      <c r="AF40" s="20" t="n">
        <f aca="false">IF(AF$5&lt;=$B40,AF17,MAX(0,AE40*(1+AF$16)+AF$13))</f>
        <v>2176867.33943717</v>
      </c>
    </row>
    <row r="41" customFormat="false" ht="15" hidden="false" customHeight="true" outlineLevel="0" collapsed="false">
      <c r="B41" s="67" t="n">
        <v>2045</v>
      </c>
      <c r="C41" s="20" t="n">
        <f aca="false">C17</f>
        <v>0</v>
      </c>
      <c r="D41" s="20" t="n">
        <f aca="false">IF(D$5&lt;=$B41,D17,MAX(0,C41*(1+D$16)+D$13))</f>
        <v>0</v>
      </c>
      <c r="E41" s="20" t="n">
        <f aca="false">IF(E$5&lt;=$B41,E17,MAX(0,D41*(1+E$16)+E$13))</f>
        <v>0</v>
      </c>
      <c r="F41" s="20" t="n">
        <f aca="false">IF(F$5&lt;=$B41,F17,MAX(0,E41*(1+F$16)+F$13))</f>
        <v>0</v>
      </c>
      <c r="G41" s="20" t="n">
        <f aca="false">IF(G$5&lt;=$B41,G17,MAX(0,F41*(1+G$16)+G$13))</f>
        <v>0</v>
      </c>
      <c r="H41" s="20" t="n">
        <f aca="false">IF(H$5&lt;=$B41,H17,MAX(0,G41*(1+H$16)+H$13))</f>
        <v>0</v>
      </c>
      <c r="I41" s="20" t="n">
        <f aca="false">IF(I$5&lt;=$B41,I17,MAX(0,H41*(1+I$16)+I$13))</f>
        <v>30077.0962523597</v>
      </c>
      <c r="J41" s="20" t="n">
        <f aca="false">IF(J$5&lt;=$B41,J17,MAX(0,I41*(1+J$16)+J$13))</f>
        <v>62890.7456861701</v>
      </c>
      <c r="K41" s="20" t="n">
        <f aca="false">IF(K$5&lt;=$B41,K17,MAX(0,J41*(1+K$16)+K$13))</f>
        <v>129559.486004893</v>
      </c>
      <c r="L41" s="20" t="n">
        <f aca="false">IF(L$5&lt;=$B41,L17,MAX(0,K41*(1+L$16)+L$13))</f>
        <v>201813.311281316</v>
      </c>
      <c r="M41" s="20" t="n">
        <f aca="false">IF(M$5&lt;=$B41,M17,MAX(0,L41*(1+M$16)+M$13))</f>
        <v>280040.284374428</v>
      </c>
      <c r="N41" s="20" t="n">
        <f aca="false">IF(N$5&lt;=$B41,N17,MAX(0,M41*(1+N$16)+N$13))</f>
        <v>364234.132449227</v>
      </c>
      <c r="O41" s="20" t="n">
        <f aca="false">IF(O$5&lt;=$B41,O17,MAX(0,N41*(1+O$16)+O$13))</f>
        <v>454009.813279768</v>
      </c>
      <c r="P41" s="20" t="n">
        <f aca="false">IF(P$5&lt;=$B41,P17,MAX(0,O41*(1+P$16)+P$13))</f>
        <v>549209.683677066</v>
      </c>
      <c r="Q41" s="20" t="n">
        <f aca="false">IF(Q$5&lt;=$B41,Q17,MAX(0,P41*(1+Q$16)+Q$13))</f>
        <v>649617.803693851</v>
      </c>
      <c r="R41" s="20" t="n">
        <f aca="false">IF(R$5&lt;=$B41,R17,MAX(0,Q41*(1+R$16)+R$13))</f>
        <v>754958.836685597</v>
      </c>
      <c r="S41" s="20" t="n">
        <f aca="false">IF(S$5&lt;=$B41,S17,MAX(0,R41*(1+S$16)+S$13))</f>
        <v>864897.770688392</v>
      </c>
      <c r="T41" s="20" t="n">
        <f aca="false">IF(T$5&lt;=$B41,T17,MAX(0,S41*(1+T$16)+T$13))</f>
        <v>979040.518286727</v>
      </c>
      <c r="U41" s="20" t="n">
        <f aca="false">IF(U$5&lt;=$B41,U17,MAX(0,T41*(1+U$16)+U$13))</f>
        <v>1096935.43732657</v>
      </c>
      <c r="V41" s="20" t="n">
        <f aca="false">IF(V$5&lt;=$B41,V17,MAX(0,U41*(1+V$16)+V$13))</f>
        <v>1253515.12423844</v>
      </c>
      <c r="W41" s="20" t="n">
        <f aca="false">IF(W$5&lt;=$B41,W17,MAX(0,V41*(1+W$16)+W$13))</f>
        <v>1356432.78221017</v>
      </c>
      <c r="X41" s="20" t="n">
        <f aca="false">IF(X$5&lt;=$B41,X17,MAX(0,W41*(1+X$16)+X$13))</f>
        <v>1460180.92346998</v>
      </c>
      <c r="Y41" s="20" t="n">
        <f aca="false">IF(Y$5&lt;=$B41,Y17,MAX(0,X41*(1+Y$16)+Y$13))</f>
        <v>1564190.2375527</v>
      </c>
      <c r="Z41" s="20" t="n">
        <f aca="false">IF(Z$5&lt;=$B41,Z17,MAX(0,Y41*(1+Z$16)+Z$13))</f>
        <v>1667868.74092063</v>
      </c>
      <c r="AA41" s="20" t="n">
        <f aca="false">IF(AA$5&lt;=$B41,AA17,MAX(0,Z41*(1+AA$16)+AA$13))</f>
        <v>1770608.06234511</v>
      </c>
      <c r="AB41" s="20" t="n">
        <f aca="false">IF(AB$5&lt;=$B41,AB17,MAX(0,AA41*(1+AB$16)+AB$13))</f>
        <v>1871790.2037029</v>
      </c>
      <c r="AC41" s="20" t="n">
        <f aca="false">IF(AC$5&lt;=$B41,AC17,MAX(0,AB41*(1+AC$16)+AC$13))</f>
        <v>1970794.67184912</v>
      </c>
      <c r="AD41" s="20" t="n">
        <f aca="false">IF(AD$5&lt;=$B41,AD17,MAX(0,AC41*(1+AD$16)+AD$13))</f>
        <v>2067005.86562805</v>
      </c>
      <c r="AE41" s="20" t="n">
        <f aca="false">IF(AE$5&lt;=$B41,AE17,MAX(0,AD41*(1+AE$16)+AE$13))</f>
        <v>2159820.59284097</v>
      </c>
      <c r="AF41" s="20" t="n">
        <f aca="false">IF(AF$5&lt;=$B41,AF17,MAX(0,AE41*(1+AF$16)+AF$13))</f>
        <v>2248655.58544338</v>
      </c>
    </row>
    <row r="44" customFormat="false" ht="15" hidden="false" customHeight="true" outlineLevel="0" collapsed="false">
      <c r="A44" s="30" t="s">
        <v>495</v>
      </c>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customFormat="false" ht="15" hidden="false" customHeight="true" outlineLevel="0" collapsed="false">
      <c r="B45" s="16" t="s">
        <v>101</v>
      </c>
      <c r="C45" s="31" t="n">
        <v>2026</v>
      </c>
      <c r="D45" s="31" t="n">
        <v>2027</v>
      </c>
      <c r="E45" s="31" t="n">
        <v>2028</v>
      </c>
      <c r="F45" s="31" t="n">
        <v>2029</v>
      </c>
      <c r="G45" s="31" t="n">
        <v>2030</v>
      </c>
      <c r="H45" s="31" t="n">
        <v>2031</v>
      </c>
      <c r="I45" s="31" t="n">
        <v>2032</v>
      </c>
      <c r="J45" s="31" t="n">
        <v>2033</v>
      </c>
      <c r="K45" s="31" t="n">
        <v>2034</v>
      </c>
      <c r="L45" s="31" t="n">
        <v>2035</v>
      </c>
      <c r="M45" s="31" t="n">
        <v>2036</v>
      </c>
      <c r="N45" s="31" t="n">
        <v>2037</v>
      </c>
      <c r="O45" s="31" t="n">
        <v>2038</v>
      </c>
      <c r="P45" s="31" t="n">
        <v>2039</v>
      </c>
      <c r="Q45" s="31" t="n">
        <v>2040</v>
      </c>
      <c r="R45" s="31" t="n">
        <v>2041</v>
      </c>
      <c r="S45" s="31" t="n">
        <v>2042</v>
      </c>
      <c r="T45" s="31" t="n">
        <v>2043</v>
      </c>
      <c r="U45" s="31" t="n">
        <v>2044</v>
      </c>
      <c r="V45" s="31" t="n">
        <v>2045</v>
      </c>
      <c r="W45" s="31" t="n">
        <v>2046</v>
      </c>
      <c r="X45" s="31" t="n">
        <v>2047</v>
      </c>
      <c r="Y45" s="31" t="n">
        <v>2048</v>
      </c>
      <c r="Z45" s="31" t="n">
        <v>2049</v>
      </c>
      <c r="AA45" s="31" t="n">
        <v>2050</v>
      </c>
      <c r="AB45" s="31" t="n">
        <v>2051</v>
      </c>
      <c r="AC45" s="31" t="n">
        <v>2052</v>
      </c>
      <c r="AD45" s="31" t="n">
        <v>2053</v>
      </c>
      <c r="AE45" s="31" t="n">
        <v>2054</v>
      </c>
      <c r="AF45" s="31" t="n">
        <v>2055</v>
      </c>
    </row>
    <row r="46" customFormat="false" ht="15" hidden="false" customHeight="true" outlineLevel="0" collapsed="false">
      <c r="B46" s="67" t="n">
        <v>2026</v>
      </c>
      <c r="C46" s="20" t="n">
        <f aca="false">C18</f>
        <v>302223.8</v>
      </c>
      <c r="D46" s="20" t="n">
        <f aca="false">IF(D$5&lt;=$B46,D18,MAX(0,C46*(1+D$15)-MAX(0,-(C22*(1+D$16)+D$13))))</f>
        <v>258419.104</v>
      </c>
      <c r="E46" s="20" t="n">
        <f aca="false">IF(E$5&lt;=$B46,E18,MAX(0,D46*(1+E$15)-MAX(0,-(D22*(1+E$16)+E$13))))</f>
        <v>196189.89232</v>
      </c>
      <c r="F46" s="20" t="n">
        <f aca="false">IF(F$5&lt;=$B46,F18,MAX(0,E46*(1+F$15)-MAX(0,-(E22*(1+F$16)+F$13))))</f>
        <v>144522.3109056</v>
      </c>
      <c r="G46" s="20" t="n">
        <f aca="false">IF(G$5&lt;=$B46,G18,MAX(0,F46*(1+G$15)-MAX(0,-(F22*(1+G$16)+G$13))))</f>
        <v>96678.339522048</v>
      </c>
      <c r="H46" s="20" t="n">
        <f aca="false">IF(H$5&lt;=$B46,H18,MAX(0,G46*(1+H$15)-MAX(0,-(G22*(1+H$16)+H$13))))</f>
        <v>56575.0030889318</v>
      </c>
      <c r="I46" s="20" t="n">
        <f aca="false">IF(I$5&lt;=$B46,I18,MAX(0,H46*(1+I$15)-MAX(0,-(H22*(1+I$16)+I$13))))</f>
        <v>46955.0339531983</v>
      </c>
      <c r="J46" s="20" t="n">
        <f aca="false">IF(J$5&lt;=$B46,J18,MAX(0,I46*(1+J$15)-MAX(0,-(I22*(1+J$16)+J$13))))</f>
        <v>36462.5478989492</v>
      </c>
      <c r="K46" s="20" t="n">
        <f aca="false">IF(K$5&lt;=$B46,K18,MAX(0,J46*(1+K$15)-MAX(0,-(J22*(1+K$16)+K$13))))</f>
        <v>39379.5517308652</v>
      </c>
      <c r="L46" s="20" t="n">
        <f aca="false">IF(L$5&lt;=$B46,L18,MAX(0,K46*(1+L$15)-MAX(0,-(K22*(1+L$16)+L$13))))</f>
        <v>42529.9158693344</v>
      </c>
      <c r="M46" s="20" t="n">
        <f aca="false">IF(M$5&lt;=$B46,M18,MAX(0,L46*(1+M$15)-MAX(0,-(L22*(1+M$16)+M$13))))</f>
        <v>45932.3091388811</v>
      </c>
      <c r="N46" s="20" t="n">
        <f aca="false">IF(N$5&lt;=$B46,N18,MAX(0,M46*(1+N$15)-MAX(0,-(M22*(1+N$16)+N$13))))</f>
        <v>49537.9954062833</v>
      </c>
      <c r="O46" s="20" t="n">
        <f aca="false">IF(O$5&lt;=$B46,O18,MAX(0,N46*(1+O$15)-MAX(0,-(N22*(1+O$16)+O$13))))</f>
        <v>53278.1140594577</v>
      </c>
      <c r="P46" s="20" t="n">
        <f aca="false">IF(P$5&lt;=$B46,P18,MAX(0,O46*(1+P$15)-MAX(0,-(O22*(1+P$16)+P$13))))</f>
        <v>57140.7773287684</v>
      </c>
      <c r="Q46" s="20" t="n">
        <f aca="false">IF(Q$5&lt;=$B46,Q18,MAX(0,P46*(1+Q$15)-MAX(0,-(P22*(1+Q$16)+Q$13))))</f>
        <v>61112.0613531178</v>
      </c>
      <c r="R46" s="20" t="n">
        <f aca="false">IF(R$5&lt;=$B46,R18,MAX(0,Q46*(1+R$15)-MAX(0,-(Q22*(1+R$16)+R$13))))</f>
        <v>65176.0134331001</v>
      </c>
      <c r="S46" s="20" t="n">
        <f aca="false">IF(S$5&lt;=$B46,S18,MAX(0,R46*(1+S$15)-MAX(0,-(R22*(1+S$16)+S$13))))</f>
        <v>69314.690286102</v>
      </c>
      <c r="T46" s="20" t="n">
        <f aca="false">IF(T$5&lt;=$B46,T18,MAX(0,S46*(1+T$15)-MAX(0,-(S22*(1+T$16)+T$13))))</f>
        <v>73508.2290484111</v>
      </c>
      <c r="U46" s="20" t="n">
        <f aca="false">IF(U$5&lt;=$B46,U18,MAX(0,T46*(1+U$15)-MAX(0,-(T22*(1+U$16)+U$13))))</f>
        <v>77734.9522186948</v>
      </c>
      <c r="V46" s="20" t="n">
        <f aca="false">IF(V$5&lt;=$B46,V18,MAX(0,U46*(1+V$15)-MAX(0,-(U22*(1+V$16)+V$13))))</f>
        <v>81971.5071146136</v>
      </c>
      <c r="W46" s="20" t="n">
        <f aca="false">IF(W$5&lt;=$B46,W18,MAX(0,V46*(1+W$15)-MAX(0,-(V22*(1+W$16)+W$13))))</f>
        <v>86193.0397310162</v>
      </c>
      <c r="X46" s="20" t="n">
        <f aca="false">IF(X$5&lt;=$B46,X18,MAX(0,W46*(1+X$15)-MAX(0,-(W22*(1+X$16)+X$13))))</f>
        <v>90373.4021579705</v>
      </c>
      <c r="Y46" s="20" t="n">
        <f aca="false">IF(Y$5&lt;=$B46,Y18,MAX(0,X46*(1+Y$15)-MAX(0,-(X22*(1+Y$16)+Y$13))))</f>
        <v>94485.3919561582</v>
      </c>
      <c r="Z46" s="20" t="n">
        <f aca="false">IF(Z$5&lt;=$B46,Z18,MAX(0,Y46*(1+Z$15)-MAX(0,-(Y22*(1+Z$16)+Z$13))))</f>
        <v>98501.0211142949</v>
      </c>
      <c r="AA46" s="20" t="n">
        <f aca="false">IF(AA$5&lt;=$B46,AA18,MAX(0,Z46*(1+AA$15)-MAX(0,-(Z22*(1+AA$16)+AA$13))))</f>
        <v>102391.81144831</v>
      </c>
      <c r="AB46" s="20" t="n">
        <f aca="false">IF(AB$5&lt;=$B46,AB18,MAX(0,AA46*(1+AB$15)-MAX(0,-(AA22*(1+AB$16)+AB$13))))</f>
        <v>106129.112566173</v>
      </c>
      <c r="AC46" s="20" t="n">
        <f aca="false">IF(AC$5&lt;=$B46,AC18,MAX(0,AB46*(1+AC$15)-MAX(0,-(AB22*(1+AC$16)+AC$13))))</f>
        <v>109684.43783714</v>
      </c>
      <c r="AD46" s="20" t="n">
        <f aca="false">IF(AD$5&lt;=$B46,AD18,MAX(0,AC46*(1+AD$15)-MAX(0,-(AC22*(1+AD$16)+AD$13))))</f>
        <v>113029.813191172</v>
      </c>
      <c r="AE46" s="20" t="n">
        <f aca="false">IF(AE$5&lt;=$B46,AE18,MAX(0,AD46*(1+AE$15)-MAX(0,-(AD22*(1+AE$16)+AE$13))))</f>
        <v>116138.13305393</v>
      </c>
      <c r="AF46" s="20" t="n">
        <f aca="false">IF(AF$5&lt;=$B46,AF18,MAX(0,AE46*(1+AF$15)-MAX(0,-(AE22*(1+AF$16)+AF$13))))</f>
        <v>118983.517313751</v>
      </c>
    </row>
    <row r="47" customFormat="false" ht="15" hidden="false" customHeight="true" outlineLevel="0" collapsed="false">
      <c r="B47" s="67" t="n">
        <v>2027</v>
      </c>
      <c r="C47" s="20" t="n">
        <f aca="false">C18</f>
        <v>302223.8</v>
      </c>
      <c r="D47" s="20" t="n">
        <f aca="false">IF(D$5&lt;=$B47,D18,MAX(0,C47*(1+D$15)-MAX(0,-(C23*(1+D$16)+D$13))))</f>
        <v>341447.268885496</v>
      </c>
      <c r="E47" s="20" t="n">
        <f aca="false">IF(E$5&lt;=$B47,E18,MAX(0,D47*(1+E$15)-MAX(0,-(D23*(1+E$16)+E$13))))</f>
        <v>285860.310396336</v>
      </c>
      <c r="F47" s="20" t="n">
        <f aca="false">IF(F$5&lt;=$B47,F18,MAX(0,E47*(1+F$15)-MAX(0,-(E23*(1+F$16)+F$13))))</f>
        <v>241366.362428043</v>
      </c>
      <c r="G47" s="20" t="n">
        <f aca="false">IF(G$5&lt;=$B47,G18,MAX(0,F47*(1+G$15)-MAX(0,-(F23*(1+G$16)+G$13))))</f>
        <v>201269.915166286</v>
      </c>
      <c r="H47" s="20" t="n">
        <f aca="false">IF(H$5&lt;=$B47,H18,MAX(0,G47*(1+H$15)-MAX(0,-(G23*(1+H$16)+H$13))))</f>
        <v>169533.904784709</v>
      </c>
      <c r="I47" s="20" t="n">
        <f aca="false">IF(I$5&lt;=$B47,I18,MAX(0,H47*(1+I$15)-MAX(0,-(H23*(1+I$16)+I$13))))</f>
        <v>168950.647784638</v>
      </c>
      <c r="J47" s="20" t="n">
        <f aca="false">IF(J$5&lt;=$B47,J18,MAX(0,I47*(1+J$15)-MAX(0,-(I23*(1+J$16)+J$13))))</f>
        <v>168217.810836904</v>
      </c>
      <c r="K47" s="20" t="n">
        <f aca="false">IF(K$5&lt;=$B47,K18,MAX(0,J47*(1+K$15)-MAX(0,-(J23*(1+K$16)+K$13))))</f>
        <v>181675.235703856</v>
      </c>
      <c r="L47" s="20" t="n">
        <f aca="false">IF(L$5&lt;=$B47,L18,MAX(0,K47*(1+L$15)-MAX(0,-(K23*(1+L$16)+L$13))))</f>
        <v>196209.254560164</v>
      </c>
      <c r="M47" s="20" t="n">
        <f aca="false">IF(M$5&lt;=$B47,M18,MAX(0,L47*(1+M$15)-MAX(0,-(L23*(1+M$16)+M$13))))</f>
        <v>211905.994924978</v>
      </c>
      <c r="N47" s="20" t="n">
        <f aca="false">IF(N$5&lt;=$B47,N18,MAX(0,M47*(1+N$15)-MAX(0,-(M23*(1+N$16)+N$13))))</f>
        <v>228540.615526588</v>
      </c>
      <c r="O47" s="20" t="n">
        <f aca="false">IF(O$5&lt;=$B47,O18,MAX(0,N47*(1+O$15)-MAX(0,-(N23*(1+O$16)+O$13))))</f>
        <v>245795.431998846</v>
      </c>
      <c r="P47" s="20" t="n">
        <f aca="false">IF(P$5&lt;=$B47,P18,MAX(0,O47*(1+P$15)-MAX(0,-(O23*(1+P$16)+P$13))))</f>
        <v>263615.600818762</v>
      </c>
      <c r="Q47" s="20" t="n">
        <f aca="false">IF(Q$5&lt;=$B47,Q18,MAX(0,P47*(1+Q$15)-MAX(0,-(P23*(1+Q$16)+Q$13))))</f>
        <v>281936.885075666</v>
      </c>
      <c r="R47" s="20" t="n">
        <f aca="false">IF(R$5&lt;=$B47,R18,MAX(0,Q47*(1+R$15)-MAX(0,-(Q23*(1+R$16)+R$13))))</f>
        <v>300685.687933198</v>
      </c>
      <c r="S47" s="20" t="n">
        <f aca="false">IF(S$5&lt;=$B47,S18,MAX(0,R47*(1+S$15)-MAX(0,-(R23*(1+S$16)+S$13))))</f>
        <v>319779.229116956</v>
      </c>
      <c r="T47" s="20" t="n">
        <f aca="false">IF(T$5&lt;=$B47,T18,MAX(0,S47*(1+T$15)-MAX(0,-(S23*(1+T$16)+T$13))))</f>
        <v>339125.872478532</v>
      </c>
      <c r="U47" s="20" t="n">
        <f aca="false">IF(U$5&lt;=$B47,U18,MAX(0,T47*(1+U$15)-MAX(0,-(T23*(1+U$16)+U$13))))</f>
        <v>358625.610146047</v>
      </c>
      <c r="V47" s="20" t="n">
        <f aca="false">IF(V$5&lt;=$B47,V18,MAX(0,U47*(1+V$15)-MAX(0,-(U23*(1+V$16)+V$13))))</f>
        <v>378170.705899007</v>
      </c>
      <c r="W47" s="20" t="n">
        <f aca="false">IF(W$5&lt;=$B47,W18,MAX(0,V47*(1+W$15)-MAX(0,-(V23*(1+W$16)+W$13))))</f>
        <v>397646.497252806</v>
      </c>
      <c r="X47" s="20" t="n">
        <f aca="false">IF(X$5&lt;=$B47,X18,MAX(0,W47*(1+X$15)-MAX(0,-(W23*(1+X$16)+X$13))))</f>
        <v>416932.352369567</v>
      </c>
      <c r="Y47" s="20" t="n">
        <f aca="false">IF(Y$5&lt;=$B47,Y18,MAX(0,X47*(1+Y$15)-MAX(0,-(X23*(1+Y$16)+Y$13))))</f>
        <v>435902.774402382</v>
      </c>
      <c r="Z47" s="20" t="n">
        <f aca="false">IF(Z$5&lt;=$B47,Z18,MAX(0,Y47*(1+Z$15)-MAX(0,-(Y23*(1+Z$16)+Z$13))))</f>
        <v>454428.642314483</v>
      </c>
      <c r="AA47" s="20" t="n">
        <f aca="false">IF(AA$5&lt;=$B47,AA18,MAX(0,Z47*(1+AA$15)-MAX(0,-(Z23*(1+AA$16)+AA$13))))</f>
        <v>472378.573685905</v>
      </c>
      <c r="AB47" s="20" t="n">
        <f aca="false">IF(AB$5&lt;=$B47,AB18,MAX(0,AA47*(1+AB$15)-MAX(0,-(AA23*(1+AB$16)+AB$13))))</f>
        <v>489620.391625441</v>
      </c>
      <c r="AC47" s="20" t="n">
        <f aca="false">IF(AC$5&lt;=$B47,AC18,MAX(0,AB47*(1+AC$15)-MAX(0,-(AB23*(1+AC$16)+AC$13))))</f>
        <v>506022.674744893</v>
      </c>
      <c r="AD47" s="20" t="n">
        <f aca="false">IF(AD$5&lt;=$B47,AD18,MAX(0,AC47*(1+AD$15)-MAX(0,-(AC23*(1+AD$16)+AD$13))))</f>
        <v>521456.366324613</v>
      </c>
      <c r="AE47" s="20" t="n">
        <f aca="false">IF(AE$5&lt;=$B47,AE18,MAX(0,AD47*(1+AE$15)-MAX(0,-(AD23*(1+AE$16)+AE$13))))</f>
        <v>535796.416398539</v>
      </c>
      <c r="AF47" s="20" t="n">
        <f aca="false">IF(AF$5&lt;=$B47,AF18,MAX(0,AE47*(1+AF$15)-MAX(0,-(AE23*(1+AF$16)+AF$13))))</f>
        <v>548923.428600304</v>
      </c>
    </row>
    <row r="48" customFormat="false" ht="15" hidden="false" customHeight="true" outlineLevel="0" collapsed="false">
      <c r="B48" s="67" t="n">
        <v>2028</v>
      </c>
      <c r="C48" s="20" t="n">
        <f aca="false">C18</f>
        <v>302223.8</v>
      </c>
      <c r="D48" s="20" t="n">
        <f aca="false">IF(D$5&lt;=$B48,D18,MAX(0,C48*(1+D$15)-MAX(0,-(C24*(1+D$16)+D$13))))</f>
        <v>341447.268885496</v>
      </c>
      <c r="E48" s="20" t="n">
        <f aca="false">IF(E$5&lt;=$B48,E18,MAX(0,D48*(1+E$15)-MAX(0,-(D24*(1+E$16)+E$13))))</f>
        <v>378426.982520813</v>
      </c>
      <c r="F48" s="20" t="n">
        <f aca="false">IF(F$5&lt;=$B48,F18,MAX(0,E48*(1+F$15)-MAX(0,-(E24*(1+F$16)+F$13))))</f>
        <v>341338.368322478</v>
      </c>
      <c r="G48" s="20" t="n">
        <f aca="false">IF(G$5&lt;=$B48,G18,MAX(0,F48*(1+G$15)-MAX(0,-(F24*(1+G$16)+G$13))))</f>
        <v>309239.681532277</v>
      </c>
      <c r="H48" s="20" t="n">
        <f aca="false">IF(H$5&lt;=$B48,H18,MAX(0,G48*(1+H$15)-MAX(0,-(G24*(1+H$16)+H$13))))</f>
        <v>286141.252459979</v>
      </c>
      <c r="I48" s="20" t="n">
        <f aca="false">IF(I$5&lt;=$B48,I18,MAX(0,H48*(1+I$15)-MAX(0,-(H24*(1+I$16)+I$13))))</f>
        <v>294886.583273929</v>
      </c>
      <c r="J48" s="20" t="n">
        <f aca="false">IF(J$5&lt;=$B48,J18,MAX(0,I48*(1+J$15)-MAX(0,-(I24*(1+J$16)+J$13))))</f>
        <v>304228.621165338</v>
      </c>
      <c r="K48" s="20" t="n">
        <f aca="false">IF(K$5&lt;=$B48,K18,MAX(0,J48*(1+K$15)-MAX(0,-(J24*(1+K$16)+K$13))))</f>
        <v>328566.910858566</v>
      </c>
      <c r="L48" s="20" t="n">
        <f aca="false">IF(L$5&lt;=$B48,L18,MAX(0,K48*(1+L$15)-MAX(0,-(K24*(1+L$16)+L$13))))</f>
        <v>354852.263727251</v>
      </c>
      <c r="M48" s="20" t="n">
        <f aca="false">IF(M$5&lt;=$B48,M18,MAX(0,L48*(1+M$15)-MAX(0,-(L24*(1+M$16)+M$13))))</f>
        <v>383240.444825431</v>
      </c>
      <c r="N48" s="20" t="n">
        <f aca="false">IF(N$5&lt;=$B48,N18,MAX(0,M48*(1+N$15)-MAX(0,-(M24*(1+N$16)+N$13))))</f>
        <v>413324.819744227</v>
      </c>
      <c r="O48" s="20" t="n">
        <f aca="false">IF(O$5&lt;=$B48,O18,MAX(0,N48*(1+O$15)-MAX(0,-(N24*(1+O$16)+O$13))))</f>
        <v>444530.843634916</v>
      </c>
      <c r="P48" s="20" t="n">
        <f aca="false">IF(P$5&lt;=$B48,P18,MAX(0,O48*(1+P$15)-MAX(0,-(O24*(1+P$16)+P$13))))</f>
        <v>476759.329798448</v>
      </c>
      <c r="Q48" s="20" t="n">
        <f aca="false">IF(Q$5&lt;=$B48,Q18,MAX(0,P48*(1+Q$15)-MAX(0,-(P24*(1+Q$16)+Q$13))))</f>
        <v>509894.10321944</v>
      </c>
      <c r="R48" s="20" t="n">
        <f aca="false">IF(R$5&lt;=$B48,R18,MAX(0,Q48*(1+R$15)-MAX(0,-(Q24*(1+R$16)+R$13))))</f>
        <v>543802.061083533</v>
      </c>
      <c r="S48" s="20" t="n">
        <f aca="false">IF(S$5&lt;=$B48,S18,MAX(0,R48*(1+S$15)-MAX(0,-(R24*(1+S$16)+S$13))))</f>
        <v>578333.491962337</v>
      </c>
      <c r="T48" s="20" t="n">
        <f aca="false">IF(T$5&lt;=$B48,T18,MAX(0,S48*(1+T$15)-MAX(0,-(S24*(1+T$16)+T$13))))</f>
        <v>613322.668226058</v>
      </c>
      <c r="U48" s="20" t="n">
        <f aca="false">IF(U$5&lt;=$B48,U18,MAX(0,T48*(1+U$15)-MAX(0,-(T24*(1+U$16)+U$13))))</f>
        <v>648588.721649057</v>
      </c>
      <c r="V48" s="20" t="n">
        <f aca="false">IF(V$5&lt;=$B48,V18,MAX(0,U48*(1+V$15)-MAX(0,-(U24*(1+V$16)+V$13))))</f>
        <v>683936.80697893</v>
      </c>
      <c r="W48" s="20" t="n">
        <f aca="false">IF(W$5&lt;=$B48,W18,MAX(0,V48*(1+W$15)-MAX(0,-(V24*(1+W$16)+W$13))))</f>
        <v>719159.552538345</v>
      </c>
      <c r="X48" s="20" t="n">
        <f aca="false">IF(X$5&lt;=$B48,X18,MAX(0,W48*(1+X$15)-MAX(0,-(W24*(1+X$16)+X$13))))</f>
        <v>754038.790836455</v>
      </c>
      <c r="Y48" s="20" t="n">
        <f aca="false">IF(Y$5&lt;=$B48,Y18,MAX(0,X48*(1+Y$15)-MAX(0,-(X24*(1+Y$16)+Y$13))))</f>
        <v>788347.555819514</v>
      </c>
      <c r="Z48" s="20" t="n">
        <f aca="false">IF(Z$5&lt;=$B48,Z18,MAX(0,Y48*(1+Z$15)-MAX(0,-(Y24*(1+Z$16)+Z$13))))</f>
        <v>821852.326941843</v>
      </c>
      <c r="AA48" s="20" t="n">
        <f aca="false">IF(AA$5&lt;=$B48,AA18,MAX(0,Z48*(1+AA$15)-MAX(0,-(Z24*(1+AA$16)+AA$13))))</f>
        <v>854315.493856046</v>
      </c>
      <c r="AB48" s="20" t="n">
        <f aca="false">IF(AB$5&lt;=$B48,AB18,MAX(0,AA48*(1+AB$15)-MAX(0,-(AA24*(1+AB$16)+AB$13))))</f>
        <v>885498.009381792</v>
      </c>
      <c r="AC48" s="20" t="n">
        <f aca="false">IF(AC$5&lt;=$B48,AC18,MAX(0,AB48*(1+AC$15)-MAX(0,-(AB24*(1+AC$16)+AC$13))))</f>
        <v>915162.192696082</v>
      </c>
      <c r="AD48" s="20" t="n">
        <f aca="false">IF(AD$5&lt;=$B48,AD18,MAX(0,AC48*(1+AD$15)-MAX(0,-(AC24*(1+AD$16)+AD$13))))</f>
        <v>943074.639573312</v>
      </c>
      <c r="AE48" s="20" t="n">
        <f aca="false">IF(AE$5&lt;=$B48,AE18,MAX(0,AD48*(1+AE$15)-MAX(0,-(AD24*(1+AE$16)+AE$13))))</f>
        <v>969009.192161579</v>
      </c>
      <c r="AF48" s="20" t="n">
        <f aca="false">IF(AF$5&lt;=$B48,AF18,MAX(0,AE48*(1+AF$15)-MAX(0,-(AE24*(1+AF$16)+AF$13))))</f>
        <v>992749.917369537</v>
      </c>
    </row>
    <row r="49" customFormat="false" ht="15" hidden="false" customHeight="true" outlineLevel="0" collapsed="false">
      <c r="B49" s="67" t="n">
        <v>2029</v>
      </c>
      <c r="C49" s="20" t="n">
        <f aca="false">C18</f>
        <v>302223.8</v>
      </c>
      <c r="D49" s="20" t="n">
        <f aca="false">IF(D$5&lt;=$B49,D18,MAX(0,C49*(1+D$15)-MAX(0,-(C25*(1+D$16)+D$13))))</f>
        <v>341447.268885496</v>
      </c>
      <c r="E49" s="20" t="n">
        <f aca="false">IF(E$5&lt;=$B49,E18,MAX(0,D49*(1+E$15)-MAX(0,-(D25*(1+E$16)+E$13))))</f>
        <v>378426.982520813</v>
      </c>
      <c r="F49" s="20" t="n">
        <f aca="false">IF(F$5&lt;=$B49,F18,MAX(0,E49*(1+F$15)-MAX(0,-(E25*(1+F$16)+F$13))))</f>
        <v>423092.815822478</v>
      </c>
      <c r="G49" s="20" t="n">
        <f aca="false">IF(G$5&lt;=$B49,G18,MAX(0,F49*(1+G$15)-MAX(0,-(F25*(1+G$16)+G$13))))</f>
        <v>397534.484832277</v>
      </c>
      <c r="H49" s="20" t="n">
        <f aca="false">IF(H$5&lt;=$B49,H18,MAX(0,G49*(1+H$15)-MAX(0,-(G25*(1+H$16)+H$13))))</f>
        <v>381499.640023979</v>
      </c>
      <c r="I49" s="20" t="n">
        <f aca="false">IF(I$5&lt;=$B49,I18,MAX(0,H49*(1+I$15)-MAX(0,-(H25*(1+I$16)+I$13))))</f>
        <v>397873.641843049</v>
      </c>
      <c r="J49" s="20" t="n">
        <f aca="false">IF(J$5&lt;=$B49,J18,MAX(0,I49*(1+J$15)-MAX(0,-(I25*(1+J$16)+J$13))))</f>
        <v>415454.644419988</v>
      </c>
      <c r="K49" s="20" t="n">
        <f aca="false">IF(K$5&lt;=$B49,K18,MAX(0,J49*(1+K$15)-MAX(0,-(J25*(1+K$16)+K$13))))</f>
        <v>448691.015973587</v>
      </c>
      <c r="L49" s="20" t="n">
        <f aca="false">IF(L$5&lt;=$B49,L18,MAX(0,K49*(1+L$15)-MAX(0,-(K25*(1+L$16)+L$13))))</f>
        <v>484586.297251474</v>
      </c>
      <c r="M49" s="20" t="n">
        <f aca="false">IF(M$5&lt;=$B49,M18,MAX(0,L49*(1+M$15)-MAX(0,-(L25*(1+M$16)+M$13))))</f>
        <v>523353.201031592</v>
      </c>
      <c r="N49" s="20" t="n">
        <f aca="false">IF(N$5&lt;=$B49,N18,MAX(0,M49*(1+N$15)-MAX(0,-(M25*(1+N$16)+N$13))))</f>
        <v>564436.427312572</v>
      </c>
      <c r="O49" s="20" t="n">
        <f aca="false">IF(O$5&lt;=$B49,O18,MAX(0,N49*(1+O$15)-MAX(0,-(N25*(1+O$16)+O$13))))</f>
        <v>607051.377574671</v>
      </c>
      <c r="P49" s="20" t="n">
        <f aca="false">IF(P$5&lt;=$B49,P18,MAX(0,O49*(1+P$15)-MAX(0,-(O25*(1+P$16)+P$13))))</f>
        <v>651062.602448835</v>
      </c>
      <c r="Q49" s="20" t="n">
        <f aca="false">IF(Q$5&lt;=$B49,Q18,MAX(0,P49*(1+Q$15)-MAX(0,-(P25*(1+Q$16)+Q$13))))</f>
        <v>696311.453319029</v>
      </c>
      <c r="R49" s="20" t="n">
        <f aca="false">IF(R$5&lt;=$B49,R18,MAX(0,Q49*(1+R$15)-MAX(0,-(Q25*(1+R$16)+R$13))))</f>
        <v>742616.164964744</v>
      </c>
      <c r="S49" s="20" t="n">
        <f aca="false">IF(S$5&lt;=$B49,S18,MAX(0,R49*(1+S$15)-MAX(0,-(R25*(1+S$16)+S$13))))</f>
        <v>789772.291440005</v>
      </c>
      <c r="T49" s="20" t="n">
        <f aca="false">IF(T$5&lt;=$B49,T18,MAX(0,S49*(1+T$15)-MAX(0,-(S25*(1+T$16)+T$13))))</f>
        <v>837553.515072126</v>
      </c>
      <c r="U49" s="20" t="n">
        <f aca="false">IF(U$5&lt;=$B49,U18,MAX(0,T49*(1+U$15)-MAX(0,-(T25*(1+U$16)+U$13))))</f>
        <v>885712.842188773</v>
      </c>
      <c r="V49" s="20" t="n">
        <f aca="false">IF(V$5&lt;=$B49,V18,MAX(0,U49*(1+V$15)-MAX(0,-(U25*(1+V$16)+V$13))))</f>
        <v>933984.192088061</v>
      </c>
      <c r="W49" s="20" t="n">
        <f aca="false">IF(W$5&lt;=$B49,W18,MAX(0,V49*(1+W$15)-MAX(0,-(V25*(1+W$16)+W$13))))</f>
        <v>982084.377980596</v>
      </c>
      <c r="X49" s="20" t="n">
        <f aca="false">IF(X$5&lt;=$B49,X18,MAX(0,W49*(1+X$15)-MAX(0,-(W25*(1+X$16)+X$13))))</f>
        <v>1029715.47031266</v>
      </c>
      <c r="Y49" s="20" t="n">
        <f aca="false">IF(Y$5&lt;=$B49,Y18,MAX(0,X49*(1+Y$15)-MAX(0,-(X25*(1+Y$16)+Y$13))))</f>
        <v>1076567.52421188</v>
      </c>
      <c r="Z49" s="20" t="n">
        <f aca="false">IF(Z$5&lt;=$B49,Z18,MAX(0,Y49*(1+Z$15)-MAX(0,-(Y25*(1+Z$16)+Z$13))))</f>
        <v>1122321.64399089</v>
      </c>
      <c r="AA49" s="20" t="n">
        <f aca="false">IF(AA$5&lt;=$B49,AA18,MAX(0,Z49*(1+AA$15)-MAX(0,-(Z25*(1+AA$16)+AA$13))))</f>
        <v>1166653.34892853</v>
      </c>
      <c r="AB49" s="20" t="n">
        <f aca="false">IF(AB$5&lt;=$B49,AB18,MAX(0,AA49*(1+AB$15)-MAX(0,-(AA25*(1+AB$16)+AB$13))))</f>
        <v>1209236.19616442</v>
      </c>
      <c r="AC49" s="20" t="n">
        <f aca="false">IF(AC$5&lt;=$B49,AC18,MAX(0,AB49*(1+AC$15)-MAX(0,-(AB25*(1+AC$16)+AC$13))))</f>
        <v>1249745.60873593</v>
      </c>
      <c r="AD49" s="20" t="n">
        <f aca="false">IF(AD$5&lt;=$B49,AD18,MAX(0,AC49*(1+AD$15)-MAX(0,-(AC25*(1+AD$16)+AD$13))))</f>
        <v>1287862.84980237</v>
      </c>
      <c r="AE49" s="20" t="n">
        <f aca="false">IF(AE$5&lt;=$B49,AE18,MAX(0,AD49*(1+AE$15)-MAX(0,-(AD25*(1+AE$16)+AE$13))))</f>
        <v>1323279.07817194</v>
      </c>
      <c r="AF49" s="20" t="n">
        <f aca="false">IF(AF$5&lt;=$B49,AF18,MAX(0,AE49*(1+AF$15)-MAX(0,-(AE25*(1+AF$16)+AF$13))))</f>
        <v>1355699.41558715</v>
      </c>
    </row>
    <row r="50" customFormat="false" ht="15" hidden="false" customHeight="true" outlineLevel="0" collapsed="false">
      <c r="B50" s="67" t="n">
        <v>2030</v>
      </c>
      <c r="C50" s="20" t="n">
        <f aca="false">C18</f>
        <v>302223.8</v>
      </c>
      <c r="D50" s="20" t="n">
        <f aca="false">IF(D$5&lt;=$B50,D18,MAX(0,C50*(1+D$15)-MAX(0,-(C26*(1+D$16)+D$13))))</f>
        <v>341447.268885496</v>
      </c>
      <c r="E50" s="20" t="n">
        <f aca="false">IF(E$5&lt;=$B50,E18,MAX(0,D50*(1+E$15)-MAX(0,-(D26*(1+E$16)+E$13))))</f>
        <v>378426.982520813</v>
      </c>
      <c r="F50" s="20" t="n">
        <f aca="false">IF(F$5&lt;=$B50,F18,MAX(0,E50*(1+F$15)-MAX(0,-(E26*(1+F$16)+F$13))))</f>
        <v>423092.815822478</v>
      </c>
      <c r="G50" s="20" t="n">
        <f aca="false">IF(G$5&lt;=$B50,G18,MAX(0,F50*(1+G$15)-MAX(0,-(F26*(1+G$16)+G$13))))</f>
        <v>480040.314931477</v>
      </c>
      <c r="H50" s="20" t="n">
        <f aca="false">IF(H$5&lt;=$B50,H18,MAX(0,G50*(1+H$15)-MAX(0,-(G26*(1+H$16)+H$13))))</f>
        <v>470605.936531115</v>
      </c>
      <c r="I50" s="20" t="n">
        <f aca="false">IF(I$5&lt;=$B50,I18,MAX(0,H50*(1+I$15)-MAX(0,-(H26*(1+I$16)+I$13))))</f>
        <v>494108.442070756</v>
      </c>
      <c r="J50" s="20" t="n">
        <f aca="false">IF(J$5&lt;=$B50,J18,MAX(0,I50*(1+J$15)-MAX(0,-(I26*(1+J$16)+J$13))))</f>
        <v>519388.228665911</v>
      </c>
      <c r="K50" s="20" t="n">
        <f aca="false">IF(K$5&lt;=$B50,K18,MAX(0,J50*(1+K$15)-MAX(0,-(J26*(1+K$16)+K$13))))</f>
        <v>560939.286959184</v>
      </c>
      <c r="L50" s="20" t="n">
        <f aca="false">IF(L$5&lt;=$B50,L18,MAX(0,K50*(1+L$15)-MAX(0,-(K26*(1+L$16)+L$13))))</f>
        <v>605814.429915919</v>
      </c>
      <c r="M50" s="20" t="n">
        <f aca="false">IF(M$5&lt;=$B50,M18,MAX(0,L50*(1+M$15)-MAX(0,-(L26*(1+M$16)+M$13))))</f>
        <v>654279.584309193</v>
      </c>
      <c r="N50" s="20" t="n">
        <f aca="false">IF(N$5&lt;=$B50,N18,MAX(0,M50*(1+N$15)-MAX(0,-(M26*(1+N$16)+N$13))))</f>
        <v>705640.531677464</v>
      </c>
      <c r="O50" s="20" t="n">
        <f aca="false">IF(O$5&lt;=$B50,O18,MAX(0,N50*(1+O$15)-MAX(0,-(N26*(1+O$16)+O$13))))</f>
        <v>758916.391819113</v>
      </c>
      <c r="P50" s="20" t="n">
        <f aca="false">IF(P$5&lt;=$B50,P18,MAX(0,O50*(1+P$15)-MAX(0,-(O26*(1+P$16)+P$13))))</f>
        <v>813937.830225998</v>
      </c>
      <c r="Q50" s="20" t="n">
        <f aca="false">IF(Q$5&lt;=$B50,Q18,MAX(0,P50*(1+Q$15)-MAX(0,-(P26*(1+Q$16)+Q$13))))</f>
        <v>870506.509426705</v>
      </c>
      <c r="R50" s="20" t="n">
        <f aca="false">IF(R$5&lt;=$B50,R18,MAX(0,Q50*(1+R$15)-MAX(0,-(Q26*(1+R$16)+R$13))))</f>
        <v>928395.192303581</v>
      </c>
      <c r="S50" s="20" t="n">
        <f aca="false">IF(S$5&lt;=$B50,S18,MAX(0,R50*(1+S$15)-MAX(0,-(R26*(1+S$16)+S$13))))</f>
        <v>987348.287014859</v>
      </c>
      <c r="T50" s="20" t="n">
        <f aca="false">IF(T$5&lt;=$B50,T18,MAX(0,S50*(1+T$15)-MAX(0,-(S26*(1+T$16)+T$13))))</f>
        <v>1047082.85837926</v>
      </c>
      <c r="U50" s="20" t="n">
        <f aca="false">IF(U$5&lt;=$B50,U18,MAX(0,T50*(1+U$15)-MAX(0,-(T26*(1+U$16)+U$13))))</f>
        <v>1107290.12273607</v>
      </c>
      <c r="V50" s="20" t="n">
        <f aca="false">IF(V$5&lt;=$B50,V18,MAX(0,U50*(1+V$15)-MAX(0,-(U26*(1+V$16)+V$13))))</f>
        <v>1167637.43442518</v>
      </c>
      <c r="W50" s="20" t="n">
        <f aca="false">IF(W$5&lt;=$B50,W18,MAX(0,V50*(1+W$15)-MAX(0,-(V26*(1+W$16)+W$13))))</f>
        <v>1227770.76229808</v>
      </c>
      <c r="X50" s="20" t="n">
        <f aca="false">IF(X$5&lt;=$B50,X18,MAX(0,W50*(1+X$15)-MAX(0,-(W26*(1+X$16)+X$13))))</f>
        <v>1287317.64426953</v>
      </c>
      <c r="Y50" s="20" t="n">
        <f aca="false">IF(Y$5&lt;=$B50,Y18,MAX(0,X50*(1+Y$15)-MAX(0,-(X26*(1+Y$16)+Y$13))))</f>
        <v>1345890.5970838</v>
      </c>
      <c r="Z50" s="20" t="n">
        <f aca="false">IF(Z$5&lt;=$B50,Z18,MAX(0,Y50*(1+Z$15)-MAX(0,-(Y26*(1+Z$16)+Z$13))))</f>
        <v>1403090.94745986</v>
      </c>
      <c r="AA50" s="20" t="n">
        <f aca="false">IF(AA$5&lt;=$B50,AA18,MAX(0,Z50*(1+AA$15)-MAX(0,-(Z26*(1+AA$16)+AA$13))))</f>
        <v>1458513.03988452</v>
      </c>
      <c r="AB50" s="20" t="n">
        <f aca="false">IF(AB$5&lt;=$B50,AB18,MAX(0,AA50*(1+AB$15)-MAX(0,-(AA26*(1+AB$16)+AB$13))))</f>
        <v>1511748.76584031</v>
      </c>
      <c r="AC50" s="20" t="n">
        <f aca="false">IF(AC$5&lt;=$B50,AC18,MAX(0,AB50*(1+AC$15)-MAX(0,-(AB26*(1+AC$16)+AC$13))))</f>
        <v>1562392.34949596</v>
      </c>
      <c r="AD50" s="20" t="n">
        <f aca="false">IF(AD$5&lt;=$B50,AD18,MAX(0,AC50*(1+AD$15)-MAX(0,-(AC26*(1+AD$16)+AD$13))))</f>
        <v>1610045.31615559</v>
      </c>
      <c r="AE50" s="20" t="n">
        <f aca="false">IF(AE$5&lt;=$B50,AE18,MAX(0,AD50*(1+AE$15)-MAX(0,-(AD26*(1+AE$16)+AE$13))))</f>
        <v>1654321.56234987</v>
      </c>
      <c r="AF50" s="20" t="n">
        <f aca="false">IF(AF$5&lt;=$B50,AF18,MAX(0,AE50*(1+AF$15)-MAX(0,-(AE26*(1+AF$16)+AF$13))))</f>
        <v>1694852.44062744</v>
      </c>
    </row>
    <row r="51" customFormat="false" ht="15" hidden="false" customHeight="true" outlineLevel="0" collapsed="false">
      <c r="B51" s="67" t="n">
        <v>2031</v>
      </c>
      <c r="C51" s="20" t="n">
        <f aca="false">C18</f>
        <v>302223.8</v>
      </c>
      <c r="D51" s="20" t="n">
        <f aca="false">IF(D$5&lt;=$B51,D18,MAX(0,C51*(1+D$15)-MAX(0,-(C27*(1+D$16)+D$13))))</f>
        <v>341447.268885496</v>
      </c>
      <c r="E51" s="20" t="n">
        <f aca="false">IF(E$5&lt;=$B51,E18,MAX(0,D51*(1+E$15)-MAX(0,-(D27*(1+E$16)+E$13))))</f>
        <v>378426.982520813</v>
      </c>
      <c r="F51" s="20" t="n">
        <f aca="false">IF(F$5&lt;=$B51,F18,MAX(0,E51*(1+F$15)-MAX(0,-(E27*(1+F$16)+F$13))))</f>
        <v>423092.815822478</v>
      </c>
      <c r="G51" s="20" t="n">
        <f aca="false">IF(G$5&lt;=$B51,G18,MAX(0,F51*(1+G$15)-MAX(0,-(F27*(1+G$16)+G$13))))</f>
        <v>480040.314931477</v>
      </c>
      <c r="H51" s="20" t="n">
        <f aca="false">IF(H$5&lt;=$B51,H18,MAX(0,G51*(1+H$15)-MAX(0,-(G27*(1+H$16)+H$13))))</f>
        <v>554761.883232299</v>
      </c>
      <c r="I51" s="20" t="n">
        <f aca="false">IF(I$5&lt;=$B51,I18,MAX(0,H51*(1+I$15)-MAX(0,-(H27*(1+I$16)+I$13))))</f>
        <v>584996.864508035</v>
      </c>
      <c r="J51" s="20" t="n">
        <f aca="false">IF(J$5&lt;=$B51,J18,MAX(0,I51*(1+J$15)-MAX(0,-(I27*(1+J$16)+J$13))))</f>
        <v>617547.724898172</v>
      </c>
      <c r="K51" s="20" t="n">
        <f aca="false">IF(K$5&lt;=$B51,K18,MAX(0,J51*(1+K$15)-MAX(0,-(J27*(1+K$16)+K$13))))</f>
        <v>666951.542890026</v>
      </c>
      <c r="L51" s="20" t="n">
        <f aca="false">IF(L$5&lt;=$B51,L18,MAX(0,K51*(1+L$15)-MAX(0,-(K27*(1+L$16)+L$13))))</f>
        <v>720307.666321228</v>
      </c>
      <c r="M51" s="20" t="n">
        <f aca="false">IF(M$5&lt;=$B51,M18,MAX(0,L51*(1+M$15)-MAX(0,-(L27*(1+M$16)+M$13))))</f>
        <v>777932.279626927</v>
      </c>
      <c r="N51" s="20" t="n">
        <f aca="false">IF(N$5&lt;=$B51,N18,MAX(0,M51*(1+N$15)-MAX(0,-(M27*(1+N$16)+N$13))))</f>
        <v>838999.96357764</v>
      </c>
      <c r="O51" s="20" t="n">
        <f aca="false">IF(O$5&lt;=$B51,O18,MAX(0,N51*(1+O$15)-MAX(0,-(N27*(1+O$16)+O$13))))</f>
        <v>902344.460827752</v>
      </c>
      <c r="P51" s="20" t="n">
        <f aca="false">IF(P$5&lt;=$B51,P18,MAX(0,O51*(1+P$15)-MAX(0,-(O27*(1+P$16)+P$13))))</f>
        <v>967764.434237764</v>
      </c>
      <c r="Q51" s="20" t="n">
        <f aca="false">IF(Q$5&lt;=$B51,Q18,MAX(0,P51*(1+Q$15)-MAX(0,-(P27*(1+Q$16)+Q$13))))</f>
        <v>1035024.06241729</v>
      </c>
      <c r="R51" s="20" t="n">
        <f aca="false">IF(R$5&lt;=$B51,R18,MAX(0,Q51*(1+R$15)-MAX(0,-(Q27*(1+R$16)+R$13))))</f>
        <v>1103853.16256804</v>
      </c>
      <c r="S51" s="20" t="n">
        <f aca="false">IF(S$5&lt;=$B51,S18,MAX(0,R51*(1+S$15)-MAX(0,-(R27*(1+S$16)+S$13))))</f>
        <v>1173947.83839111</v>
      </c>
      <c r="T51" s="20" t="n">
        <f aca="false">IF(T$5&lt;=$B51,T18,MAX(0,S51*(1+T$15)-MAX(0,-(S27*(1+T$16)+T$13))))</f>
        <v>1244971.68261377</v>
      </c>
      <c r="U51" s="20" t="n">
        <f aca="false">IF(U$5&lt;=$B51,U18,MAX(0,T51*(1+U$15)-MAX(0,-(T27*(1+U$16)+U$13))))</f>
        <v>1316557.55436406</v>
      </c>
      <c r="V51" s="20" t="n">
        <f aca="false">IF(V$5&lt;=$B51,V18,MAX(0,U51*(1+V$15)-MAX(0,-(U27*(1+V$16)+V$13))))</f>
        <v>1388309.9410769</v>
      </c>
      <c r="W51" s="20" t="n">
        <f aca="false">IF(W$5&lt;=$B51,W18,MAX(0,V51*(1+W$15)-MAX(0,-(V27*(1+W$16)+W$13))))</f>
        <v>1459807.90304237</v>
      </c>
      <c r="X51" s="20" t="n">
        <f aca="false">IF(X$5&lt;=$B51,X18,MAX(0,W51*(1+X$15)-MAX(0,-(W27*(1+X$16)+X$13))))</f>
        <v>1530608.58633992</v>
      </c>
      <c r="Y51" s="20" t="n">
        <f aca="false">IF(Y$5&lt;=$B51,Y18,MAX(0,X51*(1+Y$15)-MAX(0,-(X27*(1+Y$16)+Y$13))))</f>
        <v>1600251.27701839</v>
      </c>
      <c r="Z51" s="20" t="n">
        <f aca="false">IF(Z$5&lt;=$B51,Z18,MAX(0,Y51*(1+Z$15)-MAX(0,-(Y27*(1+Z$16)+Z$13))))</f>
        <v>1668261.95629167</v>
      </c>
      <c r="AA51" s="20" t="n">
        <f aca="false">IF(AA$5&lt;=$B51,AA18,MAX(0,Z51*(1+AA$15)-MAX(0,-(Z27*(1+AA$16)+AA$13))))</f>
        <v>1734158.30356519</v>
      </c>
      <c r="AB51" s="20" t="n">
        <f aca="false">IF(AB$5&lt;=$B51,AB18,MAX(0,AA51*(1+AB$15)-MAX(0,-(AA27*(1+AB$16)+AB$13))))</f>
        <v>1797455.08164532</v>
      </c>
      <c r="AC51" s="20" t="n">
        <f aca="false">IF(AC$5&lt;=$B51,AC18,MAX(0,AB51*(1+AC$15)-MAX(0,-(AB27*(1+AC$16)+AC$13))))</f>
        <v>1857669.82688044</v>
      </c>
      <c r="AD51" s="20" t="n">
        <f aca="false">IF(AD$5&lt;=$B51,AD18,MAX(0,AC51*(1+AD$15)-MAX(0,-(AC27*(1+AD$16)+AD$13))))</f>
        <v>1914328.75660029</v>
      </c>
      <c r="AE51" s="20" t="n">
        <f aca="false">IF(AE$5&lt;=$B51,AE18,MAX(0,AD51*(1+AE$15)-MAX(0,-(AD27*(1+AE$16)+AE$13))))</f>
        <v>1966972.7974068</v>
      </c>
      <c r="AF51" s="20" t="n">
        <f aca="false">IF(AF$5&lt;=$B51,AF18,MAX(0,AE51*(1+AF$15)-MAX(0,-(AE27*(1+AF$16)+AF$13))))</f>
        <v>2015163.63094326</v>
      </c>
    </row>
    <row r="52" customFormat="false" ht="15" hidden="false" customHeight="true" outlineLevel="0" collapsed="false">
      <c r="B52" s="67" t="n">
        <v>2032</v>
      </c>
      <c r="C52" s="20" t="n">
        <f aca="false">C18</f>
        <v>302223.8</v>
      </c>
      <c r="D52" s="20" t="n">
        <f aca="false">IF(D$5&lt;=$B52,D18,MAX(0,C52*(1+D$15)-MAX(0,-(C28*(1+D$16)+D$13))))</f>
        <v>341447.268885496</v>
      </c>
      <c r="E52" s="20" t="n">
        <f aca="false">IF(E$5&lt;=$B52,E18,MAX(0,D52*(1+E$15)-MAX(0,-(D28*(1+E$16)+E$13))))</f>
        <v>378426.982520813</v>
      </c>
      <c r="F52" s="20" t="n">
        <f aca="false">IF(F$5&lt;=$B52,F18,MAX(0,E52*(1+F$15)-MAX(0,-(E28*(1+F$16)+F$13))))</f>
        <v>423092.815822478</v>
      </c>
      <c r="G52" s="20" t="n">
        <f aca="false">IF(G$5&lt;=$B52,G18,MAX(0,F52*(1+G$15)-MAX(0,-(F28*(1+G$16)+G$13))))</f>
        <v>480040.314931477</v>
      </c>
      <c r="H52" s="20" t="n">
        <f aca="false">IF(H$5&lt;=$B52,H18,MAX(0,G52*(1+H$15)-MAX(0,-(G28*(1+H$16)+H$13))))</f>
        <v>554761.883232299</v>
      </c>
      <c r="I52" s="20" t="n">
        <f aca="false">IF(I$5&lt;=$B52,I18,MAX(0,H52*(1+I$15)-MAX(0,-(H28*(1+I$16)+I$13))))</f>
        <v>640758.833890883</v>
      </c>
      <c r="J52" s="20" t="n">
        <f aca="false">IF(J$5&lt;=$B52,J18,MAX(0,I52*(1+J$15)-MAX(0,-(I28*(1+J$16)+J$13))))</f>
        <v>692019.540602153</v>
      </c>
      <c r="K52" s="20" t="n">
        <f aca="false">IF(K$5&lt;=$B52,K18,MAX(0,J52*(1+K$15)-MAX(0,-(J28*(1+K$16)+K$13))))</f>
        <v>747381.103850326</v>
      </c>
      <c r="L52" s="20" t="n">
        <f aca="false">IF(L$5&lt;=$B52,L18,MAX(0,K52*(1+L$15)-MAX(0,-(K28*(1+L$16)+L$13))))</f>
        <v>807171.592158352</v>
      </c>
      <c r="M52" s="20" t="n">
        <f aca="false">IF(M$5&lt;=$B52,M18,MAX(0,L52*(1+M$15)-MAX(0,-(L28*(1+M$16)+M$13))))</f>
        <v>871745.31953102</v>
      </c>
      <c r="N52" s="20" t="n">
        <f aca="false">IF(N$5&lt;=$B52,N18,MAX(0,M52*(1+N$15)-MAX(0,-(M28*(1+N$16)+N$13))))</f>
        <v>940177.327114205</v>
      </c>
      <c r="O52" s="20" t="n">
        <f aca="false">IF(O$5&lt;=$B52,O18,MAX(0,N52*(1+O$15)-MAX(0,-(N28*(1+O$16)+O$13))))</f>
        <v>1011160.71531133</v>
      </c>
      <c r="P52" s="20" t="n">
        <f aca="false">IF(P$5&lt;=$B52,P18,MAX(0,O52*(1+P$15)-MAX(0,-(O28*(1+P$16)+P$13))))</f>
        <v>1084469.8671714</v>
      </c>
      <c r="Q52" s="20" t="n">
        <f aca="false">IF(Q$5&lt;=$B52,Q18,MAX(0,P52*(1+Q$15)-MAX(0,-(P28*(1+Q$16)+Q$13))))</f>
        <v>1159840.52293981</v>
      </c>
      <c r="R52" s="20" t="n">
        <f aca="false">IF(R$5&lt;=$B52,R18,MAX(0,Q52*(1+R$15)-MAX(0,-(Q28*(1+R$16)+R$13))))</f>
        <v>1236969.91771531</v>
      </c>
      <c r="S52" s="20" t="n">
        <f aca="false">IF(S$5&lt;=$B52,S18,MAX(0,R52*(1+S$15)-MAX(0,-(R28*(1+S$16)+S$13))))</f>
        <v>1315517.50749023</v>
      </c>
      <c r="T52" s="20" t="n">
        <f aca="false">IF(T$5&lt;=$B52,T18,MAX(0,S52*(1+T$15)-MAX(0,-(S28*(1+T$16)+T$13))))</f>
        <v>1395106.31669339</v>
      </c>
      <c r="U52" s="20" t="n">
        <f aca="false">IF(U$5&lt;=$B52,U18,MAX(0,T52*(1+U$15)-MAX(0,-(T28*(1+U$16)+U$13))))</f>
        <v>1475324.92990326</v>
      </c>
      <c r="V52" s="20" t="n">
        <f aca="false">IF(V$5&lt;=$B52,V18,MAX(0,U52*(1+V$15)-MAX(0,-(U28*(1+V$16)+V$13))))</f>
        <v>1555730.13858299</v>
      </c>
      <c r="W52" s="20" t="n">
        <f aca="false">IF(W$5&lt;=$B52,W18,MAX(0,V52*(1+W$15)-MAX(0,-(V28*(1+W$16)+W$13))))</f>
        <v>1635850.24072001</v>
      </c>
      <c r="X52" s="20" t="n">
        <f aca="false">IF(X$5&lt;=$B52,X18,MAX(0,W52*(1+X$15)-MAX(0,-(W28*(1+X$16)+X$13))))</f>
        <v>1715188.97739493</v>
      </c>
      <c r="Y52" s="20" t="n">
        <f aca="false">IF(Y$5&lt;=$B52,Y18,MAX(0,X52*(1+Y$15)-MAX(0,-(X28*(1+Y$16)+Y$13))))</f>
        <v>1793230.0758664</v>
      </c>
      <c r="Z52" s="20" t="n">
        <f aca="false">IF(Z$5&lt;=$B52,Z18,MAX(0,Y52*(1+Z$15)-MAX(0,-(Y28*(1+Z$16)+Z$13))))</f>
        <v>1869442.35409072</v>
      </c>
      <c r="AA52" s="20" t="n">
        <f aca="false">IF(AA$5&lt;=$B52,AA18,MAX(0,Z52*(1+AA$15)-MAX(0,-(Z28*(1+AA$16)+AA$13))))</f>
        <v>1943285.32707731</v>
      </c>
      <c r="AB52" s="20" t="n">
        <f aca="false">IF(AB$5&lt;=$B52,AB18,MAX(0,AA52*(1+AB$15)-MAX(0,-(AA28*(1+AB$16)+AB$13))))</f>
        <v>2014215.24151563</v>
      </c>
      <c r="AC52" s="20" t="n">
        <f aca="false">IF(AC$5&lt;=$B52,AC18,MAX(0,AB52*(1+AC$15)-MAX(0,-(AB28*(1+AC$16)+AC$13))))</f>
        <v>2081691.4521064</v>
      </c>
      <c r="AD52" s="20" t="n">
        <f aca="false">IF(AD$5&lt;=$B52,AD18,MAX(0,AC52*(1+AD$15)-MAX(0,-(AC28*(1+AD$16)+AD$13))))</f>
        <v>2145183.04139565</v>
      </c>
      <c r="AE52" s="20" t="n">
        <f aca="false">IF(AE$5&lt;=$B52,AE18,MAX(0,AD52*(1+AE$15)-MAX(0,-(AD28*(1+AE$16)+AE$13))))</f>
        <v>2204175.57503403</v>
      </c>
      <c r="AF52" s="20" t="n">
        <f aca="false">IF(AF$5&lt;=$B52,AF18,MAX(0,AE52*(1+AF$15)-MAX(0,-(AE28*(1+AF$16)+AF$13))))</f>
        <v>2258177.87662236</v>
      </c>
    </row>
    <row r="53" customFormat="false" ht="15" hidden="false" customHeight="true" outlineLevel="0" collapsed="false">
      <c r="B53" s="67" t="n">
        <v>2033</v>
      </c>
      <c r="C53" s="20" t="n">
        <f aca="false">C18</f>
        <v>302223.8</v>
      </c>
      <c r="D53" s="20" t="n">
        <f aca="false">IF(D$5&lt;=$B53,D18,MAX(0,C53*(1+D$15)-MAX(0,-(C29*(1+D$16)+D$13))))</f>
        <v>341447.268885496</v>
      </c>
      <c r="E53" s="20" t="n">
        <f aca="false">IF(E$5&lt;=$B53,E18,MAX(0,D53*(1+E$15)-MAX(0,-(D29*(1+E$16)+E$13))))</f>
        <v>378426.982520813</v>
      </c>
      <c r="F53" s="20" t="n">
        <f aca="false">IF(F$5&lt;=$B53,F18,MAX(0,E53*(1+F$15)-MAX(0,-(E29*(1+F$16)+F$13))))</f>
        <v>423092.815822478</v>
      </c>
      <c r="G53" s="20" t="n">
        <f aca="false">IF(G$5&lt;=$B53,G18,MAX(0,F53*(1+G$15)-MAX(0,-(F29*(1+G$16)+G$13))))</f>
        <v>480040.314931477</v>
      </c>
      <c r="H53" s="20" t="n">
        <f aca="false">IF(H$5&lt;=$B53,H18,MAX(0,G53*(1+H$15)-MAX(0,-(G29*(1+H$16)+H$13))))</f>
        <v>554761.883232299</v>
      </c>
      <c r="I53" s="20" t="n">
        <f aca="false">IF(I$5&lt;=$B53,I18,MAX(0,H53*(1+I$15)-MAX(0,-(H29*(1+I$16)+I$13))))</f>
        <v>640758.833890883</v>
      </c>
      <c r="J53" s="20" t="n">
        <f aca="false">IF(J$5&lt;=$B53,J18,MAX(0,I53*(1+J$15)-MAX(0,-(I29*(1+J$16)+J$13))))</f>
        <v>734467.860602153</v>
      </c>
      <c r="K53" s="20" t="n">
        <f aca="false">IF(K$5&lt;=$B53,K18,MAX(0,J53*(1+K$15)-MAX(0,-(J29*(1+K$16)+K$13))))</f>
        <v>793225.289450325</v>
      </c>
      <c r="L53" s="20" t="n">
        <f aca="false">IF(L$5&lt;=$B53,L18,MAX(0,K53*(1+L$15)-MAX(0,-(K29*(1+L$16)+L$13))))</f>
        <v>856683.312606352</v>
      </c>
      <c r="M53" s="20" t="n">
        <f aca="false">IF(M$5&lt;=$B53,M18,MAX(0,L53*(1+M$15)-MAX(0,-(L29*(1+M$16)+M$13))))</f>
        <v>925217.97761486</v>
      </c>
      <c r="N53" s="20" t="n">
        <f aca="false">IF(N$5&lt;=$B53,N18,MAX(0,M53*(1+N$15)-MAX(0,-(M29*(1+N$16)+N$13))))</f>
        <v>997847.588857626</v>
      </c>
      <c r="O53" s="20" t="n">
        <f aca="false">IF(O$5&lt;=$B53,O18,MAX(0,N53*(1+O$15)-MAX(0,-(N29*(1+O$16)+O$13))))</f>
        <v>1073185.08181638</v>
      </c>
      <c r="P53" s="20" t="n">
        <f aca="false">IF(P$5&lt;=$B53,P18,MAX(0,O53*(1+P$15)-MAX(0,-(O29*(1+P$16)+P$13))))</f>
        <v>1150991.00024806</v>
      </c>
      <c r="Q53" s="20" t="n">
        <f aca="false">IF(Q$5&lt;=$B53,Q18,MAX(0,P53*(1+Q$15)-MAX(0,-(P29*(1+Q$16)+Q$13))))</f>
        <v>1230984.8747653</v>
      </c>
      <c r="R53" s="20" t="n">
        <f aca="false">IF(R$5&lt;=$B53,R18,MAX(0,Q53*(1+R$15)-MAX(0,-(Q29*(1+R$16)+R$13))))</f>
        <v>1312845.3689372</v>
      </c>
      <c r="S53" s="20" t="n">
        <f aca="false">IF(S$5&lt;=$B53,S18,MAX(0,R53*(1+S$15)-MAX(0,-(R29*(1+S$16)+S$13))))</f>
        <v>1396211.04986471</v>
      </c>
      <c r="T53" s="20" t="n">
        <f aca="false">IF(T$5&lt;=$B53,T18,MAX(0,S53*(1+T$15)-MAX(0,-(S29*(1+T$16)+T$13))))</f>
        <v>1480681.81838152</v>
      </c>
      <c r="U53" s="20" t="n">
        <f aca="false">IF(U$5&lt;=$B53,U18,MAX(0,T53*(1+U$15)-MAX(0,-(T29*(1+U$16)+U$13))))</f>
        <v>1565821.02293846</v>
      </c>
      <c r="V53" s="20" t="n">
        <f aca="false">IF(V$5&lt;=$B53,V18,MAX(0,U53*(1+V$15)-MAX(0,-(U29*(1+V$16)+V$13))))</f>
        <v>1651158.26868861</v>
      </c>
      <c r="W53" s="20" t="n">
        <f aca="false">IF(W$5&lt;=$B53,W18,MAX(0,V53*(1+W$15)-MAX(0,-(V29*(1+W$16)+W$13))))</f>
        <v>1736192.91952607</v>
      </c>
      <c r="X53" s="20" t="n">
        <f aca="false">IF(X$5&lt;=$B53,X18,MAX(0,W53*(1+X$15)-MAX(0,-(W29*(1+X$16)+X$13))))</f>
        <v>1820398.27612309</v>
      </c>
      <c r="Y53" s="20" t="n">
        <f aca="false">IF(Y$5&lt;=$B53,Y18,MAX(0,X53*(1+Y$15)-MAX(0,-(X29*(1+Y$16)+Y$13))))</f>
        <v>1903226.39768669</v>
      </c>
      <c r="Z53" s="20" t="n">
        <f aca="false">IF(Z$5&lt;=$B53,Z18,MAX(0,Y53*(1+Z$15)-MAX(0,-(Y29*(1+Z$16)+Z$13))))</f>
        <v>1984113.51958837</v>
      </c>
      <c r="AA53" s="20" t="n">
        <f aca="false">IF(AA$5&lt;=$B53,AA18,MAX(0,Z53*(1+AA$15)-MAX(0,-(Z29*(1+AA$16)+AA$13))))</f>
        <v>2062486.00361211</v>
      </c>
      <c r="AB53" s="20" t="n">
        <f aca="false">IF(AB$5&lt;=$B53,AB18,MAX(0,AA53*(1+AB$15)-MAX(0,-(AA29*(1+AB$16)+AB$13))))</f>
        <v>2137766.74274395</v>
      </c>
      <c r="AC53" s="20" t="n">
        <f aca="false">IF(AC$5&lt;=$B53,AC18,MAX(0,AB53*(1+AC$15)-MAX(0,-(AB29*(1+AC$16)+AC$13))))</f>
        <v>2209381.92862588</v>
      </c>
      <c r="AD53" s="20" t="n">
        <f aca="false">IF(AD$5&lt;=$B53,AD18,MAX(0,AC53*(1+AD$15)-MAX(0,-(AC29*(1+AD$16)+AD$13))))</f>
        <v>2276768.07744897</v>
      </c>
      <c r="AE53" s="20" t="n">
        <f aca="false">IF(AE$5&lt;=$B53,AE18,MAX(0,AD53*(1+AE$15)-MAX(0,-(AD29*(1+AE$16)+AE$13))))</f>
        <v>2339379.19957881</v>
      </c>
      <c r="AF53" s="20" t="n">
        <f aca="false">IF(AF$5&lt;=$B53,AF18,MAX(0,AE53*(1+AF$15)-MAX(0,-(AE29*(1+AF$16)+AF$13))))</f>
        <v>2396693.98996849</v>
      </c>
    </row>
    <row r="54" customFormat="false" ht="15" hidden="false" customHeight="true" outlineLevel="0" collapsed="false">
      <c r="B54" s="67" t="n">
        <v>2034</v>
      </c>
      <c r="C54" s="20" t="n">
        <f aca="false">C18</f>
        <v>302223.8</v>
      </c>
      <c r="D54" s="20" t="n">
        <f aca="false">IF(D$5&lt;=$B54,D18,MAX(0,C54*(1+D$15)-MAX(0,-(C30*(1+D$16)+D$13))))</f>
        <v>341447.268885496</v>
      </c>
      <c r="E54" s="20" t="n">
        <f aca="false">IF(E$5&lt;=$B54,E18,MAX(0,D54*(1+E$15)-MAX(0,-(D30*(1+E$16)+E$13))))</f>
        <v>378426.982520813</v>
      </c>
      <c r="F54" s="20" t="n">
        <f aca="false">IF(F$5&lt;=$B54,F18,MAX(0,E54*(1+F$15)-MAX(0,-(E30*(1+F$16)+F$13))))</f>
        <v>423092.815822478</v>
      </c>
      <c r="G54" s="20" t="n">
        <f aca="false">IF(G$5&lt;=$B54,G18,MAX(0,F54*(1+G$15)-MAX(0,-(F30*(1+G$16)+G$13))))</f>
        <v>480040.314931477</v>
      </c>
      <c r="H54" s="20" t="n">
        <f aca="false">IF(H$5&lt;=$B54,H18,MAX(0,G54*(1+H$15)-MAX(0,-(G30*(1+H$16)+H$13))))</f>
        <v>554761.883232299</v>
      </c>
      <c r="I54" s="20" t="n">
        <f aca="false">IF(I$5&lt;=$B54,I18,MAX(0,H54*(1+I$15)-MAX(0,-(H30*(1+I$16)+I$13))))</f>
        <v>640758.833890883</v>
      </c>
      <c r="J54" s="20" t="n">
        <f aca="false">IF(J$5&lt;=$B54,J18,MAX(0,I54*(1+J$15)-MAX(0,-(I30*(1+J$16)+J$13))))</f>
        <v>734467.860602153</v>
      </c>
      <c r="K54" s="20" t="n">
        <f aca="false">IF(K$5&lt;=$B54,K18,MAX(0,J54*(1+K$15)-MAX(0,-(J30*(1+K$16)+K$13))))</f>
        <v>836522.575850325</v>
      </c>
      <c r="L54" s="20" t="n">
        <f aca="false">IF(L$5&lt;=$B54,L18,MAX(0,K54*(1+L$15)-MAX(0,-(K30*(1+L$16)+L$13))))</f>
        <v>903444.381918352</v>
      </c>
      <c r="M54" s="20" t="n">
        <f aca="false">IF(M$5&lt;=$B54,M18,MAX(0,L54*(1+M$15)-MAX(0,-(L30*(1+M$16)+M$13))))</f>
        <v>975719.93247182</v>
      </c>
      <c r="N54" s="20" t="n">
        <f aca="false">IF(N$5&lt;=$B54,N18,MAX(0,M54*(1+N$15)-MAX(0,-(M30*(1+N$16)+N$13))))</f>
        <v>1052313.94717086</v>
      </c>
      <c r="O54" s="20" t="n">
        <f aca="false">IF(O$5&lt;=$B54,O18,MAX(0,N54*(1+O$15)-MAX(0,-(N30*(1+O$16)+O$13))))</f>
        <v>1131763.65018226</v>
      </c>
      <c r="P54" s="20" t="n">
        <f aca="false">IF(P$5&lt;=$B54,P18,MAX(0,O54*(1+P$15)-MAX(0,-(O30*(1+P$16)+P$13))))</f>
        <v>1213816.51482047</v>
      </c>
      <c r="Q54" s="20" t="n">
        <f aca="false">IF(Q$5&lt;=$B54,Q18,MAX(0,P54*(1+Q$15)-MAX(0,-(P30*(1+Q$16)+Q$13))))</f>
        <v>1298176.76260049</v>
      </c>
      <c r="R54" s="20" t="n">
        <f aca="false">IF(R$5&lt;=$B54,R18,MAX(0,Q54*(1+R$15)-MAX(0,-(Q30*(1+R$16)+R$13))))</f>
        <v>1384505.51731343</v>
      </c>
      <c r="S54" s="20" t="n">
        <f aca="false">IF(S$5&lt;=$B54,S18,MAX(0,R54*(1+S$15)-MAX(0,-(R30*(1+S$16)+S$13))))</f>
        <v>1472421.61766283</v>
      </c>
      <c r="T54" s="20" t="n">
        <f aca="false">IF(T$5&lt;=$B54,T18,MAX(0,S54*(1+T$15)-MAX(0,-(S30*(1+T$16)+T$13))))</f>
        <v>1561503.12553143</v>
      </c>
      <c r="U54" s="20" t="n">
        <f aca="false">IF(U$5&lt;=$B54,U18,MAX(0,T54*(1+U$15)-MAX(0,-(T30*(1+U$16)+U$13))))</f>
        <v>1651289.55524949</v>
      </c>
      <c r="V54" s="20" t="n">
        <f aca="false">IF(V$5&lt;=$B54,V18,MAX(0,U54*(1+V$15)-MAX(0,-(U30*(1+V$16)+V$13))))</f>
        <v>1741284.83601058</v>
      </c>
      <c r="W54" s="20" t="n">
        <f aca="false">IF(W$5&lt;=$B54,W18,MAX(0,V54*(1+W$15)-MAX(0,-(V30*(1+W$16)+W$13))))</f>
        <v>1830961.00506513</v>
      </c>
      <c r="X54" s="20" t="n">
        <f aca="false">IF(X$5&lt;=$B54,X18,MAX(0,W54*(1+X$15)-MAX(0,-(W30*(1+X$16)+X$13))))</f>
        <v>1919762.61381079</v>
      </c>
      <c r="Y54" s="20" t="n">
        <f aca="false">IF(Y$5&lt;=$B54,Y18,MAX(0,X54*(1+Y$15)-MAX(0,-(X30*(1+Y$16)+Y$13))))</f>
        <v>2007111.81273918</v>
      </c>
      <c r="Z54" s="20" t="n">
        <f aca="false">IF(Z$5&lt;=$B54,Z18,MAX(0,Y54*(1+Z$15)-MAX(0,-(Y30*(1+Z$16)+Z$13))))</f>
        <v>2092414.0647806</v>
      </c>
      <c r="AA54" s="20" t="n">
        <f aca="false">IF(AA$5&lt;=$B54,AA18,MAX(0,Z54*(1+AA$15)-MAX(0,-(Z30*(1+AA$16)+AA$13))))</f>
        <v>2175064.42033943</v>
      </c>
      <c r="AB54" s="20" t="n">
        <f aca="false">IF(AB$5&lt;=$B54,AB18,MAX(0,AA54*(1+AB$15)-MAX(0,-(AA30*(1+AB$16)+AB$13))))</f>
        <v>2254454.27168182</v>
      </c>
      <c r="AC54" s="20" t="n">
        <f aca="false">IF(AC$5&lt;=$B54,AC18,MAX(0,AB54*(1+AC$15)-MAX(0,-(AB30*(1+AC$16)+AC$13))))</f>
        <v>2329978.48978316</v>
      </c>
      <c r="AD54" s="20" t="n">
        <f aca="false">IF(AD$5&lt;=$B54,AD18,MAX(0,AC54*(1+AD$15)-MAX(0,-(AC30*(1+AD$16)+AD$13))))</f>
        <v>2401042.83372155</v>
      </c>
      <c r="AE54" s="20" t="n">
        <f aca="false">IF(AE$5&lt;=$B54,AE18,MAX(0,AD54*(1+AE$15)-MAX(0,-(AD30*(1+AE$16)+AE$13))))</f>
        <v>2467071.51164889</v>
      </c>
      <c r="AF54" s="20" t="n">
        <f aca="false">IF(AF$5&lt;=$B54,AF18,MAX(0,AE54*(1+AF$15)-MAX(0,-(AE30*(1+AF$16)+AF$13))))</f>
        <v>2527514.76368429</v>
      </c>
    </row>
    <row r="55" customFormat="false" ht="15" hidden="false" customHeight="true" outlineLevel="0" collapsed="false">
      <c r="B55" s="67" t="n">
        <v>2035</v>
      </c>
      <c r="C55" s="20" t="n">
        <f aca="false">C18</f>
        <v>302223.8</v>
      </c>
      <c r="D55" s="20" t="n">
        <f aca="false">IF(D$5&lt;=$B55,D18,MAX(0,C55*(1+D$15)-MAX(0,-(C31*(1+D$16)+D$13))))</f>
        <v>341447.268885496</v>
      </c>
      <c r="E55" s="20" t="n">
        <f aca="false">IF(E$5&lt;=$B55,E18,MAX(0,D55*(1+E$15)-MAX(0,-(D31*(1+E$16)+E$13))))</f>
        <v>378426.982520813</v>
      </c>
      <c r="F55" s="20" t="n">
        <f aca="false">IF(F$5&lt;=$B55,F18,MAX(0,E55*(1+F$15)-MAX(0,-(E31*(1+F$16)+F$13))))</f>
        <v>423092.815822478</v>
      </c>
      <c r="G55" s="20" t="n">
        <f aca="false">IF(G$5&lt;=$B55,G18,MAX(0,F55*(1+G$15)-MAX(0,-(F31*(1+G$16)+G$13))))</f>
        <v>480040.314931477</v>
      </c>
      <c r="H55" s="20" t="n">
        <f aca="false">IF(H$5&lt;=$B55,H18,MAX(0,G55*(1+H$15)-MAX(0,-(G31*(1+H$16)+H$13))))</f>
        <v>554761.883232299</v>
      </c>
      <c r="I55" s="20" t="n">
        <f aca="false">IF(I$5&lt;=$B55,I18,MAX(0,H55*(1+I$15)-MAX(0,-(H31*(1+I$16)+I$13))))</f>
        <v>640758.833890883</v>
      </c>
      <c r="J55" s="20" t="n">
        <f aca="false">IF(J$5&lt;=$B55,J18,MAX(0,I55*(1+J$15)-MAX(0,-(I31*(1+J$16)+J$13))))</f>
        <v>734467.860602153</v>
      </c>
      <c r="K55" s="20" t="n">
        <f aca="false">IF(K$5&lt;=$B55,K18,MAX(0,J55*(1+K$15)-MAX(0,-(J31*(1+K$16)+K$13))))</f>
        <v>836522.575850325</v>
      </c>
      <c r="L55" s="20" t="n">
        <f aca="false">IF(L$5&lt;=$B55,L18,MAX(0,K55*(1+L$15)-MAX(0,-(K31*(1+L$16)+L$13))))</f>
        <v>947607.614046351</v>
      </c>
      <c r="M55" s="20" t="n">
        <f aca="false">IF(M$5&lt;=$B55,M18,MAX(0,L55*(1+M$15)-MAX(0,-(L31*(1+M$16)+M$13))))</f>
        <v>1023416.22317006</v>
      </c>
      <c r="N55" s="20" t="n">
        <f aca="false">IF(N$5&lt;=$B55,N18,MAX(0,M55*(1+N$15)-MAX(0,-(M31*(1+N$16)+N$13))))</f>
        <v>1103754.39668891</v>
      </c>
      <c r="O55" s="20" t="n">
        <f aca="false">IF(O$5&lt;=$B55,O18,MAX(0,N55*(1+O$15)-MAX(0,-(N31*(1+O$16)+O$13))))</f>
        <v>1187087.85363892</v>
      </c>
      <c r="P55" s="20" t="n">
        <f aca="false">IF(P$5&lt;=$B55,P18,MAX(0,O55*(1+P$15)-MAX(0,-(O31*(1+P$16)+P$13))))</f>
        <v>1273151.72302774</v>
      </c>
      <c r="Q55" s="20" t="n">
        <f aca="false">IF(Q$5&lt;=$B55,Q18,MAX(0,P55*(1+Q$15)-MAX(0,-(P31*(1+Q$16)+Q$13))))</f>
        <v>1361635.76777817</v>
      </c>
      <c r="R55" s="20" t="n">
        <f aca="false">IF(R$5&lt;=$B55,R18,MAX(0,Q55*(1+R$15)-MAX(0,-(Q31*(1+R$16)+R$13))))</f>
        <v>1452184.54633542</v>
      </c>
      <c r="S55" s="20" t="n">
        <f aca="false">IF(S$5&lt;=$B55,S18,MAX(0,R55*(1+S$15)-MAX(0,-(R31*(1+S$16)+S$13))))</f>
        <v>1544398.26502772</v>
      </c>
      <c r="T55" s="20" t="n">
        <f aca="false">IF(T$5&lt;=$B55,T18,MAX(0,S55*(1+T$15)-MAX(0,-(S31*(1+T$16)+T$13))))</f>
        <v>1637834.3600619</v>
      </c>
      <c r="U55" s="20" t="n">
        <f aca="false">IF(U$5&lt;=$B55,U18,MAX(0,T55*(1+U$15)-MAX(0,-(T31*(1+U$16)+U$13))))</f>
        <v>1732009.83576546</v>
      </c>
      <c r="V55" s="20" t="n">
        <f aca="false">IF(V$5&lt;=$B55,V18,MAX(0,U55*(1+V$15)-MAX(0,-(U31*(1+V$16)+V$13))))</f>
        <v>1826404.37181467</v>
      </c>
      <c r="W55" s="20" t="n">
        <f aca="false">IF(W$5&lt;=$B55,W18,MAX(0,V55*(1+W$15)-MAX(0,-(V31*(1+W$16)+W$13))))</f>
        <v>1920464.19696313</v>
      </c>
      <c r="X55" s="20" t="n">
        <f aca="false">IF(X$5&lt;=$B55,X18,MAX(0,W55*(1+X$15)-MAX(0,-(W31*(1+X$16)+X$13))))</f>
        <v>2013606.71051584</v>
      </c>
      <c r="Y55" s="20" t="n">
        <f aca="false">IF(Y$5&lt;=$B55,Y18,MAX(0,X55*(1+Y$15)-MAX(0,-(X31*(1+Y$16)+Y$13))))</f>
        <v>2105225.81584431</v>
      </c>
      <c r="Z55" s="20" t="n">
        <f aca="false">IF(Z$5&lt;=$B55,Z18,MAX(0,Y55*(1+Z$15)-MAX(0,-(Y31*(1+Z$16)+Z$13))))</f>
        <v>2194697.91301769</v>
      </c>
      <c r="AA55" s="20" t="n">
        <f aca="false">IF(AA$5&lt;=$B55,AA18,MAX(0,Z55*(1+AA$15)-MAX(0,-(Z31*(1+AA$16)+AA$13))))</f>
        <v>2281388.48058189</v>
      </c>
      <c r="AB55" s="20" t="n">
        <f aca="false">IF(AB$5&lt;=$B55,AB18,MAX(0,AA55*(1+AB$15)-MAX(0,-(AA31*(1+AB$16)+AB$13))))</f>
        <v>2364659.16012313</v>
      </c>
      <c r="AC55" s="20" t="n">
        <f aca="false">IF(AC$5&lt;=$B55,AC18,MAX(0,AB55*(1+AC$15)-MAX(0,-(AB31*(1+AC$16)+AC$13))))</f>
        <v>2443875.24198726</v>
      </c>
      <c r="AD55" s="20" t="n">
        <f aca="false">IF(AD$5&lt;=$B55,AD18,MAX(0,AC55*(1+AD$15)-MAX(0,-(AC31*(1+AD$16)+AD$13))))</f>
        <v>2518413.43686787</v>
      </c>
      <c r="AE55" s="20" t="n">
        <f aca="false">IF(AE$5&lt;=$B55,AE18,MAX(0,AD55*(1+AE$15)-MAX(0,-(AD31*(1+AE$16)+AE$13))))</f>
        <v>2587669.80638174</v>
      </c>
      <c r="AF55" s="20" t="n">
        <f aca="false">IF(AF$5&lt;=$B55,AF18,MAX(0,AE55*(1+AF$15)-MAX(0,-(AE31*(1+AF$16)+AF$13))))</f>
        <v>2651067.71663809</v>
      </c>
    </row>
    <row r="56" customFormat="false" ht="15" hidden="false" customHeight="true" outlineLevel="0" collapsed="false">
      <c r="B56" s="67" t="n">
        <v>2036</v>
      </c>
      <c r="C56" s="20" t="n">
        <f aca="false">C18</f>
        <v>302223.8</v>
      </c>
      <c r="D56" s="20" t="n">
        <f aca="false">IF(D$5&lt;=$B56,D18,MAX(0,C56*(1+D$15)-MAX(0,-(C32*(1+D$16)+D$13))))</f>
        <v>341447.268885496</v>
      </c>
      <c r="E56" s="20" t="n">
        <f aca="false">IF(E$5&lt;=$B56,E18,MAX(0,D56*(1+E$15)-MAX(0,-(D32*(1+E$16)+E$13))))</f>
        <v>378426.982520813</v>
      </c>
      <c r="F56" s="20" t="n">
        <f aca="false">IF(F$5&lt;=$B56,F18,MAX(0,E56*(1+F$15)-MAX(0,-(E32*(1+F$16)+F$13))))</f>
        <v>423092.815822478</v>
      </c>
      <c r="G56" s="20" t="n">
        <f aca="false">IF(G$5&lt;=$B56,G18,MAX(0,F56*(1+G$15)-MAX(0,-(F32*(1+G$16)+G$13))))</f>
        <v>480040.314931477</v>
      </c>
      <c r="H56" s="20" t="n">
        <f aca="false">IF(H$5&lt;=$B56,H18,MAX(0,G56*(1+H$15)-MAX(0,-(G32*(1+H$16)+H$13))))</f>
        <v>554761.883232299</v>
      </c>
      <c r="I56" s="20" t="n">
        <f aca="false">IF(I$5&lt;=$B56,I18,MAX(0,H56*(1+I$15)-MAX(0,-(H32*(1+I$16)+I$13))))</f>
        <v>640758.833890883</v>
      </c>
      <c r="J56" s="20" t="n">
        <f aca="false">IF(J$5&lt;=$B56,J18,MAX(0,I56*(1+J$15)-MAX(0,-(I32*(1+J$16)+J$13))))</f>
        <v>734467.860602153</v>
      </c>
      <c r="K56" s="20" t="n">
        <f aca="false">IF(K$5&lt;=$B56,K18,MAX(0,J56*(1+K$15)-MAX(0,-(J32*(1+K$16)+K$13))))</f>
        <v>836522.575850325</v>
      </c>
      <c r="L56" s="20" t="n">
        <f aca="false">IF(L$5&lt;=$B56,L18,MAX(0,K56*(1+L$15)-MAX(0,-(K32*(1+L$16)+L$13))))</f>
        <v>947607.614046351</v>
      </c>
      <c r="M56" s="20" t="n">
        <f aca="false">IF(M$5&lt;=$B56,M18,MAX(0,L56*(1+M$15)-MAX(0,-(L32*(1+M$16)+M$13))))</f>
        <v>1068462.71994062</v>
      </c>
      <c r="N56" s="20" t="n">
        <f aca="false">IF(N$5&lt;=$B56,N18,MAX(0,M56*(1+N$15)-MAX(0,-(M32*(1+N$16)+N$13))))</f>
        <v>1152337.04345596</v>
      </c>
      <c r="O56" s="20" t="n">
        <f aca="false">IF(O$5&lt;=$B56,O18,MAX(0,N56*(1+O$15)-MAX(0,-(N32*(1+O$16)+O$13))))</f>
        <v>1239338.49023688</v>
      </c>
      <c r="P56" s="20" t="n">
        <f aca="false">IF(P$5&lt;=$B56,P18,MAX(0,O56*(1+P$15)-MAX(0,-(O32*(1+P$16)+P$13))))</f>
        <v>1329190.53077906</v>
      </c>
      <c r="Q56" s="20" t="n">
        <f aca="false">IF(Q$5&lt;=$B56,Q18,MAX(0,P56*(1+Q$15)-MAX(0,-(P32*(1+Q$16)+Q$13))))</f>
        <v>1421569.2726682</v>
      </c>
      <c r="R56" s="20" t="n">
        <f aca="false">IF(R$5&lt;=$B56,R18,MAX(0,Q56*(1+R$15)-MAX(0,-(Q32*(1+R$16)+R$13))))</f>
        <v>1516103.62930064</v>
      </c>
      <c r="S56" s="20" t="n">
        <f aca="false">IF(S$5&lt;=$B56,S18,MAX(0,R56*(1+S$15)-MAX(0,-(R32*(1+S$16)+S$13))))</f>
        <v>1612376.20976123</v>
      </c>
      <c r="T56" s="20" t="n">
        <f aca="false">IF(T$5&lt;=$B56,T18,MAX(0,S56*(1+T$15)-MAX(0,-(S32*(1+T$16)+T$13))))</f>
        <v>1709924.97045178</v>
      </c>
      <c r="U56" s="20" t="n">
        <f aca="false">IF(U$5&lt;=$B56,U18,MAX(0,T56*(1+U$15)-MAX(0,-(T32*(1+U$16)+U$13))))</f>
        <v>1808245.65625276</v>
      </c>
      <c r="V56" s="20" t="n">
        <f aca="false">IF(V$5&lt;=$B56,V18,MAX(0,U56*(1+V$15)-MAX(0,-(U32*(1+V$16)+V$13))))</f>
        <v>1906795.04451853</v>
      </c>
      <c r="W56" s="20" t="n">
        <f aca="false">IF(W$5&lt;=$B56,W18,MAX(0,V56*(1+W$15)-MAX(0,-(V32*(1+W$16)+W$13))))</f>
        <v>2004994.98931124</v>
      </c>
      <c r="X56" s="20" t="n">
        <f aca="false">IF(X$5&lt;=$B56,X18,MAX(0,W56*(1+X$15)-MAX(0,-(W32*(1+X$16)+X$13))))</f>
        <v>2102237.24629283</v>
      </c>
      <c r="Y56" s="20" t="n">
        <f aca="false">IF(Y$5&lt;=$B56,Y18,MAX(0,X56*(1+Y$15)-MAX(0,-(X32*(1+Y$16)+Y$13))))</f>
        <v>2197889.04099916</v>
      </c>
      <c r="Z56" s="20" t="n">
        <f aca="false">IF(Z$5&lt;=$B56,Z18,MAX(0,Y56*(1+Z$15)-MAX(0,-(Y32*(1+Z$16)+Z$13))))</f>
        <v>2291299.32524162</v>
      </c>
      <c r="AA56" s="20" t="n">
        <f aca="false">IF(AA$5&lt;=$B56,AA18,MAX(0,Z56*(1+AA$15)-MAX(0,-(Z32*(1+AA$16)+AA$13))))</f>
        <v>2381805.64858867</v>
      </c>
      <c r="AB56" s="20" t="n">
        <f aca="false">IF(AB$5&lt;=$B56,AB18,MAX(0,AA56*(1+AB$15)-MAX(0,-(AA32*(1+AB$16)+AB$13))))</f>
        <v>2468741.55476215</v>
      </c>
      <c r="AC56" s="20" t="n">
        <f aca="false">IF(AC$5&lt;=$B56,AC18,MAX(0,AB56*(1+AC$15)-MAX(0,-(AB32*(1+AC$16)+AC$13))))</f>
        <v>2551444.39684669</v>
      </c>
      <c r="AD56" s="20" t="n">
        <f aca="false">IF(AD$5&lt;=$B56,AD18,MAX(0,AC56*(1+AD$15)-MAX(0,-(AC32*(1+AD$16)+AD$13))))</f>
        <v>2629263.45095051</v>
      </c>
      <c r="AE56" s="20" t="n">
        <f aca="false">IF(AE$5&lt;=$B56,AE18,MAX(0,AD56*(1+AE$15)-MAX(0,-(AD32*(1+AE$16)+AE$13))))</f>
        <v>2701568.19585165</v>
      </c>
      <c r="AF56" s="20" t="n">
        <f aca="false">IF(AF$5&lt;=$B56,AF18,MAX(0,AE56*(1+AF$15)-MAX(0,-(AE32*(1+AF$16)+AF$13))))</f>
        <v>2767756.61665001</v>
      </c>
    </row>
    <row r="57" customFormat="false" ht="15" hidden="false" customHeight="true" outlineLevel="0" collapsed="false">
      <c r="B57" s="67" t="n">
        <v>2037</v>
      </c>
      <c r="C57" s="20" t="n">
        <f aca="false">C18</f>
        <v>302223.8</v>
      </c>
      <c r="D57" s="20" t="n">
        <f aca="false">IF(D$5&lt;=$B57,D18,MAX(0,C57*(1+D$15)-MAX(0,-(C33*(1+D$16)+D$13))))</f>
        <v>341447.268885496</v>
      </c>
      <c r="E57" s="20" t="n">
        <f aca="false">IF(E$5&lt;=$B57,E18,MAX(0,D57*(1+E$15)-MAX(0,-(D33*(1+E$16)+E$13))))</f>
        <v>378426.982520813</v>
      </c>
      <c r="F57" s="20" t="n">
        <f aca="false">IF(F$5&lt;=$B57,F18,MAX(0,E57*(1+F$15)-MAX(0,-(E33*(1+F$16)+F$13))))</f>
        <v>423092.815822478</v>
      </c>
      <c r="G57" s="20" t="n">
        <f aca="false">IF(G$5&lt;=$B57,G18,MAX(0,F57*(1+G$15)-MAX(0,-(F33*(1+G$16)+G$13))))</f>
        <v>480040.314931477</v>
      </c>
      <c r="H57" s="20" t="n">
        <f aca="false">IF(H$5&lt;=$B57,H18,MAX(0,G57*(1+H$15)-MAX(0,-(G33*(1+H$16)+H$13))))</f>
        <v>554761.883232299</v>
      </c>
      <c r="I57" s="20" t="n">
        <f aca="false">IF(I$5&lt;=$B57,I18,MAX(0,H57*(1+I$15)-MAX(0,-(H33*(1+I$16)+I$13))))</f>
        <v>640758.833890883</v>
      </c>
      <c r="J57" s="20" t="n">
        <f aca="false">IF(J$5&lt;=$B57,J18,MAX(0,I57*(1+J$15)-MAX(0,-(I33*(1+J$16)+J$13))))</f>
        <v>734467.860602153</v>
      </c>
      <c r="K57" s="20" t="n">
        <f aca="false">IF(K$5&lt;=$B57,K18,MAX(0,J57*(1+K$15)-MAX(0,-(J33*(1+K$16)+K$13))))</f>
        <v>836522.575850325</v>
      </c>
      <c r="L57" s="20" t="n">
        <f aca="false">IF(L$5&lt;=$B57,L18,MAX(0,K57*(1+L$15)-MAX(0,-(K33*(1+L$16)+L$13))))</f>
        <v>947607.614046351</v>
      </c>
      <c r="M57" s="20" t="n">
        <f aca="false">IF(M$5&lt;=$B57,M18,MAX(0,L57*(1+M$15)-MAX(0,-(L33*(1+M$16)+M$13))))</f>
        <v>1068462.71994062</v>
      </c>
      <c r="N57" s="20" t="n">
        <f aca="false">IF(N$5&lt;=$B57,N18,MAX(0,M57*(1+N$15)-MAX(0,-(M33*(1+N$16)+N$13))))</f>
        <v>1198284.47016193</v>
      </c>
      <c r="O57" s="20" t="n">
        <f aca="false">IF(O$5&lt;=$B57,O18,MAX(0,N57*(1+O$15)-MAX(0,-(N33*(1+O$16)+O$13))))</f>
        <v>1288754.94765916</v>
      </c>
      <c r="P57" s="20" t="n">
        <f aca="false">IF(P$5&lt;=$B57,P18,MAX(0,O57*(1+P$15)-MAX(0,-(O33*(1+P$16)+P$13))))</f>
        <v>1382189.68136444</v>
      </c>
      <c r="Q57" s="20" t="n">
        <f aca="false">IF(Q$5&lt;=$B57,Q18,MAX(0,P57*(1+Q$15)-MAX(0,-(P33*(1+Q$16)+Q$13))))</f>
        <v>1478251.86421927</v>
      </c>
      <c r="R57" s="20" t="n">
        <f aca="false">IF(R$5&lt;=$B57,R18,MAX(0,Q57*(1+R$15)-MAX(0,-(Q33*(1+R$16)+R$13))))</f>
        <v>1576555.61318985</v>
      </c>
      <c r="S57" s="20" t="n">
        <f aca="false">IF(S$5&lt;=$B57,S18,MAX(0,R57*(1+S$15)-MAX(0,-(R33*(1+S$16)+S$13))))</f>
        <v>1676666.89462741</v>
      </c>
      <c r="T57" s="20" t="n">
        <f aca="false">IF(T$5&lt;=$B57,T18,MAX(0,S57*(1+T$15)-MAX(0,-(S33*(1+T$16)+T$13))))</f>
        <v>1778105.24175237</v>
      </c>
      <c r="U57" s="20" t="n">
        <f aca="false">IF(U$5&lt;=$B57,U18,MAX(0,T57*(1+U$15)-MAX(0,-(T33*(1+U$16)+U$13))))</f>
        <v>1880346.29315313</v>
      </c>
      <c r="V57" s="20" t="n">
        <f aca="false">IF(V$5&lt;=$B57,V18,MAX(0,U57*(1+V$15)-MAX(0,-(U33*(1+V$16)+V$13))))</f>
        <v>1982825.16612997</v>
      </c>
      <c r="W57" s="20" t="n">
        <f aca="false">IF(W$5&lt;=$B57,W18,MAX(0,V57*(1+W$15)-MAX(0,-(V33*(1+W$16)+W$13))))</f>
        <v>2084940.66218567</v>
      </c>
      <c r="X57" s="20" t="n">
        <f aca="false">IF(X$5&lt;=$B57,X18,MAX(0,W57*(1+X$15)-MAX(0,-(W33*(1+X$16)+X$13))))</f>
        <v>2186060.28430167</v>
      </c>
      <c r="Y57" s="20" t="n">
        <f aca="false">IF(Y$5&lt;=$B57,Y18,MAX(0,X57*(1+Y$15)-MAX(0,-(X33*(1+Y$16)+Y$13))))</f>
        <v>2285526.0272374</v>
      </c>
      <c r="Z57" s="20" t="n">
        <f aca="false">IF(Z$5&lt;=$B57,Z18,MAX(0,Y57*(1+Z$15)-MAX(0,-(Y33*(1+Z$16)+Z$13))))</f>
        <v>2382660.88339499</v>
      </c>
      <c r="AA57" s="20" t="n">
        <f aca="false">IF(AA$5&lt;=$B57,AA18,MAX(0,Z57*(1+AA$15)-MAX(0,-(Z33*(1+AA$16)+AA$13))))</f>
        <v>2476775.98828909</v>
      </c>
      <c r="AB57" s="20" t="n">
        <f aca="false">IF(AB$5&lt;=$B57,AB18,MAX(0,AA57*(1+AB$15)-MAX(0,-(AA33*(1+AB$16)+AB$13))))</f>
        <v>2567178.31186164</v>
      </c>
      <c r="AC57" s="20" t="n">
        <f aca="false">IF(AC$5&lt;=$B57,AC18,MAX(0,AB57*(1+AC$15)-MAX(0,-(AB33*(1+AC$16)+AC$13))))</f>
        <v>2653178.78530901</v>
      </c>
      <c r="AD57" s="20" t="n">
        <f aca="false">IF(AD$5&lt;=$B57,AD18,MAX(0,AC57*(1+AD$15)-MAX(0,-(AC33*(1+AD$16)+AD$13))))</f>
        <v>2734100.73826093</v>
      </c>
      <c r="AE57" s="20" t="n">
        <f aca="false">IF(AE$5&lt;=$B57,AE18,MAX(0,AD57*(1+AE$15)-MAX(0,-(AD33*(1+AE$16)+AE$13))))</f>
        <v>2809288.50856311</v>
      </c>
      <c r="AF57" s="20" t="n">
        <f aca="false">IF(AF$5&lt;=$B57,AF18,MAX(0,AE57*(1+AF$15)-MAX(0,-(AE33*(1+AF$16)+AF$13))))</f>
        <v>2878116.07702291</v>
      </c>
    </row>
    <row r="58" customFormat="false" ht="15" hidden="false" customHeight="true" outlineLevel="0" collapsed="false">
      <c r="B58" s="67" t="n">
        <v>2038</v>
      </c>
      <c r="C58" s="20" t="n">
        <f aca="false">C18</f>
        <v>302223.8</v>
      </c>
      <c r="D58" s="20" t="n">
        <f aca="false">IF(D$5&lt;=$B58,D18,MAX(0,C58*(1+D$15)-MAX(0,-(C34*(1+D$16)+D$13))))</f>
        <v>341447.268885496</v>
      </c>
      <c r="E58" s="20" t="n">
        <f aca="false">IF(E$5&lt;=$B58,E18,MAX(0,D58*(1+E$15)-MAX(0,-(D34*(1+E$16)+E$13))))</f>
        <v>378426.982520813</v>
      </c>
      <c r="F58" s="20" t="n">
        <f aca="false">IF(F$5&lt;=$B58,F18,MAX(0,E58*(1+F$15)-MAX(0,-(E34*(1+F$16)+F$13))))</f>
        <v>423092.815822478</v>
      </c>
      <c r="G58" s="20" t="n">
        <f aca="false">IF(G$5&lt;=$B58,G18,MAX(0,F58*(1+G$15)-MAX(0,-(F34*(1+G$16)+G$13))))</f>
        <v>480040.314931477</v>
      </c>
      <c r="H58" s="20" t="n">
        <f aca="false">IF(H$5&lt;=$B58,H18,MAX(0,G58*(1+H$15)-MAX(0,-(G34*(1+H$16)+H$13))))</f>
        <v>554761.883232299</v>
      </c>
      <c r="I58" s="20" t="n">
        <f aca="false">IF(I$5&lt;=$B58,I18,MAX(0,H58*(1+I$15)-MAX(0,-(H34*(1+I$16)+I$13))))</f>
        <v>640758.833890883</v>
      </c>
      <c r="J58" s="20" t="n">
        <f aca="false">IF(J$5&lt;=$B58,J18,MAX(0,I58*(1+J$15)-MAX(0,-(I34*(1+J$16)+J$13))))</f>
        <v>734467.860602153</v>
      </c>
      <c r="K58" s="20" t="n">
        <f aca="false">IF(K$5&lt;=$B58,K18,MAX(0,J58*(1+K$15)-MAX(0,-(J34*(1+K$16)+K$13))))</f>
        <v>836522.575850325</v>
      </c>
      <c r="L58" s="20" t="n">
        <f aca="false">IF(L$5&lt;=$B58,L18,MAX(0,K58*(1+L$15)-MAX(0,-(K34*(1+L$16)+L$13))))</f>
        <v>947607.614046351</v>
      </c>
      <c r="M58" s="20" t="n">
        <f aca="false">IF(M$5&lt;=$B58,M18,MAX(0,L58*(1+M$15)-MAX(0,-(L34*(1+M$16)+M$13))))</f>
        <v>1068462.71994062</v>
      </c>
      <c r="N58" s="20" t="n">
        <f aca="false">IF(N$5&lt;=$B58,N18,MAX(0,M58*(1+N$15)-MAX(0,-(M34*(1+N$16)+N$13))))</f>
        <v>1198284.47016193</v>
      </c>
      <c r="O58" s="20" t="n">
        <f aca="false">IF(O$5&lt;=$B58,O18,MAX(0,N58*(1+O$15)-MAX(0,-(N34*(1+O$16)+O$13))))</f>
        <v>1335621.32289925</v>
      </c>
      <c r="P58" s="20" t="n">
        <f aca="false">IF(P$5&lt;=$B58,P18,MAX(0,O58*(1+P$15)-MAX(0,-(O34*(1+P$16)+P$13))))</f>
        <v>1432453.86880944</v>
      </c>
      <c r="Q58" s="20" t="n">
        <f aca="false">IF(Q$5&lt;=$B58,Q18,MAX(0,P58*(1+Q$15)-MAX(0,-(P34*(1+Q$16)+Q$13))))</f>
        <v>1532009.4126917</v>
      </c>
      <c r="R58" s="20" t="n">
        <f aca="false">IF(R$5&lt;=$B58,R18,MAX(0,Q58*(1+R$15)-MAX(0,-(Q34*(1+R$16)+R$13))))</f>
        <v>1633888.0386357</v>
      </c>
      <c r="S58" s="20" t="n">
        <f aca="false">IF(S$5&lt;=$B58,S18,MAX(0,R58*(1+S$15)-MAX(0,-(R34*(1+S$16)+S$13))))</f>
        <v>1737639.92908906</v>
      </c>
      <c r="T58" s="20" t="n">
        <f aca="false">IF(T$5&lt;=$B58,T18,MAX(0,S58*(1+T$15)-MAX(0,-(S34*(1+T$16)+T$13))))</f>
        <v>1842767.14479895</v>
      </c>
      <c r="U58" s="20" t="n">
        <f aca="false">IF(U$5&lt;=$B58,U18,MAX(0,T58*(1+U$15)-MAX(0,-(T34*(1+U$16)+U$13))))</f>
        <v>1948726.25562489</v>
      </c>
      <c r="V58" s="20" t="n">
        <f aca="false">IF(V$5&lt;=$B58,V18,MAX(0,U58*(1+V$15)-MAX(0,-(U34*(1+V$16)+V$13))))</f>
        <v>2054931.83655645</v>
      </c>
      <c r="W58" s="20" t="n">
        <f aca="false">IF(W$5&lt;=$B58,W18,MAX(0,V58*(1+W$15)-MAX(0,-(V34*(1+W$16)+W$13))))</f>
        <v>2160760.8261391</v>
      </c>
      <c r="X58" s="20" t="n">
        <f aca="false">IF(X$5&lt;=$B58,X18,MAX(0,W58*(1+X$15)-MAX(0,-(W34*(1+X$16)+X$13))))</f>
        <v>2265557.72620685</v>
      </c>
      <c r="Y58" s="20" t="n">
        <f aca="false">IF(Y$5&lt;=$B58,Y18,MAX(0,X58*(1+Y$15)-MAX(0,-(X34*(1+Y$16)+Y$13))))</f>
        <v>2368640.60274926</v>
      </c>
      <c r="Z58" s="20" t="n">
        <f aca="false">IF(Z$5&lt;=$B58,Z18,MAX(0,Y58*(1+Z$15)-MAX(0,-(Y34*(1+Z$16)+Z$13))))</f>
        <v>2469307.8283661</v>
      </c>
      <c r="AA58" s="20" t="n">
        <f aca="false">IF(AA$5&lt;=$B58,AA18,MAX(0,Z58*(1+AA$15)-MAX(0,-(Z34*(1+AA$16)+AA$13))))</f>
        <v>2566845.48758657</v>
      </c>
      <c r="AB58" s="20" t="n">
        <f aca="false">IF(AB$5&lt;=$B58,AB18,MAX(0,AA58*(1+AB$15)-MAX(0,-(AA34*(1+AB$16)+AB$13))))</f>
        <v>2660535.34788348</v>
      </c>
      <c r="AC58" s="20" t="n">
        <f aca="false">IF(AC$5&lt;=$B58,AC18,MAX(0,AB58*(1+AC$15)-MAX(0,-(AB34*(1+AC$16)+AC$13))))</f>
        <v>2749663.28203757</v>
      </c>
      <c r="AD58" s="20" t="n">
        <f aca="false">IF(AD$5&lt;=$B58,AD18,MAX(0,AC58*(1+AD$15)-MAX(0,-(AC34*(1+AD$16)+AD$13))))</f>
        <v>2833528.01213972</v>
      </c>
      <c r="AE58" s="20" t="n">
        <f aca="false">IF(AE$5&lt;=$B58,AE18,MAX(0,AD58*(1+AE$15)-MAX(0,-(AD34*(1+AE$16)+AE$13))))</f>
        <v>2911450.03247356</v>
      </c>
      <c r="AF58" s="20" t="n">
        <f aca="false">IF(AF$5&lt;=$B58,AF18,MAX(0,AE58*(1+AF$15)-MAX(0,-(AE34*(1+AF$16)+AF$13))))</f>
        <v>2982780.55826916</v>
      </c>
    </row>
    <row r="59" customFormat="false" ht="15" hidden="false" customHeight="true" outlineLevel="0" collapsed="false">
      <c r="B59" s="67" t="n">
        <v>2039</v>
      </c>
      <c r="C59" s="20" t="n">
        <f aca="false">C18</f>
        <v>302223.8</v>
      </c>
      <c r="D59" s="20" t="n">
        <f aca="false">IF(D$5&lt;=$B59,D18,MAX(0,C59*(1+D$15)-MAX(0,-(C35*(1+D$16)+D$13))))</f>
        <v>341447.268885496</v>
      </c>
      <c r="E59" s="20" t="n">
        <f aca="false">IF(E$5&lt;=$B59,E18,MAX(0,D59*(1+E$15)-MAX(0,-(D35*(1+E$16)+E$13))))</f>
        <v>378426.982520813</v>
      </c>
      <c r="F59" s="20" t="n">
        <f aca="false">IF(F$5&lt;=$B59,F18,MAX(0,E59*(1+F$15)-MAX(0,-(E35*(1+F$16)+F$13))))</f>
        <v>423092.815822478</v>
      </c>
      <c r="G59" s="20" t="n">
        <f aca="false">IF(G$5&lt;=$B59,G18,MAX(0,F59*(1+G$15)-MAX(0,-(F35*(1+G$16)+G$13))))</f>
        <v>480040.314931477</v>
      </c>
      <c r="H59" s="20" t="n">
        <f aca="false">IF(H$5&lt;=$B59,H18,MAX(0,G59*(1+H$15)-MAX(0,-(G35*(1+H$16)+H$13))))</f>
        <v>554761.883232299</v>
      </c>
      <c r="I59" s="20" t="n">
        <f aca="false">IF(I$5&lt;=$B59,I18,MAX(0,H59*(1+I$15)-MAX(0,-(H35*(1+I$16)+I$13))))</f>
        <v>640758.833890883</v>
      </c>
      <c r="J59" s="20" t="n">
        <f aca="false">IF(J$5&lt;=$B59,J18,MAX(0,I59*(1+J$15)-MAX(0,-(I35*(1+J$16)+J$13))))</f>
        <v>734467.860602153</v>
      </c>
      <c r="K59" s="20" t="n">
        <f aca="false">IF(K$5&lt;=$B59,K18,MAX(0,J59*(1+K$15)-MAX(0,-(J35*(1+K$16)+K$13))))</f>
        <v>836522.575850325</v>
      </c>
      <c r="L59" s="20" t="n">
        <f aca="false">IF(L$5&lt;=$B59,L18,MAX(0,K59*(1+L$15)-MAX(0,-(K35*(1+L$16)+L$13))))</f>
        <v>947607.614046351</v>
      </c>
      <c r="M59" s="20" t="n">
        <f aca="false">IF(M$5&lt;=$B59,M18,MAX(0,L59*(1+M$15)-MAX(0,-(L35*(1+M$16)+M$13))))</f>
        <v>1068462.71994062</v>
      </c>
      <c r="N59" s="20" t="n">
        <f aca="false">IF(N$5&lt;=$B59,N18,MAX(0,M59*(1+N$15)-MAX(0,-(M35*(1+N$16)+N$13))))</f>
        <v>1198284.47016193</v>
      </c>
      <c r="O59" s="20" t="n">
        <f aca="false">IF(O$5&lt;=$B59,O18,MAX(0,N59*(1+O$15)-MAX(0,-(N35*(1+O$16)+O$13))))</f>
        <v>1335621.32289925</v>
      </c>
      <c r="P59" s="20" t="n">
        <f aca="false">IF(P$5&lt;=$B59,P18,MAX(0,O59*(1+P$15)-MAX(0,-(O35*(1+P$16)+P$13))))</f>
        <v>1480257.57155433</v>
      </c>
      <c r="Q59" s="20" t="n">
        <f aca="false">IF(Q$5&lt;=$B59,Q18,MAX(0,P59*(1+Q$15)-MAX(0,-(P35*(1+Q$16)+Q$13))))</f>
        <v>1583135.47277736</v>
      </c>
      <c r="R59" s="20" t="n">
        <f aca="false">IF(R$5&lt;=$B59,R18,MAX(0,Q59*(1+R$15)-MAX(0,-(Q35*(1+R$16)+R$13))))</f>
        <v>1688413.98171705</v>
      </c>
      <c r="S59" s="20" t="n">
        <f aca="false">IF(S$5&lt;=$B59,S18,MAX(0,R59*(1+S$15)-MAX(0,-(R35*(1+S$16)+S$13))))</f>
        <v>1795628.26955609</v>
      </c>
      <c r="T59" s="20" t="n">
        <f aca="false">IF(T$5&lt;=$B59,T18,MAX(0,S59*(1+T$15)-MAX(0,-(S35*(1+T$16)+T$13))))</f>
        <v>1904263.77986423</v>
      </c>
      <c r="U59" s="20" t="n">
        <f aca="false">IF(U$5&lt;=$B59,U18,MAX(0,T59*(1+U$15)-MAX(0,-(T35*(1+U$16)+U$13))))</f>
        <v>2013758.94720642</v>
      </c>
      <c r="V59" s="20" t="n">
        <f aca="false">IF(V$5&lt;=$B59,V18,MAX(0,U59*(1+V$15)-MAX(0,-(U35*(1+V$16)+V$13))))</f>
        <v>2123508.80982917</v>
      </c>
      <c r="W59" s="20" t="n">
        <f aca="false">IF(W$5&lt;=$B59,W18,MAX(0,V59*(1+W$15)-MAX(0,-(V35*(1+W$16)+W$13))))</f>
        <v>2232869.51353538</v>
      </c>
      <c r="X59" s="20" t="n">
        <f aca="false">IF(X$5&lt;=$B59,X18,MAX(0,W59*(1+X$15)-MAX(0,-(W35*(1+X$16)+X$13))))</f>
        <v>2341163.68494184</v>
      </c>
      <c r="Y59" s="20" t="n">
        <f aca="false">IF(Y$5&lt;=$B59,Y18,MAX(0,X59*(1+Y$15)-MAX(0,-(X35*(1+Y$16)+Y$13))))</f>
        <v>2447686.6326067</v>
      </c>
      <c r="Z59" s="20" t="n">
        <f aca="false">IF(Z$5&lt;=$B59,Z18,MAX(0,Y59*(1+Z$15)-MAX(0,-(Y35*(1+Z$16)+Z$13))))</f>
        <v>2551713.31449248</v>
      </c>
      <c r="AA59" s="20" t="n">
        <f aca="false">IF(AA$5&lt;=$B59,AA18,MAX(0,Z59*(1+AA$15)-MAX(0,-(Z35*(1+AA$16)+AA$13))))</f>
        <v>2652505.99041493</v>
      </c>
      <c r="AB59" s="20" t="n">
        <f aca="false">IF(AB$5&lt;=$B59,AB18,MAX(0,AA59*(1+AB$15)-MAX(0,-(AA35*(1+AB$16)+AB$13))))</f>
        <v>2749322.45906508</v>
      </c>
      <c r="AC59" s="20" t="n">
        <f aca="false">IF(AC$5&lt;=$B59,AC18,MAX(0,AB59*(1+AC$15)-MAX(0,-(AB35*(1+AC$16)+AC$13))))</f>
        <v>2841424.76144376</v>
      </c>
      <c r="AD59" s="20" t="n">
        <f aca="false">IF(AD$5&lt;=$B59,AD18,MAX(0,AC59*(1+AD$15)-MAX(0,-(AC35*(1+AD$16)+AD$13))))</f>
        <v>2928088.21666779</v>
      </c>
      <c r="AE59" s="20" t="n">
        <f aca="false">IF(AE$5&lt;=$B59,AE18,MAX(0,AD59*(1+AE$15)-MAX(0,-(AD35*(1+AE$16)+AE$13))))</f>
        <v>3008610.64262616</v>
      </c>
      <c r="AF59" s="20" t="n">
        <f aca="false">IF(AF$5&lt;=$B59,AF18,MAX(0,AE59*(1+AF$15)-MAX(0,-(AE35*(1+AF$16)+AF$13))))</f>
        <v>3082321.6033705</v>
      </c>
    </row>
    <row r="60" customFormat="false" ht="15" hidden="false" customHeight="true" outlineLevel="0" collapsed="false">
      <c r="B60" s="67" t="n">
        <v>2040</v>
      </c>
      <c r="C60" s="20" t="n">
        <f aca="false">C18</f>
        <v>302223.8</v>
      </c>
      <c r="D60" s="20" t="n">
        <f aca="false">IF(D$5&lt;=$B60,D18,MAX(0,C60*(1+D$15)-MAX(0,-(C36*(1+D$16)+D$13))))</f>
        <v>341447.268885496</v>
      </c>
      <c r="E60" s="20" t="n">
        <f aca="false">IF(E$5&lt;=$B60,E18,MAX(0,D60*(1+E$15)-MAX(0,-(D36*(1+E$16)+E$13))))</f>
        <v>378426.982520813</v>
      </c>
      <c r="F60" s="20" t="n">
        <f aca="false">IF(F$5&lt;=$B60,F18,MAX(0,E60*(1+F$15)-MAX(0,-(E36*(1+F$16)+F$13))))</f>
        <v>423092.815822478</v>
      </c>
      <c r="G60" s="20" t="n">
        <f aca="false">IF(G$5&lt;=$B60,G18,MAX(0,F60*(1+G$15)-MAX(0,-(F36*(1+G$16)+G$13))))</f>
        <v>480040.314931477</v>
      </c>
      <c r="H60" s="20" t="n">
        <f aca="false">IF(H$5&lt;=$B60,H18,MAX(0,G60*(1+H$15)-MAX(0,-(G36*(1+H$16)+H$13))))</f>
        <v>554761.883232299</v>
      </c>
      <c r="I60" s="20" t="n">
        <f aca="false">IF(I$5&lt;=$B60,I18,MAX(0,H60*(1+I$15)-MAX(0,-(H36*(1+I$16)+I$13))))</f>
        <v>640758.833890883</v>
      </c>
      <c r="J60" s="20" t="n">
        <f aca="false">IF(J$5&lt;=$B60,J18,MAX(0,I60*(1+J$15)-MAX(0,-(I36*(1+J$16)+J$13))))</f>
        <v>734467.860602153</v>
      </c>
      <c r="K60" s="20" t="n">
        <f aca="false">IF(K$5&lt;=$B60,K18,MAX(0,J60*(1+K$15)-MAX(0,-(J36*(1+K$16)+K$13))))</f>
        <v>836522.575850325</v>
      </c>
      <c r="L60" s="20" t="n">
        <f aca="false">IF(L$5&lt;=$B60,L18,MAX(0,K60*(1+L$15)-MAX(0,-(K36*(1+L$16)+L$13))))</f>
        <v>947607.614046351</v>
      </c>
      <c r="M60" s="20" t="n">
        <f aca="false">IF(M$5&lt;=$B60,M18,MAX(0,L60*(1+M$15)-MAX(0,-(L36*(1+M$16)+M$13))))</f>
        <v>1068462.71994062</v>
      </c>
      <c r="N60" s="20" t="n">
        <f aca="false">IF(N$5&lt;=$B60,N18,MAX(0,M60*(1+N$15)-MAX(0,-(M36*(1+N$16)+N$13))))</f>
        <v>1198284.47016193</v>
      </c>
      <c r="O60" s="20" t="n">
        <f aca="false">IF(O$5&lt;=$B60,O18,MAX(0,N60*(1+O$15)-MAX(0,-(N36*(1+O$16)+O$13))))</f>
        <v>1335621.32289925</v>
      </c>
      <c r="P60" s="20" t="n">
        <f aca="false">IF(P$5&lt;=$B60,P18,MAX(0,O60*(1+P$15)-MAX(0,-(O36*(1+P$16)+P$13))))</f>
        <v>1480257.57155433</v>
      </c>
      <c r="Q60" s="20" t="n">
        <f aca="false">IF(Q$5&lt;=$B60,Q18,MAX(0,P60*(1+Q$15)-MAX(0,-(P36*(1+Q$16)+Q$13))))</f>
        <v>1631895.24957715</v>
      </c>
      <c r="R60" s="20" t="n">
        <f aca="false">IF(R$5&lt;=$B60,R18,MAX(0,Q60*(1+R$15)-MAX(0,-(Q36*(1+R$16)+R$13))))</f>
        <v>1740416.28367403</v>
      </c>
      <c r="S60" s="20" t="n">
        <f aca="false">IF(S$5&lt;=$B60,S18,MAX(0,R60*(1+S$15)-MAX(0,-(R36*(1+S$16)+S$13))))</f>
        <v>1850932.71768733</v>
      </c>
      <c r="T60" s="20" t="n">
        <f aca="false">IF(T$5&lt;=$B60,T18,MAX(0,S60*(1+T$15)-MAX(0,-(S36*(1+T$16)+T$13))))</f>
        <v>1962914.14710741</v>
      </c>
      <c r="U60" s="20" t="n">
        <f aca="false">IF(U$5&lt;=$B60,U18,MAX(0,T60*(1+U$15)-MAX(0,-(T36*(1+U$16)+U$13))))</f>
        <v>2075781.71056609</v>
      </c>
      <c r="V60" s="20" t="n">
        <f aca="false">IF(V$5&lt;=$B60,V18,MAX(0,U60*(1+V$15)-MAX(0,-(U36*(1+V$16)+V$13))))</f>
        <v>2188911.81379194</v>
      </c>
      <c r="W60" s="20" t="n">
        <f aca="false">IF(W$5&lt;=$B60,W18,MAX(0,V60*(1+W$15)-MAX(0,-(V36*(1+W$16)+W$13))))</f>
        <v>2301640.77220223</v>
      </c>
      <c r="X60" s="20" t="n">
        <f aca="false">IF(X$5&lt;=$B60,X18,MAX(0,W60*(1+X$15)-MAX(0,-(W36*(1+X$16)+X$13))))</f>
        <v>2413270.34965404</v>
      </c>
      <c r="Y60" s="20" t="n">
        <f aca="false">IF(Y$5&lt;=$B60,Y18,MAX(0,X60*(1+Y$15)-MAX(0,-(X36*(1+Y$16)+Y$13))))</f>
        <v>2523074.1505633</v>
      </c>
      <c r="Z60" s="20" t="n">
        <f aca="false">IF(Z$5&lt;=$B60,Z18,MAX(0,Y60*(1+Z$15)-MAX(0,-(Y36*(1+Z$16)+Z$13))))</f>
        <v>2630304.80196224</v>
      </c>
      <c r="AA60" s="20" t="n">
        <f aca="false">IF(AA$5&lt;=$B60,AA18,MAX(0,Z60*(1+AA$15)-MAX(0,-(Z36*(1+AA$16)+AA$13))))</f>
        <v>2734201.84163974</v>
      </c>
      <c r="AB60" s="20" t="n">
        <f aca="false">IF(AB$5&lt;=$B60,AB18,MAX(0,AA60*(1+AB$15)-MAX(0,-(AA36*(1+AB$16)+AB$13))))</f>
        <v>2834000.20885959</v>
      </c>
      <c r="AC60" s="20" t="n">
        <f aca="false">IF(AC$5&lt;=$B60,AC18,MAX(0,AB60*(1+AC$15)-MAX(0,-(AB36*(1+AC$16)+AC$13))))</f>
        <v>2928939.21585639</v>
      </c>
      <c r="AD60" s="20" t="n">
        <f aca="false">IF(AD$5&lt;=$B60,AD18,MAX(0,AC60*(1+AD$15)-MAX(0,-(AC36*(1+AD$16)+AD$13))))</f>
        <v>3018271.86194001</v>
      </c>
      <c r="AE60" s="20" t="n">
        <f aca="false">IF(AE$5&lt;=$B60,AE18,MAX(0,AD60*(1+AE$15)-MAX(0,-(AD36*(1+AE$16)+AE$13))))</f>
        <v>3101274.33814336</v>
      </c>
      <c r="AF60" s="20" t="n">
        <f aca="false">IF(AF$5&lt;=$B60,AF18,MAX(0,AE60*(1+AF$15)-MAX(0,-(AE36*(1+AF$16)+AF$13))))</f>
        <v>3177255.55942787</v>
      </c>
    </row>
    <row r="61" customFormat="false" ht="15" hidden="false" customHeight="true" outlineLevel="0" collapsed="false">
      <c r="B61" s="67" t="n">
        <v>2041</v>
      </c>
      <c r="C61" s="20" t="n">
        <f aca="false">C18</f>
        <v>302223.8</v>
      </c>
      <c r="D61" s="20" t="n">
        <f aca="false">IF(D$5&lt;=$B61,D18,MAX(0,C61*(1+D$15)-MAX(0,-(C37*(1+D$16)+D$13))))</f>
        <v>341447.268885496</v>
      </c>
      <c r="E61" s="20" t="n">
        <f aca="false">IF(E$5&lt;=$B61,E18,MAX(0,D61*(1+E$15)-MAX(0,-(D37*(1+E$16)+E$13))))</f>
        <v>378426.982520813</v>
      </c>
      <c r="F61" s="20" t="n">
        <f aca="false">IF(F$5&lt;=$B61,F18,MAX(0,E61*(1+F$15)-MAX(0,-(E37*(1+F$16)+F$13))))</f>
        <v>423092.815822478</v>
      </c>
      <c r="G61" s="20" t="n">
        <f aca="false">IF(G$5&lt;=$B61,G18,MAX(0,F61*(1+G$15)-MAX(0,-(F37*(1+G$16)+G$13))))</f>
        <v>480040.314931477</v>
      </c>
      <c r="H61" s="20" t="n">
        <f aca="false">IF(H$5&lt;=$B61,H18,MAX(0,G61*(1+H$15)-MAX(0,-(G37*(1+H$16)+H$13))))</f>
        <v>554761.883232299</v>
      </c>
      <c r="I61" s="20" t="n">
        <f aca="false">IF(I$5&lt;=$B61,I18,MAX(0,H61*(1+I$15)-MAX(0,-(H37*(1+I$16)+I$13))))</f>
        <v>640758.833890883</v>
      </c>
      <c r="J61" s="20" t="n">
        <f aca="false">IF(J$5&lt;=$B61,J18,MAX(0,I61*(1+J$15)-MAX(0,-(I37*(1+J$16)+J$13))))</f>
        <v>734467.860602153</v>
      </c>
      <c r="K61" s="20" t="n">
        <f aca="false">IF(K$5&lt;=$B61,K18,MAX(0,J61*(1+K$15)-MAX(0,-(J37*(1+K$16)+K$13))))</f>
        <v>836522.575850325</v>
      </c>
      <c r="L61" s="20" t="n">
        <f aca="false">IF(L$5&lt;=$B61,L18,MAX(0,K61*(1+L$15)-MAX(0,-(K37*(1+L$16)+L$13))))</f>
        <v>947607.614046351</v>
      </c>
      <c r="M61" s="20" t="n">
        <f aca="false">IF(M$5&lt;=$B61,M18,MAX(0,L61*(1+M$15)-MAX(0,-(L37*(1+M$16)+M$13))))</f>
        <v>1068462.71994062</v>
      </c>
      <c r="N61" s="20" t="n">
        <f aca="false">IF(N$5&lt;=$B61,N18,MAX(0,M61*(1+N$15)-MAX(0,-(M37*(1+N$16)+N$13))))</f>
        <v>1198284.47016193</v>
      </c>
      <c r="O61" s="20" t="n">
        <f aca="false">IF(O$5&lt;=$B61,O18,MAX(0,N61*(1+O$15)-MAX(0,-(N37*(1+O$16)+O$13))))</f>
        <v>1335621.32289925</v>
      </c>
      <c r="P61" s="20" t="n">
        <f aca="false">IF(P$5&lt;=$B61,P18,MAX(0,O61*(1+P$15)-MAX(0,-(O37*(1+P$16)+P$13))))</f>
        <v>1480257.57155433</v>
      </c>
      <c r="Q61" s="20" t="n">
        <f aca="false">IF(Q$5&lt;=$B61,Q18,MAX(0,P61*(1+Q$15)-MAX(0,-(P37*(1+Q$16)+Q$13))))</f>
        <v>1631895.24957715</v>
      </c>
      <c r="R61" s="20" t="n">
        <f aca="false">IF(R$5&lt;=$B61,R18,MAX(0,Q61*(1+R$15)-MAX(0,-(Q37*(1+R$16)+R$13))))</f>
        <v>1790151.25600982</v>
      </c>
      <c r="S61" s="20" t="n">
        <f aca="false">IF(S$5&lt;=$B61,S18,MAX(0,R61*(1+S$15)-MAX(0,-(R37*(1+S$16)+S$13))))</f>
        <v>1903825.86076644</v>
      </c>
      <c r="T61" s="20" t="n">
        <f aca="false">IF(T$5&lt;=$B61,T18,MAX(0,S61*(1+T$15)-MAX(0,-(S37*(1+T$16)+T$13))))</f>
        <v>2019007.32534281</v>
      </c>
      <c r="U61" s="20" t="n">
        <f aca="false">IF(U$5&lt;=$B61,U18,MAX(0,T61*(1+U$15)-MAX(0,-(T37*(1+U$16)+U$13))))</f>
        <v>2135100.24655002</v>
      </c>
      <c r="V61" s="20" t="n">
        <f aca="false">IF(V$5&lt;=$B61,V18,MAX(0,U61*(1+V$15)-MAX(0,-(U37*(1+V$16)+V$13))))</f>
        <v>2251463.209987</v>
      </c>
      <c r="W61" s="20" t="n">
        <f aca="false">IF(W$5&lt;=$B61,W18,MAX(0,V61*(1+W$15)-MAX(0,-(V37*(1+W$16)+W$13))))</f>
        <v>2367413.56530133</v>
      </c>
      <c r="X61" s="20" t="n">
        <f aca="false">IF(X$5&lt;=$B61,X18,MAX(0,W61*(1+X$15)-MAX(0,-(W37*(1+X$16)+X$13))))</f>
        <v>2482233.12321844</v>
      </c>
      <c r="Y61" s="20" t="n">
        <f aca="false">IF(Y$5&lt;=$B61,Y18,MAX(0,X61*(1+Y$15)-MAX(0,-(X37*(1+Y$16)+Y$13))))</f>
        <v>2595174.73032488</v>
      </c>
      <c r="Z61" s="20" t="n">
        <f aca="false">IF(Z$5&lt;=$B61,Z18,MAX(0,Y61*(1+Z$15)-MAX(0,-(Y37*(1+Z$16)+Z$13))))</f>
        <v>2705469.65636369</v>
      </c>
      <c r="AA61" s="20" t="n">
        <f aca="false">IF(AA$5&lt;=$B61,AA18,MAX(0,Z61*(1+AA$15)-MAX(0,-(Z37*(1+AA$16)+AA$13))))</f>
        <v>2812335.70779005</v>
      </c>
      <c r="AB61" s="20" t="n">
        <f aca="false">IF(AB$5&lt;=$B61,AB18,MAX(0,AA61*(1+AB$15)-MAX(0,-(AA37*(1+AB$16)+AB$13))))</f>
        <v>2914985.96112439</v>
      </c>
      <c r="AC61" s="20" t="n">
        <f aca="false">IF(AC$5&lt;=$B61,AC18,MAX(0,AB61*(1+AC$15)-MAX(0,-(AB37*(1+AC$16)+AC$13))))</f>
        <v>3012637.99082206</v>
      </c>
      <c r="AD61" s="20" t="n">
        <f aca="false">IF(AD$5&lt;=$B61,AD18,MAX(0,AC61*(1+AD$15)-MAX(0,-(AC37*(1+AD$16)+AD$13))))</f>
        <v>3104523.44954213</v>
      </c>
      <c r="AE61" s="20" t="n">
        <f aca="false">IF(AE$5&lt;=$B61,AE18,MAX(0,AD61*(1+AE$15)-MAX(0,-(AD37*(1+AE$16)+AE$13))))</f>
        <v>3189897.84440454</v>
      </c>
      <c r="AF61" s="20" t="n">
        <f aca="false">IF(AF$5&lt;=$B61,AF18,MAX(0,AE61*(1+AF$15)-MAX(0,-(AE37*(1+AF$16)+AF$13))))</f>
        <v>3268050.34159245</v>
      </c>
    </row>
    <row r="62" customFormat="false" ht="15" hidden="false" customHeight="true" outlineLevel="0" collapsed="false">
      <c r="B62" s="67" t="n">
        <v>2042</v>
      </c>
      <c r="C62" s="20" t="n">
        <f aca="false">C18</f>
        <v>302223.8</v>
      </c>
      <c r="D62" s="20" t="n">
        <f aca="false">IF(D$5&lt;=$B62,D18,MAX(0,C62*(1+D$15)-MAX(0,-(C38*(1+D$16)+D$13))))</f>
        <v>341447.268885496</v>
      </c>
      <c r="E62" s="20" t="n">
        <f aca="false">IF(E$5&lt;=$B62,E18,MAX(0,D62*(1+E$15)-MAX(0,-(D38*(1+E$16)+E$13))))</f>
        <v>378426.982520813</v>
      </c>
      <c r="F62" s="20" t="n">
        <f aca="false">IF(F$5&lt;=$B62,F18,MAX(0,E62*(1+F$15)-MAX(0,-(E38*(1+F$16)+F$13))))</f>
        <v>423092.815822478</v>
      </c>
      <c r="G62" s="20" t="n">
        <f aca="false">IF(G$5&lt;=$B62,G18,MAX(0,F62*(1+G$15)-MAX(0,-(F38*(1+G$16)+G$13))))</f>
        <v>480040.314931477</v>
      </c>
      <c r="H62" s="20" t="n">
        <f aca="false">IF(H$5&lt;=$B62,H18,MAX(0,G62*(1+H$15)-MAX(0,-(G38*(1+H$16)+H$13))))</f>
        <v>554761.883232299</v>
      </c>
      <c r="I62" s="20" t="n">
        <f aca="false">IF(I$5&lt;=$B62,I18,MAX(0,H62*(1+I$15)-MAX(0,-(H38*(1+I$16)+I$13))))</f>
        <v>640758.833890883</v>
      </c>
      <c r="J62" s="20" t="n">
        <f aca="false">IF(J$5&lt;=$B62,J18,MAX(0,I62*(1+J$15)-MAX(0,-(I38*(1+J$16)+J$13))))</f>
        <v>734467.860602153</v>
      </c>
      <c r="K62" s="20" t="n">
        <f aca="false">IF(K$5&lt;=$B62,K18,MAX(0,J62*(1+K$15)-MAX(0,-(J38*(1+K$16)+K$13))))</f>
        <v>836522.575850325</v>
      </c>
      <c r="L62" s="20" t="n">
        <f aca="false">IF(L$5&lt;=$B62,L18,MAX(0,K62*(1+L$15)-MAX(0,-(K38*(1+L$16)+L$13))))</f>
        <v>947607.614046351</v>
      </c>
      <c r="M62" s="20" t="n">
        <f aca="false">IF(M$5&lt;=$B62,M18,MAX(0,L62*(1+M$15)-MAX(0,-(L38*(1+M$16)+M$13))))</f>
        <v>1068462.71994062</v>
      </c>
      <c r="N62" s="20" t="n">
        <f aca="false">IF(N$5&lt;=$B62,N18,MAX(0,M62*(1+N$15)-MAX(0,-(M38*(1+N$16)+N$13))))</f>
        <v>1198284.47016193</v>
      </c>
      <c r="O62" s="20" t="n">
        <f aca="false">IF(O$5&lt;=$B62,O18,MAX(0,N62*(1+O$15)-MAX(0,-(N38*(1+O$16)+O$13))))</f>
        <v>1335621.32289925</v>
      </c>
      <c r="P62" s="20" t="n">
        <f aca="false">IF(P$5&lt;=$B62,P18,MAX(0,O62*(1+P$15)-MAX(0,-(O38*(1+P$16)+P$13))))</f>
        <v>1480257.57155433</v>
      </c>
      <c r="Q62" s="20" t="n">
        <f aca="false">IF(Q$5&lt;=$B62,Q18,MAX(0,P62*(1+Q$15)-MAX(0,-(P38*(1+Q$16)+Q$13))))</f>
        <v>1631895.24957715</v>
      </c>
      <c r="R62" s="20" t="n">
        <f aca="false">IF(R$5&lt;=$B62,R18,MAX(0,Q62*(1+R$15)-MAX(0,-(Q38*(1+R$16)+R$13))))</f>
        <v>1790151.25600982</v>
      </c>
      <c r="S62" s="20" t="n">
        <f aca="false">IF(S$5&lt;=$B62,S18,MAX(0,R62*(1+S$15)-MAX(0,-(R38*(1+S$16)+S$13))))</f>
        <v>1954555.53254894</v>
      </c>
      <c r="T62" s="20" t="n">
        <f aca="false">IF(T$5&lt;=$B62,T18,MAX(0,S62*(1+T$15)-MAX(0,-(S38*(1+T$16)+T$13))))</f>
        <v>2072806.14226815</v>
      </c>
      <c r="U62" s="20" t="n">
        <f aca="false">IF(U$5&lt;=$B62,U18,MAX(0,T62*(1+U$15)-MAX(0,-(T38*(1+U$16)+U$13))))</f>
        <v>2191992.49544857</v>
      </c>
      <c r="V62" s="20" t="n">
        <f aca="false">IF(V$5&lt;=$B62,V18,MAX(0,U62*(1+V$15)-MAX(0,-(U38*(1+V$16)+V$13))))</f>
        <v>2311456.08645052</v>
      </c>
      <c r="W62" s="20" t="n">
        <f aca="false">IF(W$5&lt;=$B62,W18,MAX(0,V62*(1+W$15)-MAX(0,-(V38*(1+W$16)+W$13))))</f>
        <v>2430496.07490272</v>
      </c>
      <c r="X62" s="20" t="n">
        <f aca="false">IF(X$5&lt;=$B62,X18,MAX(0,W62*(1+X$15)-MAX(0,-(W38*(1+X$16)+X$13))))</f>
        <v>2548375.1345355</v>
      </c>
      <c r="Y62" s="20" t="n">
        <f aca="false">IF(Y$5&lt;=$B62,Y18,MAX(0,X62*(1+Y$15)-MAX(0,-(X38*(1+Y$16)+Y$13))))</f>
        <v>2664326.20315687</v>
      </c>
      <c r="Z62" s="20" t="n">
        <f aca="false">IF(Z$5&lt;=$B62,Z18,MAX(0,Y62*(1+Z$15)-MAX(0,-(Y38*(1+Z$16)+Z$13))))</f>
        <v>2777560.06679103</v>
      </c>
      <c r="AA62" s="20" t="n">
        <f aca="false">IF(AA$5&lt;=$B62,AA18,MAX(0,Z62*(1+AA$15)-MAX(0,-(Z38*(1+AA$16)+AA$13))))</f>
        <v>2887273.68942928</v>
      </c>
      <c r="AB62" s="20" t="n">
        <f aca="false">IF(AB$5&lt;=$B62,AB18,MAX(0,AA62*(1+AB$15)-MAX(0,-(AA38*(1+AB$16)+AB$13))))</f>
        <v>2992659.17909345</v>
      </c>
      <c r="AC62" s="20" t="n">
        <f aca="false">IF(AC$5&lt;=$B62,AC18,MAX(0,AB62*(1+AC$15)-MAX(0,-(AB38*(1+AC$16)+AC$13))))</f>
        <v>3092913.26159308</v>
      </c>
      <c r="AD62" s="20" t="n">
        <f aca="false">IF(AD$5&lt;=$B62,AD18,MAX(0,AC62*(1+AD$15)-MAX(0,-(AC38*(1+AD$16)+AD$13))))</f>
        <v>3187247.11607167</v>
      </c>
      <c r="AE62" s="20" t="n">
        <f aca="false">IF(AE$5&lt;=$B62,AE18,MAX(0,AD62*(1+AE$15)-MAX(0,-(AD38*(1+AE$16)+AE$13))))</f>
        <v>3274896.41176364</v>
      </c>
      <c r="AF62" s="20" t="n">
        <f aca="false">IF(AF$5&lt;=$B62,AF18,MAX(0,AE62*(1+AF$15)-MAX(0,-(AE38*(1+AF$16)+AF$13))))</f>
        <v>3355131.37385185</v>
      </c>
    </row>
    <row r="63" customFormat="false" ht="15" hidden="false" customHeight="true" outlineLevel="0" collapsed="false">
      <c r="B63" s="67" t="n">
        <v>2043</v>
      </c>
      <c r="C63" s="20" t="n">
        <f aca="false">C18</f>
        <v>302223.8</v>
      </c>
      <c r="D63" s="20" t="n">
        <f aca="false">IF(D$5&lt;=$B63,D18,MAX(0,C63*(1+D$15)-MAX(0,-(C39*(1+D$16)+D$13))))</f>
        <v>341447.268885496</v>
      </c>
      <c r="E63" s="20" t="n">
        <f aca="false">IF(E$5&lt;=$B63,E18,MAX(0,D63*(1+E$15)-MAX(0,-(D39*(1+E$16)+E$13))))</f>
        <v>378426.982520813</v>
      </c>
      <c r="F63" s="20" t="n">
        <f aca="false">IF(F$5&lt;=$B63,F18,MAX(0,E63*(1+F$15)-MAX(0,-(E39*(1+F$16)+F$13))))</f>
        <v>423092.815822478</v>
      </c>
      <c r="G63" s="20" t="n">
        <f aca="false">IF(G$5&lt;=$B63,G18,MAX(0,F63*(1+G$15)-MAX(0,-(F39*(1+G$16)+G$13))))</f>
        <v>480040.314931477</v>
      </c>
      <c r="H63" s="20" t="n">
        <f aca="false">IF(H$5&lt;=$B63,H18,MAX(0,G63*(1+H$15)-MAX(0,-(G39*(1+H$16)+H$13))))</f>
        <v>554761.883232299</v>
      </c>
      <c r="I63" s="20" t="n">
        <f aca="false">IF(I$5&lt;=$B63,I18,MAX(0,H63*(1+I$15)-MAX(0,-(H39*(1+I$16)+I$13))))</f>
        <v>640758.833890883</v>
      </c>
      <c r="J63" s="20" t="n">
        <f aca="false">IF(J$5&lt;=$B63,J18,MAX(0,I63*(1+J$15)-MAX(0,-(I39*(1+J$16)+J$13))))</f>
        <v>734467.860602153</v>
      </c>
      <c r="K63" s="20" t="n">
        <f aca="false">IF(K$5&lt;=$B63,K18,MAX(0,J63*(1+K$15)-MAX(0,-(J39*(1+K$16)+K$13))))</f>
        <v>836522.575850325</v>
      </c>
      <c r="L63" s="20" t="n">
        <f aca="false">IF(L$5&lt;=$B63,L18,MAX(0,K63*(1+L$15)-MAX(0,-(K39*(1+L$16)+L$13))))</f>
        <v>947607.614046351</v>
      </c>
      <c r="M63" s="20" t="n">
        <f aca="false">IF(M$5&lt;=$B63,M18,MAX(0,L63*(1+M$15)-MAX(0,-(L39*(1+M$16)+M$13))))</f>
        <v>1068462.71994062</v>
      </c>
      <c r="N63" s="20" t="n">
        <f aca="false">IF(N$5&lt;=$B63,N18,MAX(0,M63*(1+N$15)-MAX(0,-(M39*(1+N$16)+N$13))))</f>
        <v>1198284.47016193</v>
      </c>
      <c r="O63" s="20" t="n">
        <f aca="false">IF(O$5&lt;=$B63,O18,MAX(0,N63*(1+O$15)-MAX(0,-(N39*(1+O$16)+O$13))))</f>
        <v>1335621.32289925</v>
      </c>
      <c r="P63" s="20" t="n">
        <f aca="false">IF(P$5&lt;=$B63,P18,MAX(0,O63*(1+P$15)-MAX(0,-(O39*(1+P$16)+P$13))))</f>
        <v>1480257.57155433</v>
      </c>
      <c r="Q63" s="20" t="n">
        <f aca="false">IF(Q$5&lt;=$B63,Q18,MAX(0,P63*(1+Q$15)-MAX(0,-(P39*(1+Q$16)+Q$13))))</f>
        <v>1631895.24957715</v>
      </c>
      <c r="R63" s="20" t="n">
        <f aca="false">IF(R$5&lt;=$B63,R18,MAX(0,Q63*(1+R$15)-MAX(0,-(Q39*(1+R$16)+R$13))))</f>
        <v>1790151.25600982</v>
      </c>
      <c r="S63" s="20" t="n">
        <f aca="false">IF(S$5&lt;=$B63,S18,MAX(0,R63*(1+S$15)-MAX(0,-(R39*(1+S$16)+S$13))))</f>
        <v>1954555.53254894</v>
      </c>
      <c r="T63" s="20" t="n">
        <f aca="false">IF(T$5&lt;=$B63,T18,MAX(0,S63*(1+T$15)-MAX(0,-(S39*(1+T$16)+T$13))))</f>
        <v>2124550.4074863</v>
      </c>
      <c r="U63" s="20" t="n">
        <f aca="false">IF(U$5&lt;=$B63,U18,MAX(0,T63*(1+U$15)-MAX(0,-(T39*(1+U$16)+U$13))))</f>
        <v>2246712.05591677</v>
      </c>
      <c r="V63" s="20" t="n">
        <f aca="false">IF(V$5&lt;=$B63,V18,MAX(0,U63*(1+V$15)-MAX(0,-(U39*(1+V$16)+V$13))))</f>
        <v>2369157.86296423</v>
      </c>
      <c r="W63" s="20" t="n">
        <f aca="false">IF(W$5&lt;=$B63,W18,MAX(0,V63*(1+W$15)-MAX(0,-(V39*(1+W$16)+W$13))))</f>
        <v>2491169.49290689</v>
      </c>
      <c r="X63" s="20" t="n">
        <f aca="false">IF(X$5&lt;=$B63,X18,MAX(0,W63*(1+X$15)-MAX(0,-(W39*(1+X$16)+X$13))))</f>
        <v>2611991.21331287</v>
      </c>
      <c r="Y63" s="20" t="n">
        <f aca="false">IF(Y$5&lt;=$B63,Y18,MAX(0,X63*(1+Y$15)-MAX(0,-(X39*(1+Y$16)+Y$13))))</f>
        <v>2730836.81351861</v>
      </c>
      <c r="Z63" s="20" t="n">
        <f aca="false">IF(Z$5&lt;=$B63,Z18,MAX(0,Y63*(1+Z$15)-MAX(0,-(Y39*(1+Z$16)+Z$13))))</f>
        <v>2846897.37809315</v>
      </c>
      <c r="AA63" s="20" t="n">
        <f aca="false">IF(AA$5&lt;=$B63,AA18,MAX(0,Z63*(1+AA$15)-MAX(0,-(Z39*(1+AA$16)+AA$13))))</f>
        <v>2959349.82452783</v>
      </c>
      <c r="AB63" s="20" t="n">
        <f aca="false">IF(AB$5&lt;=$B63,AB18,MAX(0,AA63*(1+AB$15)-MAX(0,-(AA39*(1+AB$16)+AB$13))))</f>
        <v>3067366.09312309</v>
      </c>
      <c r="AC63" s="20" t="n">
        <f aca="false">IF(AC$5&lt;=$B63,AC18,MAX(0,AB63*(1+AC$15)-MAX(0,-(AB39*(1+AC$16)+AC$13))))</f>
        <v>3170122.85724272</v>
      </c>
      <c r="AD63" s="20" t="n">
        <f aca="false">IF(AD$5&lt;=$B63,AD18,MAX(0,AC63*(1+AD$15)-MAX(0,-(AC39*(1+AD$16)+AD$13))))</f>
        <v>3266811.60438862</v>
      </c>
      <c r="AE63" s="20" t="n">
        <f aca="false">IF(AE$5&lt;=$B63,AE18,MAX(0,AD63*(1+AE$15)-MAX(0,-(AD39*(1+AE$16)+AE$13))))</f>
        <v>3356648.92350931</v>
      </c>
      <c r="AF63" s="20" t="n">
        <f aca="false">IF(AF$5&lt;=$B63,AF18,MAX(0,AE63*(1+AF$15)-MAX(0,-(AE39*(1+AF$16)+AF$13))))</f>
        <v>3438886.82213529</v>
      </c>
    </row>
    <row r="64" customFormat="false" ht="15" hidden="false" customHeight="true" outlineLevel="0" collapsed="false">
      <c r="B64" s="67" t="n">
        <v>2044</v>
      </c>
      <c r="C64" s="20" t="n">
        <f aca="false">C18</f>
        <v>302223.8</v>
      </c>
      <c r="D64" s="20" t="n">
        <f aca="false">IF(D$5&lt;=$B64,D18,MAX(0,C64*(1+D$15)-MAX(0,-(C40*(1+D$16)+D$13))))</f>
        <v>341447.268885496</v>
      </c>
      <c r="E64" s="20" t="n">
        <f aca="false">IF(E$5&lt;=$B64,E18,MAX(0,D64*(1+E$15)-MAX(0,-(D40*(1+E$16)+E$13))))</f>
        <v>378426.982520813</v>
      </c>
      <c r="F64" s="20" t="n">
        <f aca="false">IF(F$5&lt;=$B64,F18,MAX(0,E64*(1+F$15)-MAX(0,-(E40*(1+F$16)+F$13))))</f>
        <v>423092.815822478</v>
      </c>
      <c r="G64" s="20" t="n">
        <f aca="false">IF(G$5&lt;=$B64,G18,MAX(0,F64*(1+G$15)-MAX(0,-(F40*(1+G$16)+G$13))))</f>
        <v>480040.314931477</v>
      </c>
      <c r="H64" s="20" t="n">
        <f aca="false">IF(H$5&lt;=$B64,H18,MAX(0,G64*(1+H$15)-MAX(0,-(G40*(1+H$16)+H$13))))</f>
        <v>554761.883232299</v>
      </c>
      <c r="I64" s="20" t="n">
        <f aca="false">IF(I$5&lt;=$B64,I18,MAX(0,H64*(1+I$15)-MAX(0,-(H40*(1+I$16)+I$13))))</f>
        <v>640758.833890883</v>
      </c>
      <c r="J64" s="20" t="n">
        <f aca="false">IF(J$5&lt;=$B64,J18,MAX(0,I64*(1+J$15)-MAX(0,-(I40*(1+J$16)+J$13))))</f>
        <v>734467.860602153</v>
      </c>
      <c r="K64" s="20" t="n">
        <f aca="false">IF(K$5&lt;=$B64,K18,MAX(0,J64*(1+K$15)-MAX(0,-(J40*(1+K$16)+K$13))))</f>
        <v>836522.575850325</v>
      </c>
      <c r="L64" s="20" t="n">
        <f aca="false">IF(L$5&lt;=$B64,L18,MAX(0,K64*(1+L$15)-MAX(0,-(K40*(1+L$16)+L$13))))</f>
        <v>947607.614046351</v>
      </c>
      <c r="M64" s="20" t="n">
        <f aca="false">IF(M$5&lt;=$B64,M18,MAX(0,L64*(1+M$15)-MAX(0,-(L40*(1+M$16)+M$13))))</f>
        <v>1068462.71994062</v>
      </c>
      <c r="N64" s="20" t="n">
        <f aca="false">IF(N$5&lt;=$B64,N18,MAX(0,M64*(1+N$15)-MAX(0,-(M40*(1+N$16)+N$13))))</f>
        <v>1198284.47016193</v>
      </c>
      <c r="O64" s="20" t="n">
        <f aca="false">IF(O$5&lt;=$B64,O18,MAX(0,N64*(1+O$15)-MAX(0,-(N40*(1+O$16)+O$13))))</f>
        <v>1335621.32289925</v>
      </c>
      <c r="P64" s="20" t="n">
        <f aca="false">IF(P$5&lt;=$B64,P18,MAX(0,O64*(1+P$15)-MAX(0,-(O40*(1+P$16)+P$13))))</f>
        <v>1480257.57155433</v>
      </c>
      <c r="Q64" s="20" t="n">
        <f aca="false">IF(Q$5&lt;=$B64,Q18,MAX(0,P64*(1+Q$15)-MAX(0,-(P40*(1+Q$16)+Q$13))))</f>
        <v>1631895.24957715</v>
      </c>
      <c r="R64" s="20" t="n">
        <f aca="false">IF(R$5&lt;=$B64,R18,MAX(0,Q64*(1+R$15)-MAX(0,-(Q40*(1+R$16)+R$13))))</f>
        <v>1790151.25600982</v>
      </c>
      <c r="S64" s="20" t="n">
        <f aca="false">IF(S$5&lt;=$B64,S18,MAX(0,R64*(1+S$15)-MAX(0,-(R40*(1+S$16)+S$13))))</f>
        <v>1954555.53254894</v>
      </c>
      <c r="T64" s="20" t="n">
        <f aca="false">IF(T$5&lt;=$B64,T18,MAX(0,S64*(1+T$15)-MAX(0,-(S40*(1+T$16)+T$13))))</f>
        <v>2124550.4074863</v>
      </c>
      <c r="U64" s="20" t="n">
        <f aca="false">IF(U$5&lt;=$B64,U18,MAX(0,T64*(1+U$15)-MAX(0,-(T40*(1+U$16)+U$13))))</f>
        <v>2299491.20643928</v>
      </c>
      <c r="V64" s="20" t="n">
        <f aca="false">IF(V$5&lt;=$B64,V18,MAX(0,U64*(1+V$15)-MAX(0,-(U40*(1+V$16)+V$13))))</f>
        <v>2424813.47719022</v>
      </c>
      <c r="W64" s="20" t="n">
        <f aca="false">IF(W$5&lt;=$B64,W18,MAX(0,V64*(1+W$15)-MAX(0,-(V40*(1+W$16)+W$13))))</f>
        <v>2549691.37126552</v>
      </c>
      <c r="X64" s="20" t="n">
        <f aca="false">IF(X$5&lt;=$B64,X18,MAX(0,W64*(1+X$15)-MAX(0,-(W40*(1+X$16)+X$13))))</f>
        <v>2673351.4027719</v>
      </c>
      <c r="Y64" s="20" t="n">
        <f aca="false">IF(Y$5&lt;=$B64,Y18,MAX(0,X64*(1+Y$15)-MAX(0,-(X40*(1+Y$16)+Y$13))))</f>
        <v>2794988.89159802</v>
      </c>
      <c r="Z64" s="20" t="n">
        <f aca="false">IF(Z$5&lt;=$B64,Z18,MAX(0,Y64*(1+Z$15)-MAX(0,-(Y40*(1+Z$16)+Z$13))))</f>
        <v>2913775.91949093</v>
      </c>
      <c r="AA64" s="20" t="n">
        <f aca="false">IF(AA$5&lt;=$B64,AA18,MAX(0,Z64*(1+AA$15)-MAX(0,-(Z40*(1+AA$16)+AA$13))))</f>
        <v>3028870.06831083</v>
      </c>
      <c r="AB64" s="20" t="n">
        <f aca="false">IF(AB$5&lt;=$B64,AB18,MAX(0,AA64*(1+AB$15)-MAX(0,-(AA40*(1+AB$16)+AB$13))))</f>
        <v>3139423.82580417</v>
      </c>
      <c r="AC64" s="20" t="n">
        <f aca="false">IF(AC$5&lt;=$B64,AC18,MAX(0,AB64*(1+AC$15)-MAX(0,-(AB40*(1+AC$16)+AC$13))))</f>
        <v>3244594.52396861</v>
      </c>
      <c r="AD64" s="20" t="n">
        <f aca="false">IF(AD$5&lt;=$B64,AD18,MAX(0,AC64*(1+AD$15)-MAX(0,-(AC40*(1+AD$16)+AD$13))))</f>
        <v>3343554.65694965</v>
      </c>
      <c r="AE64" s="20" t="n">
        <f aca="false">IF(AE$5&lt;=$B64,AE18,MAX(0,AD64*(1+AE$15)-MAX(0,-(AD40*(1+AE$16)+AE$13))))</f>
        <v>3435502.41001577</v>
      </c>
      <c r="AF64" s="20" t="n">
        <f aca="false">IF(AF$5&lt;=$B64,AF18,MAX(0,AE64*(1+AF$15)-MAX(0,-(AE40*(1+AF$16)+AF$13))))</f>
        <v>3519672.21906115</v>
      </c>
    </row>
    <row r="65" customFormat="false" ht="15" hidden="false" customHeight="true" outlineLevel="0" collapsed="false">
      <c r="B65" s="67" t="n">
        <v>2045</v>
      </c>
      <c r="C65" s="20" t="n">
        <f aca="false">C18</f>
        <v>302223.8</v>
      </c>
      <c r="D65" s="20" t="n">
        <f aca="false">IF(D$5&lt;=$B65,D18,MAX(0,C65*(1+D$15)-MAX(0,-(C41*(1+D$16)+D$13))))</f>
        <v>341447.268885496</v>
      </c>
      <c r="E65" s="20" t="n">
        <f aca="false">IF(E$5&lt;=$B65,E18,MAX(0,D65*(1+E$15)-MAX(0,-(D41*(1+E$16)+E$13))))</f>
        <v>378426.982520813</v>
      </c>
      <c r="F65" s="20" t="n">
        <f aca="false">IF(F$5&lt;=$B65,F18,MAX(0,E65*(1+F$15)-MAX(0,-(E41*(1+F$16)+F$13))))</f>
        <v>423092.815822478</v>
      </c>
      <c r="G65" s="20" t="n">
        <f aca="false">IF(G$5&lt;=$B65,G18,MAX(0,F65*(1+G$15)-MAX(0,-(F41*(1+G$16)+G$13))))</f>
        <v>480040.314931477</v>
      </c>
      <c r="H65" s="20" t="n">
        <f aca="false">IF(H$5&lt;=$B65,H18,MAX(0,G65*(1+H$15)-MAX(0,-(G41*(1+H$16)+H$13))))</f>
        <v>554761.883232299</v>
      </c>
      <c r="I65" s="20" t="n">
        <f aca="false">IF(I$5&lt;=$B65,I18,MAX(0,H65*(1+I$15)-MAX(0,-(H41*(1+I$16)+I$13))))</f>
        <v>640758.833890883</v>
      </c>
      <c r="J65" s="20" t="n">
        <f aca="false">IF(J$5&lt;=$B65,J18,MAX(0,I65*(1+J$15)-MAX(0,-(I41*(1+J$16)+J$13))))</f>
        <v>734467.860602153</v>
      </c>
      <c r="K65" s="20" t="n">
        <f aca="false">IF(K$5&lt;=$B65,K18,MAX(0,J65*(1+K$15)-MAX(0,-(J41*(1+K$16)+K$13))))</f>
        <v>836522.575850325</v>
      </c>
      <c r="L65" s="20" t="n">
        <f aca="false">IF(L$5&lt;=$B65,L18,MAX(0,K65*(1+L$15)-MAX(0,-(K41*(1+L$16)+L$13))))</f>
        <v>947607.614046351</v>
      </c>
      <c r="M65" s="20" t="n">
        <f aca="false">IF(M$5&lt;=$B65,M18,MAX(0,L65*(1+M$15)-MAX(0,-(L41*(1+M$16)+M$13))))</f>
        <v>1068462.71994062</v>
      </c>
      <c r="N65" s="20" t="n">
        <f aca="false">IF(N$5&lt;=$B65,N18,MAX(0,M65*(1+N$15)-MAX(0,-(M41*(1+N$16)+N$13))))</f>
        <v>1198284.47016193</v>
      </c>
      <c r="O65" s="20" t="n">
        <f aca="false">IF(O$5&lt;=$B65,O18,MAX(0,N65*(1+O$15)-MAX(0,-(N41*(1+O$16)+O$13))))</f>
        <v>1335621.32289925</v>
      </c>
      <c r="P65" s="20" t="n">
        <f aca="false">IF(P$5&lt;=$B65,P18,MAX(0,O65*(1+P$15)-MAX(0,-(O41*(1+P$16)+P$13))))</f>
        <v>1480257.57155433</v>
      </c>
      <c r="Q65" s="20" t="n">
        <f aca="false">IF(Q$5&lt;=$B65,Q18,MAX(0,P65*(1+Q$15)-MAX(0,-(P41*(1+Q$16)+Q$13))))</f>
        <v>1631895.24957715</v>
      </c>
      <c r="R65" s="20" t="n">
        <f aca="false">IF(R$5&lt;=$B65,R18,MAX(0,Q65*(1+R$15)-MAX(0,-(Q41*(1+R$16)+R$13))))</f>
        <v>1790151.25600982</v>
      </c>
      <c r="S65" s="20" t="n">
        <f aca="false">IF(S$5&lt;=$B65,S18,MAX(0,R65*(1+S$15)-MAX(0,-(R41*(1+S$16)+S$13))))</f>
        <v>1954555.53254894</v>
      </c>
      <c r="T65" s="20" t="n">
        <f aca="false">IF(T$5&lt;=$B65,T18,MAX(0,S65*(1+T$15)-MAX(0,-(S41*(1+T$16)+T$13))))</f>
        <v>2124550.4074863</v>
      </c>
      <c r="U65" s="20" t="n">
        <f aca="false">IF(U$5&lt;=$B65,U18,MAX(0,T65*(1+U$15)-MAX(0,-(T41*(1+U$16)+U$13))))</f>
        <v>2299491.20643928</v>
      </c>
      <c r="V65" s="20" t="n">
        <f aca="false">IF(V$5&lt;=$B65,V18,MAX(0,U65*(1+V$15)-MAX(0,-(U41*(1+V$16)+V$13))))</f>
        <v>2478648.21072319</v>
      </c>
      <c r="W65" s="20" t="n">
        <f aca="false">IF(W$5&lt;=$B65,W18,MAX(0,V65*(1+W$15)-MAX(0,-(V41*(1+W$16)+W$13))))</f>
        <v>2606298.59357543</v>
      </c>
      <c r="X65" s="20" t="n">
        <f aca="false">IF(X$5&lt;=$B65,X18,MAX(0,W65*(1+X$15)-MAX(0,-(W41*(1+X$16)+X$13))))</f>
        <v>2732704.07536384</v>
      </c>
      <c r="Y65" s="20" t="n">
        <f aca="false">IF(Y$5&lt;=$B65,Y18,MAX(0,X65*(1+Y$15)-MAX(0,-(X41*(1+Y$16)+Y$13))))</f>
        <v>2857042.11079289</v>
      </c>
      <c r="Z65" s="20" t="n">
        <f aca="false">IF(Z$5&lt;=$B65,Z18,MAX(0,Y65*(1+Z$15)-MAX(0,-(Y41*(1+Z$16)+Z$13))))</f>
        <v>2978466.40050159</v>
      </c>
      <c r="AA65" s="20" t="n">
        <f aca="false">IF(AA$5&lt;=$B65,AA18,MAX(0,Z65*(1+AA$15)-MAX(0,-(Z41*(1+AA$16)+AA$13))))</f>
        <v>3096115.82332141</v>
      </c>
      <c r="AB65" s="20" t="n">
        <f aca="false">IF(AB$5&lt;=$B65,AB18,MAX(0,AA65*(1+AB$15)-MAX(0,-(AA41*(1+AB$16)+AB$13))))</f>
        <v>3209124.05087264</v>
      </c>
      <c r="AC65" s="20" t="n">
        <f aca="false">IF(AC$5&lt;=$B65,AC18,MAX(0,AB65*(1+AC$15)-MAX(0,-(AB41*(1+AC$16)+AC$13))))</f>
        <v>3316629.70657687</v>
      </c>
      <c r="AD65" s="20" t="n">
        <f aca="false">IF(AD$5&lt;=$B65,AD18,MAX(0,AC65*(1+AD$15)-MAX(0,-(AC41*(1+AD$16)+AD$13))))</f>
        <v>3417786.91262747</v>
      </c>
      <c r="AE65" s="20" t="n">
        <f aca="false">IF(AE$5&lt;=$B65,AE18,MAX(0,AD65*(1+AE$15)-MAX(0,-(AD41*(1+AE$16)+AE$13))))</f>
        <v>3511776.05272472</v>
      </c>
      <c r="AF65" s="20" t="n">
        <f aca="false">IF(AF$5&lt;=$B65,AF18,MAX(0,AE65*(1+AF$15)-MAX(0,-(AE41*(1+AF$16)+AF$13))))</f>
        <v>3597814.56601648</v>
      </c>
    </row>
    <row r="68" customFormat="false" ht="15" hidden="false" customHeight="true" outlineLevel="0" collapsed="false">
      <c r="A68" s="30" t="s">
        <v>496</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customFormat="false" ht="15" hidden="false" customHeight="true" outlineLevel="0" collapsed="false">
      <c r="B69" s="16" t="s">
        <v>101</v>
      </c>
      <c r="C69" s="31" t="n">
        <v>2026</v>
      </c>
      <c r="D69" s="31" t="n">
        <v>2027</v>
      </c>
      <c r="E69" s="31" t="n">
        <v>2028</v>
      </c>
      <c r="F69" s="31" t="n">
        <v>2029</v>
      </c>
      <c r="G69" s="31" t="n">
        <v>2030</v>
      </c>
      <c r="H69" s="31" t="n">
        <v>2031</v>
      </c>
      <c r="I69" s="31" t="n">
        <v>2032</v>
      </c>
      <c r="J69" s="31" t="n">
        <v>2033</v>
      </c>
      <c r="K69" s="31" t="n">
        <v>2034</v>
      </c>
      <c r="L69" s="31" t="n">
        <v>2035</v>
      </c>
      <c r="M69" s="31" t="n">
        <v>2036</v>
      </c>
      <c r="N69" s="31" t="n">
        <v>2037</v>
      </c>
      <c r="O69" s="31" t="n">
        <v>2038</v>
      </c>
      <c r="P69" s="31" t="n">
        <v>2039</v>
      </c>
      <c r="Q69" s="31" t="n">
        <v>2040</v>
      </c>
      <c r="R69" s="31" t="n">
        <v>2041</v>
      </c>
      <c r="S69" s="31" t="n">
        <v>2042</v>
      </c>
      <c r="T69" s="31" t="n">
        <v>2043</v>
      </c>
      <c r="U69" s="31" t="n">
        <v>2044</v>
      </c>
      <c r="V69" s="31" t="n">
        <v>2045</v>
      </c>
      <c r="W69" s="31" t="n">
        <v>2046</v>
      </c>
      <c r="X69" s="31" t="n">
        <v>2047</v>
      </c>
      <c r="Y69" s="31" t="n">
        <v>2048</v>
      </c>
      <c r="Z69" s="31" t="n">
        <v>2049</v>
      </c>
      <c r="AA69" s="31" t="n">
        <v>2050</v>
      </c>
      <c r="AB69" s="31" t="n">
        <v>2051</v>
      </c>
      <c r="AC69" s="31" t="n">
        <v>2052</v>
      </c>
      <c r="AD69" s="31" t="n">
        <v>2053</v>
      </c>
      <c r="AE69" s="31" t="n">
        <v>2054</v>
      </c>
      <c r="AF69" s="31" t="n">
        <v>2055</v>
      </c>
    </row>
    <row r="70" customFormat="false" ht="15" hidden="false" customHeight="true" outlineLevel="0" collapsed="false">
      <c r="B70" s="67" t="n">
        <v>2026</v>
      </c>
      <c r="C70" s="20" t="n">
        <f aca="false">IF(OR(C$5&lt;=$B70,C$5&gt;Assumptions!$C$109),1000000000000,C22+C46-C$14)</f>
        <v>1000000000000</v>
      </c>
      <c r="D70" s="20" t="n">
        <f aca="false">IF(OR(D$5&lt;=$B70,D$5&gt;Assumptions!$C$109),1000000000000,D22+D46-D$14)</f>
        <v>124883.104</v>
      </c>
      <c r="E70" s="20" t="n">
        <f aca="false">IF(OR(E$5&lt;=$B70,E$5&gt;Assumptions!$C$109),1000000000000,E22+E46-E$14)</f>
        <v>54067.65232</v>
      </c>
      <c r="F70" s="20" t="n">
        <f aca="false">IF(OR(F$5&lt;=$B70,F$5&gt;Assumptions!$C$109),1000000000000,F22+F46-F$14)</f>
        <v>-442.373894400051</v>
      </c>
      <c r="G70" s="20" t="n">
        <f aca="false">IF(OR(G$5&lt;=$B70,G$5&gt;Assumptions!$C$109),1000000000000,G22+G46-G$14)</f>
        <v>-51185.638973952</v>
      </c>
      <c r="H70" s="20" t="n">
        <f aca="false">IF(OR(H$5&lt;=$B70,H$5&gt;Assumptions!$C$109),1000000000000,H22+H46-H$14)</f>
        <v>-81849.9871907483</v>
      </c>
      <c r="I70" s="20" t="n">
        <f aca="false">IF(OR(I$5&lt;=$B70,I$5&gt;Assumptions!$C$109),1000000000000,I22+I46-I$14)</f>
        <v>-68950.0698481457</v>
      </c>
      <c r="J70" s="20" t="n">
        <f aca="false">IF(OR(J$5&lt;=$B70,J$5&gt;Assumptions!$C$109),1000000000000,J22+J46-J$14)</f>
        <v>-81760.6579784217</v>
      </c>
      <c r="K70" s="20" t="n">
        <f aca="false">IF(OR(K$5&lt;=$B70,K$5&gt;Assumptions!$C$109),1000000000000,K22+K46-K$14)</f>
        <v>-42711.9229936343</v>
      </c>
      <c r="L70" s="20" t="n">
        <f aca="false">IF(OR(L$5&lt;=$B70,L$5&gt;Assumptions!$C$109),1000000000000,L22+L46-L$14)</f>
        <v>-23555.0983038568</v>
      </c>
      <c r="M70" s="20" t="n">
        <f aca="false">IF(OR(M$5&lt;=$B70,M$5&gt;Assumptions!$C$109),1000000000000,M22+M46-M$14)</f>
        <v>-2678.97641899876</v>
      </c>
      <c r="N70" s="20" t="n">
        <f aca="false">IF(OR(N$5&lt;=$B70,N$5&gt;Assumptions!$C$109),1000000000000,N22+N46-N$14)</f>
        <v>19890.5599282194</v>
      </c>
      <c r="O70" s="20" t="n">
        <f aca="false">IF(OR(O$5&lt;=$B70,O$5&gt;Assumptions!$C$109),1000000000000,O22+O46-O$14)</f>
        <v>44014.5840362671</v>
      </c>
      <c r="P70" s="20" t="n">
        <f aca="false">IF(OR(P$5&lt;=$B70,P$5&gt;Assumptions!$C$109),1000000000000,P22+P46-P$14)</f>
        <v>69645.3342959527</v>
      </c>
      <c r="Q70" s="20" t="n">
        <f aca="false">IF(OR(Q$5&lt;=$B70,Q$5&gt;Assumptions!$C$109),1000000000000,Q22+Q46-Q$14)</f>
        <v>96718.0768636298</v>
      </c>
      <c r="R70" s="20" t="n">
        <f aca="false">IF(OR(R$5&lt;=$B70,R$5&gt;Assumptions!$C$109),1000000000000,R22+R46-R$14)</f>
        <v>125150.767665817</v>
      </c>
      <c r="S70" s="20" t="n">
        <f aca="false">IF(OR(S$5&lt;=$B70,S$5&gt;Assumptions!$C$109),1000000000000,S22+S46-S$14)</f>
        <v>154843.952522634</v>
      </c>
      <c r="T70" s="20" t="n">
        <f aca="false">IF(OR(T$5&lt;=$B70,T$5&gt;Assumptions!$C$109),1000000000000,T22+T46-T$14)</f>
        <v>185680.922768782</v>
      </c>
      <c r="U70" s="20" t="n">
        <f aca="false">IF(OR(U$5&lt;=$B70,U$5&gt;Assumptions!$C$109),1000000000000,U22+U46-U$14)</f>
        <v>217528.139514981</v>
      </c>
      <c r="V70" s="20" t="n">
        <f aca="false">IF(OR(V$5&lt;=$B70,V$5&gt;Assumptions!$C$109),1000000000000,V22+V46-V$14)</f>
        <v>321114.587233363</v>
      </c>
      <c r="W70" s="20" t="n">
        <f aca="false">IF(OR(W$5&lt;=$B70,W$5&gt;Assumptions!$C$109),1000000000000,W22+W46-W$14)</f>
        <v>392668.580074626</v>
      </c>
      <c r="X70" s="20" t="n">
        <f aca="false">IF(OR(X$5&lt;=$B70,X$5&gt;Assumptions!$C$109),1000000000000,X22+X46-X$14)</f>
        <v>466624.745750398</v>
      </c>
      <c r="Y70" s="20" t="n">
        <f aca="false">IF(OR(Y$5&lt;=$B70,Y$5&gt;Assumptions!$C$109),1000000000000,Y22+Y46-Y$14)</f>
        <v>542639.172920993</v>
      </c>
      <c r="Z70" s="20" t="n">
        <f aca="false">IF(OR(Z$5&lt;=$B70,Z$5&gt;Assumptions!$C$109),1000000000000,Z22+Z46-Z$14)</f>
        <v>1000000000000</v>
      </c>
      <c r="AA70" s="20" t="n">
        <f aca="false">IF(OR(AA$5&lt;=$B70,AA$5&gt;Assumptions!$C$109),1000000000000,AA22+AA46-AA$14)</f>
        <v>1000000000000</v>
      </c>
      <c r="AB70" s="20" t="n">
        <f aca="false">IF(OR(AB$5&lt;=$B70,AB$5&gt;Assumptions!$C$109),1000000000000,AB22+AB46-AB$14)</f>
        <v>1000000000000</v>
      </c>
      <c r="AC70" s="20" t="n">
        <f aca="false">IF(OR(AC$5&lt;=$B70,AC$5&gt;Assumptions!$C$109),1000000000000,AC22+AC46-AC$14)</f>
        <v>1000000000000</v>
      </c>
      <c r="AD70" s="20" t="n">
        <f aca="false">IF(OR(AD$5&lt;=$B70,AD$5&gt;Assumptions!$C$109),1000000000000,AD22+AD46-AD$14)</f>
        <v>1000000000000</v>
      </c>
      <c r="AE70" s="20" t="n">
        <f aca="false">IF(OR(AE$5&lt;=$B70,AE$5&gt;Assumptions!$C$109),1000000000000,AE22+AE46-AE$14)</f>
        <v>1000000000000</v>
      </c>
      <c r="AF70" s="20" t="n">
        <f aca="false">IF(OR(AF$5&lt;=$B70,AF$5&gt;Assumptions!$C$109),1000000000000,AF22+AF46-AF$14)</f>
        <v>1000000000000</v>
      </c>
    </row>
    <row r="71" customFormat="false" ht="15" hidden="false" customHeight="true" outlineLevel="0" collapsed="false">
      <c r="B71" s="67" t="n">
        <v>2027</v>
      </c>
      <c r="C71" s="20" t="n">
        <f aca="false">IF(OR(C$5&lt;=$B71,C$5&gt;Assumptions!$C$109),1000000000000,C23+C47-C$14)</f>
        <v>1000000000000</v>
      </c>
      <c r="D71" s="20" t="n">
        <f aca="false">IF(OR(D$5&lt;=$B71,D$5&gt;Assumptions!$C$109),1000000000000,D23+D47-D$14)</f>
        <v>1000000000000</v>
      </c>
      <c r="E71" s="20" t="n">
        <f aca="false">IF(OR(E$5&lt;=$B71,E$5&gt;Assumptions!$C$109),1000000000000,E23+E47-E$14)</f>
        <v>143738.070396336</v>
      </c>
      <c r="F71" s="20" t="n">
        <f aca="false">IF(OR(F$5&lt;=$B71,F$5&gt;Assumptions!$C$109),1000000000000,F23+F47-F$14)</f>
        <v>96401.6776280426</v>
      </c>
      <c r="G71" s="20" t="n">
        <f aca="false">IF(OR(G$5&lt;=$B71,G$5&gt;Assumptions!$C$109),1000000000000,G23+G47-G$14)</f>
        <v>53405.936670286</v>
      </c>
      <c r="H71" s="20" t="n">
        <f aca="false">IF(OR(H$5&lt;=$B71,H$5&gt;Assumptions!$C$109),1000000000000,H23+H47-H$14)</f>
        <v>31108.9145050288</v>
      </c>
      <c r="I71" s="20" t="n">
        <f aca="false">IF(OR(I$5&lt;=$B71,I$5&gt;Assumptions!$C$109),1000000000000,I23+I47-I$14)</f>
        <v>53045.5439832936</v>
      </c>
      <c r="J71" s="20" t="n">
        <f aca="false">IF(OR(J$5&lt;=$B71,J$5&gt;Assumptions!$C$109),1000000000000,J23+J47-J$14)</f>
        <v>49994.6049595327</v>
      </c>
      <c r="K71" s="20" t="n">
        <f aca="false">IF(OR(K$5&lt;=$B71,K$5&gt;Assumptions!$C$109),1000000000000,K23+K47-K$14)</f>
        <v>99583.7609793565</v>
      </c>
      <c r="L71" s="20" t="n">
        <f aca="false">IF(OR(L$5&lt;=$B71,L$5&gt;Assumptions!$C$109),1000000000000,L23+L47-L$14)</f>
        <v>130124.240386973</v>
      </c>
      <c r="M71" s="20" t="n">
        <f aca="false">IF(OR(M$5&lt;=$B71,M$5&gt;Assumptions!$C$109),1000000000000,M23+M47-M$14)</f>
        <v>163294.709367098</v>
      </c>
      <c r="N71" s="20" t="n">
        <f aca="false">IF(OR(N$5&lt;=$B71,N$5&gt;Assumptions!$C$109),1000000000000,N23+N47-N$14)</f>
        <v>198893.180048524</v>
      </c>
      <c r="O71" s="20" t="n">
        <f aca="false">IF(OR(O$5&lt;=$B71,O$5&gt;Assumptions!$C$109),1000000000000,O23+O47-O$14)</f>
        <v>236531.901975655</v>
      </c>
      <c r="P71" s="20" t="n">
        <f aca="false">IF(OR(P$5&lt;=$B71,P$5&gt;Assumptions!$C$109),1000000000000,P23+P47-P$14)</f>
        <v>276120.157785946</v>
      </c>
      <c r="Q71" s="20" t="n">
        <f aca="false">IF(OR(Q$5&lt;=$B71,Q$5&gt;Assumptions!$C$109),1000000000000,Q23+Q47-Q$14)</f>
        <v>317542.900586178</v>
      </c>
      <c r="R71" s="20" t="n">
        <f aca="false">IF(OR(R$5&lt;=$B71,R$5&gt;Assumptions!$C$109),1000000000000,R23+R47-R$14)</f>
        <v>360660.442165915</v>
      </c>
      <c r="S71" s="20" t="n">
        <f aca="false">IF(OR(S$5&lt;=$B71,S$5&gt;Assumptions!$C$109),1000000000000,S23+S47-S$14)</f>
        <v>405308.491353488</v>
      </c>
      <c r="T71" s="20" t="n">
        <f aca="false">IF(OR(T$5&lt;=$B71,T$5&gt;Assumptions!$C$109),1000000000000,T23+T47-T$14)</f>
        <v>451298.566198903</v>
      </c>
      <c r="U71" s="20" t="n">
        <f aca="false">IF(OR(U$5&lt;=$B71,U$5&gt;Assumptions!$C$109),1000000000000,U23+U47-U$14)</f>
        <v>498418.797442333</v>
      </c>
      <c r="V71" s="20" t="n">
        <f aca="false">IF(OR(V$5&lt;=$B71,V$5&gt;Assumptions!$C$109),1000000000000,V23+V47-V$14)</f>
        <v>617313.786017756</v>
      </c>
      <c r="W71" s="20" t="n">
        <f aca="false">IF(OR(W$5&lt;=$B71,W$5&gt;Assumptions!$C$109),1000000000000,W23+W47-W$14)</f>
        <v>704122.037596416</v>
      </c>
      <c r="X71" s="20" t="n">
        <f aca="false">IF(OR(X$5&lt;=$B71,X$5&gt;Assumptions!$C$109),1000000000000,X23+X47-X$14)</f>
        <v>793183.695961994</v>
      </c>
      <c r="Y71" s="20" t="n">
        <f aca="false">IF(OR(Y$5&lt;=$B71,Y$5&gt;Assumptions!$C$109),1000000000000,Y23+Y47-Y$14)</f>
        <v>884056.555367217</v>
      </c>
      <c r="Z71" s="20" t="n">
        <f aca="false">IF(OR(Z$5&lt;=$B71,Z$5&gt;Assumptions!$C$109),1000000000000,Z23+Z47-Z$14)</f>
        <v>1000000000000</v>
      </c>
      <c r="AA71" s="20" t="n">
        <f aca="false">IF(OR(AA$5&lt;=$B71,AA$5&gt;Assumptions!$C$109),1000000000000,AA23+AA47-AA$14)</f>
        <v>1000000000000</v>
      </c>
      <c r="AB71" s="20" t="n">
        <f aca="false">IF(OR(AB$5&lt;=$B71,AB$5&gt;Assumptions!$C$109),1000000000000,AB23+AB47-AB$14)</f>
        <v>1000000000000</v>
      </c>
      <c r="AC71" s="20" t="n">
        <f aca="false">IF(OR(AC$5&lt;=$B71,AC$5&gt;Assumptions!$C$109),1000000000000,AC23+AC47-AC$14)</f>
        <v>1000000000000</v>
      </c>
      <c r="AD71" s="20" t="n">
        <f aca="false">IF(OR(AD$5&lt;=$B71,AD$5&gt;Assumptions!$C$109),1000000000000,AD23+AD47-AD$14)</f>
        <v>1000000000000</v>
      </c>
      <c r="AE71" s="20" t="n">
        <f aca="false">IF(OR(AE$5&lt;=$B71,AE$5&gt;Assumptions!$C$109),1000000000000,AE23+AE47-AE$14)</f>
        <v>1000000000000</v>
      </c>
      <c r="AF71" s="20" t="n">
        <f aca="false">IF(OR(AF$5&lt;=$B71,AF$5&gt;Assumptions!$C$109),1000000000000,AF23+AF47-AF$14)</f>
        <v>1000000000000</v>
      </c>
    </row>
    <row r="72" customFormat="false" ht="15" hidden="false" customHeight="true" outlineLevel="0" collapsed="false">
      <c r="B72" s="67" t="n">
        <v>2028</v>
      </c>
      <c r="C72" s="20" t="n">
        <f aca="false">IF(OR(C$5&lt;=$B72,C$5&gt;Assumptions!$C$109),1000000000000,C24+C48-C$14)</f>
        <v>1000000000000</v>
      </c>
      <c r="D72" s="20" t="n">
        <f aca="false">IF(OR(D$5&lt;=$B72,D$5&gt;Assumptions!$C$109),1000000000000,D24+D48-D$14)</f>
        <v>1000000000000</v>
      </c>
      <c r="E72" s="20" t="n">
        <f aca="false">IF(OR(E$5&lt;=$B72,E$5&gt;Assumptions!$C$109),1000000000000,E24+E48-E$14)</f>
        <v>1000000000000</v>
      </c>
      <c r="F72" s="20" t="n">
        <f aca="false">IF(OR(F$5&lt;=$B72,F$5&gt;Assumptions!$C$109),1000000000000,F24+F48-F$14)</f>
        <v>196373.683522478</v>
      </c>
      <c r="G72" s="20" t="n">
        <f aca="false">IF(OR(G$5&lt;=$B72,G$5&gt;Assumptions!$C$109),1000000000000,G24+G48-G$14)</f>
        <v>161375.703036277</v>
      </c>
      <c r="H72" s="20" t="n">
        <f aca="false">IF(OR(H$5&lt;=$B72,H$5&gt;Assumptions!$C$109),1000000000000,H24+H48-H$14)</f>
        <v>147716.262180299</v>
      </c>
      <c r="I72" s="20" t="n">
        <f aca="false">IF(OR(I$5&lt;=$B72,I$5&gt;Assumptions!$C$109),1000000000000,I24+I48-I$14)</f>
        <v>178981.479472585</v>
      </c>
      <c r="J72" s="20" t="n">
        <f aca="false">IF(OR(J$5&lt;=$B72,J$5&gt;Assumptions!$C$109),1000000000000,J24+J48-J$14)</f>
        <v>186005.415287967</v>
      </c>
      <c r="K72" s="20" t="n">
        <f aca="false">IF(OR(K$5&lt;=$B72,K$5&gt;Assumptions!$C$109),1000000000000,K24+K48-K$14)</f>
        <v>246475.436134066</v>
      </c>
      <c r="L72" s="20" t="n">
        <f aca="false">IF(OR(L$5&lt;=$B72,L$5&gt;Assumptions!$C$109),1000000000000,L24+L48-L$14)</f>
        <v>288767.24955406</v>
      </c>
      <c r="M72" s="20" t="n">
        <f aca="false">IF(OR(M$5&lt;=$B72,M$5&gt;Assumptions!$C$109),1000000000000,M24+M48-M$14)</f>
        <v>334629.159267551</v>
      </c>
      <c r="N72" s="20" t="n">
        <f aca="false">IF(OR(N$5&lt;=$B72,N$5&gt;Assumptions!$C$109),1000000000000,N24+N48-N$14)</f>
        <v>383677.384266163</v>
      </c>
      <c r="O72" s="20" t="n">
        <f aca="false">IF(OR(O$5&lt;=$B72,O$5&gt;Assumptions!$C$109),1000000000000,O24+O48-O$14)</f>
        <v>435267.313611726</v>
      </c>
      <c r="P72" s="20" t="n">
        <f aca="false">IF(OR(P$5&lt;=$B72,P$5&gt;Assumptions!$C$109),1000000000000,P24+P48-P$14)</f>
        <v>489263.886765632</v>
      </c>
      <c r="Q72" s="20" t="n">
        <f aca="false">IF(OR(Q$5&lt;=$B72,Q$5&gt;Assumptions!$C$109),1000000000000,Q24+Q48-Q$14)</f>
        <v>545500.118729952</v>
      </c>
      <c r="R72" s="20" t="n">
        <f aca="false">IF(OR(R$5&lt;=$B72,R$5&gt;Assumptions!$C$109),1000000000000,R24+R48-R$14)</f>
        <v>603776.81531625</v>
      </c>
      <c r="S72" s="20" t="n">
        <f aca="false">IF(OR(S$5&lt;=$B72,S$5&gt;Assumptions!$C$109),1000000000000,S24+S48-S$14)</f>
        <v>663862.754198869</v>
      </c>
      <c r="T72" s="20" t="n">
        <f aca="false">IF(OR(T$5&lt;=$B72,T$5&gt;Assumptions!$C$109),1000000000000,T24+T48-T$14)</f>
        <v>725495.36194643</v>
      </c>
      <c r="U72" s="20" t="n">
        <f aca="false">IF(OR(U$5&lt;=$B72,U$5&gt;Assumptions!$C$109),1000000000000,U24+U48-U$14)</f>
        <v>788381.908945343</v>
      </c>
      <c r="V72" s="20" t="n">
        <f aca="false">IF(OR(V$5&lt;=$B72,V$5&gt;Assumptions!$C$109),1000000000000,V24+V48-V$14)</f>
        <v>923079.88709768</v>
      </c>
      <c r="W72" s="20" t="n">
        <f aca="false">IF(OR(W$5&lt;=$B72,W$5&gt;Assumptions!$C$109),1000000000000,W24+W48-W$14)</f>
        <v>1025635.09288196</v>
      </c>
      <c r="X72" s="20" t="n">
        <f aca="false">IF(OR(X$5&lt;=$B72,X$5&gt;Assumptions!$C$109),1000000000000,X24+X48-X$14)</f>
        <v>1130290.13442888</v>
      </c>
      <c r="Y72" s="20" t="n">
        <f aca="false">IF(OR(Y$5&lt;=$B72,Y$5&gt;Assumptions!$C$109),1000000000000,Y24+Y48-Y$14)</f>
        <v>1236501.33678435</v>
      </c>
      <c r="Z72" s="20" t="n">
        <f aca="false">IF(OR(Z$5&lt;=$B72,Z$5&gt;Assumptions!$C$109),1000000000000,Z24+Z48-Z$14)</f>
        <v>1000000000000</v>
      </c>
      <c r="AA72" s="20" t="n">
        <f aca="false">IF(OR(AA$5&lt;=$B72,AA$5&gt;Assumptions!$C$109),1000000000000,AA24+AA48-AA$14)</f>
        <v>1000000000000</v>
      </c>
      <c r="AB72" s="20" t="n">
        <f aca="false">IF(OR(AB$5&lt;=$B72,AB$5&gt;Assumptions!$C$109),1000000000000,AB24+AB48-AB$14)</f>
        <v>1000000000000</v>
      </c>
      <c r="AC72" s="20" t="n">
        <f aca="false">IF(OR(AC$5&lt;=$B72,AC$5&gt;Assumptions!$C$109),1000000000000,AC24+AC48-AC$14)</f>
        <v>1000000000000</v>
      </c>
      <c r="AD72" s="20" t="n">
        <f aca="false">IF(OR(AD$5&lt;=$B72,AD$5&gt;Assumptions!$C$109),1000000000000,AD24+AD48-AD$14)</f>
        <v>1000000000000</v>
      </c>
      <c r="AE72" s="20" t="n">
        <f aca="false">IF(OR(AE$5&lt;=$B72,AE$5&gt;Assumptions!$C$109),1000000000000,AE24+AE48-AE$14)</f>
        <v>1000000000000</v>
      </c>
      <c r="AF72" s="20" t="n">
        <f aca="false">IF(OR(AF$5&lt;=$B72,AF$5&gt;Assumptions!$C$109),1000000000000,AF24+AF48-AF$14)</f>
        <v>1000000000000</v>
      </c>
    </row>
    <row r="73" customFormat="false" ht="15" hidden="false" customHeight="true" outlineLevel="0" collapsed="false">
      <c r="B73" s="67" t="n">
        <v>2029</v>
      </c>
      <c r="C73" s="20" t="n">
        <f aca="false">IF(OR(C$5&lt;=$B73,C$5&gt;Assumptions!$C$109),1000000000000,C25+C49-C$14)</f>
        <v>1000000000000</v>
      </c>
      <c r="D73" s="20" t="n">
        <f aca="false">IF(OR(D$5&lt;=$B73,D$5&gt;Assumptions!$C$109),1000000000000,D25+D49-D$14)</f>
        <v>1000000000000</v>
      </c>
      <c r="E73" s="20" t="n">
        <f aca="false">IF(OR(E$5&lt;=$B73,E$5&gt;Assumptions!$C$109),1000000000000,E25+E49-E$14)</f>
        <v>1000000000000</v>
      </c>
      <c r="F73" s="20" t="n">
        <f aca="false">IF(OR(F$5&lt;=$B73,F$5&gt;Assumptions!$C$109),1000000000000,F25+F49-F$14)</f>
        <v>1000000000000</v>
      </c>
      <c r="G73" s="20" t="n">
        <f aca="false">IF(OR(G$5&lt;=$B73,G$5&gt;Assumptions!$C$109),1000000000000,G25+G49-G$14)</f>
        <v>249670.506336277</v>
      </c>
      <c r="H73" s="20" t="n">
        <f aca="false">IF(OR(H$5&lt;=$B73,H$5&gt;Assumptions!$C$109),1000000000000,H25+H49-H$14)</f>
        <v>243074.649744299</v>
      </c>
      <c r="I73" s="20" t="n">
        <f aca="false">IF(OR(I$5&lt;=$B73,I$5&gt;Assumptions!$C$109),1000000000000,I25+I49-I$14)</f>
        <v>281968.538041705</v>
      </c>
      <c r="J73" s="20" t="n">
        <f aca="false">IF(OR(J$5&lt;=$B73,J$5&gt;Assumptions!$C$109),1000000000000,J25+J49-J$14)</f>
        <v>297231.438542617</v>
      </c>
      <c r="K73" s="20" t="n">
        <f aca="false">IF(OR(K$5&lt;=$B73,K$5&gt;Assumptions!$C$109),1000000000000,K25+K49-K$14)</f>
        <v>366599.541249088</v>
      </c>
      <c r="L73" s="20" t="n">
        <f aca="false">IF(OR(L$5&lt;=$B73,L$5&gt;Assumptions!$C$109),1000000000000,L25+L49-L$14)</f>
        <v>418501.283078283</v>
      </c>
      <c r="M73" s="20" t="n">
        <f aca="false">IF(OR(M$5&lt;=$B73,M$5&gt;Assumptions!$C$109),1000000000000,M25+M49-M$14)</f>
        <v>474741.915473712</v>
      </c>
      <c r="N73" s="20" t="n">
        <f aca="false">IF(OR(N$5&lt;=$B73,N$5&gt;Assumptions!$C$109),1000000000000,N25+N49-N$14)</f>
        <v>534788.991834508</v>
      </c>
      <c r="O73" s="20" t="n">
        <f aca="false">IF(OR(O$5&lt;=$B73,O$5&gt;Assumptions!$C$109),1000000000000,O25+O49-O$14)</f>
        <v>597787.847551481</v>
      </c>
      <c r="P73" s="20" t="n">
        <f aca="false">IF(OR(P$5&lt;=$B73,P$5&gt;Assumptions!$C$109),1000000000000,P25+P49-P$14)</f>
        <v>663567.159416019</v>
      </c>
      <c r="Q73" s="20" t="n">
        <f aca="false">IF(OR(Q$5&lt;=$B73,Q$5&gt;Assumptions!$C$109),1000000000000,Q25+Q49-Q$14)</f>
        <v>731917.468829541</v>
      </c>
      <c r="R73" s="20" t="n">
        <f aca="false">IF(OR(R$5&lt;=$B73,R$5&gt;Assumptions!$C$109),1000000000000,R25+R49-R$14)</f>
        <v>802590.919197462</v>
      </c>
      <c r="S73" s="20" t="n">
        <f aca="false">IF(OR(S$5&lt;=$B73,S$5&gt;Assumptions!$C$109),1000000000000,S25+S49-S$14)</f>
        <v>875301.553676537</v>
      </c>
      <c r="T73" s="20" t="n">
        <f aca="false">IF(OR(T$5&lt;=$B73,T$5&gt;Assumptions!$C$109),1000000000000,T25+T49-T$14)</f>
        <v>949726.208792497</v>
      </c>
      <c r="U73" s="20" t="n">
        <f aca="false">IF(OR(U$5&lt;=$B73,U$5&gt;Assumptions!$C$109),1000000000000,U25+U49-U$14)</f>
        <v>1025506.02948506</v>
      </c>
      <c r="V73" s="20" t="n">
        <f aca="false">IF(OR(V$5&lt;=$B73,V$5&gt;Assumptions!$C$109),1000000000000,V25+V49-V$14)</f>
        <v>1173127.27220681</v>
      </c>
      <c r="W73" s="20" t="n">
        <f aca="false">IF(OR(W$5&lt;=$B73,W$5&gt;Assumptions!$C$109),1000000000000,W25+W49-W$14)</f>
        <v>1288559.91832421</v>
      </c>
      <c r="X73" s="20" t="n">
        <f aca="false">IF(OR(X$5&lt;=$B73,X$5&gt;Assumptions!$C$109),1000000000000,X25+X49-X$14)</f>
        <v>1405966.81390508</v>
      </c>
      <c r="Y73" s="20" t="n">
        <f aca="false">IF(OR(Y$5&lt;=$B73,Y$5&gt;Assumptions!$C$109),1000000000000,Y25+Y49-Y$14)</f>
        <v>1524721.30517672</v>
      </c>
      <c r="Z73" s="20" t="n">
        <f aca="false">IF(OR(Z$5&lt;=$B73,Z$5&gt;Assumptions!$C$109),1000000000000,Z25+Z49-Z$14)</f>
        <v>1000000000000</v>
      </c>
      <c r="AA73" s="20" t="n">
        <f aca="false">IF(OR(AA$5&lt;=$B73,AA$5&gt;Assumptions!$C$109),1000000000000,AA25+AA49-AA$14)</f>
        <v>1000000000000</v>
      </c>
      <c r="AB73" s="20" t="n">
        <f aca="false">IF(OR(AB$5&lt;=$B73,AB$5&gt;Assumptions!$C$109),1000000000000,AB25+AB49-AB$14)</f>
        <v>1000000000000</v>
      </c>
      <c r="AC73" s="20" t="n">
        <f aca="false">IF(OR(AC$5&lt;=$B73,AC$5&gt;Assumptions!$C$109),1000000000000,AC25+AC49-AC$14)</f>
        <v>1000000000000</v>
      </c>
      <c r="AD73" s="20" t="n">
        <f aca="false">IF(OR(AD$5&lt;=$B73,AD$5&gt;Assumptions!$C$109),1000000000000,AD25+AD49-AD$14)</f>
        <v>1000000000000</v>
      </c>
      <c r="AE73" s="20" t="n">
        <f aca="false">IF(OR(AE$5&lt;=$B73,AE$5&gt;Assumptions!$C$109),1000000000000,AE25+AE49-AE$14)</f>
        <v>1000000000000</v>
      </c>
      <c r="AF73" s="20" t="n">
        <f aca="false">IF(OR(AF$5&lt;=$B73,AF$5&gt;Assumptions!$C$109),1000000000000,AF25+AF49-AF$14)</f>
        <v>1000000000000</v>
      </c>
    </row>
    <row r="74" customFormat="false" ht="15" hidden="false" customHeight="true" outlineLevel="0" collapsed="false">
      <c r="B74" s="67" t="n">
        <v>2030</v>
      </c>
      <c r="C74" s="20" t="n">
        <f aca="false">IF(OR(C$5&lt;=$B74,C$5&gt;Assumptions!$C$109),1000000000000,C26+C50-C$14)</f>
        <v>1000000000000</v>
      </c>
      <c r="D74" s="20" t="n">
        <f aca="false">IF(OR(D$5&lt;=$B74,D$5&gt;Assumptions!$C$109),1000000000000,D26+D50-D$14)</f>
        <v>1000000000000</v>
      </c>
      <c r="E74" s="20" t="n">
        <f aca="false">IF(OR(E$5&lt;=$B74,E$5&gt;Assumptions!$C$109),1000000000000,E26+E50-E$14)</f>
        <v>1000000000000</v>
      </c>
      <c r="F74" s="20" t="n">
        <f aca="false">IF(OR(F$5&lt;=$B74,F$5&gt;Assumptions!$C$109),1000000000000,F26+F50-F$14)</f>
        <v>1000000000000</v>
      </c>
      <c r="G74" s="20" t="n">
        <f aca="false">IF(OR(G$5&lt;=$B74,G$5&gt;Assumptions!$C$109),1000000000000,G26+G50-G$14)</f>
        <v>1000000000000</v>
      </c>
      <c r="H74" s="20" t="n">
        <f aca="false">IF(OR(H$5&lt;=$B74,H$5&gt;Assumptions!$C$109),1000000000000,H26+H50-H$14)</f>
        <v>332180.946251435</v>
      </c>
      <c r="I74" s="20" t="n">
        <f aca="false">IF(OR(I$5&lt;=$B74,I$5&gt;Assumptions!$C$109),1000000000000,I26+I50-I$14)</f>
        <v>378203.338269412</v>
      </c>
      <c r="J74" s="20" t="n">
        <f aca="false">IF(OR(J$5&lt;=$B74,J$5&gt;Assumptions!$C$109),1000000000000,J26+J50-J$14)</f>
        <v>401165.02278854</v>
      </c>
      <c r="K74" s="20" t="n">
        <f aca="false">IF(OR(K$5&lt;=$B74,K$5&gt;Assumptions!$C$109),1000000000000,K26+K50-K$14)</f>
        <v>478847.812234685</v>
      </c>
      <c r="L74" s="20" t="n">
        <f aca="false">IF(OR(L$5&lt;=$B74,L$5&gt;Assumptions!$C$109),1000000000000,L26+L50-L$14)</f>
        <v>539729.415742728</v>
      </c>
      <c r="M74" s="20" t="n">
        <f aca="false">IF(OR(M$5&lt;=$B74,M$5&gt;Assumptions!$C$109),1000000000000,M26+M50-M$14)</f>
        <v>605668.298751313</v>
      </c>
      <c r="N74" s="20" t="n">
        <f aca="false">IF(OR(N$5&lt;=$B74,N$5&gt;Assumptions!$C$109),1000000000000,N26+N50-N$14)</f>
        <v>675993.0961994</v>
      </c>
      <c r="O74" s="20" t="n">
        <f aca="false">IF(OR(O$5&lt;=$B74,O$5&gt;Assumptions!$C$109),1000000000000,O26+O50-O$14)</f>
        <v>749652.861795922</v>
      </c>
      <c r="P74" s="20" t="n">
        <f aca="false">IF(OR(P$5&lt;=$B74,P$5&gt;Assumptions!$C$109),1000000000000,P26+P50-P$14)</f>
        <v>826442.387193183</v>
      </c>
      <c r="Q74" s="20" t="n">
        <f aca="false">IF(OR(Q$5&lt;=$B74,Q$5&gt;Assumptions!$C$109),1000000000000,Q26+Q50-Q$14)</f>
        <v>906112.524937217</v>
      </c>
      <c r="R74" s="20" t="n">
        <f aca="false">IF(OR(R$5&lt;=$B74,R$5&gt;Assumptions!$C$109),1000000000000,R26+R50-R$14)</f>
        <v>988369.946536299</v>
      </c>
      <c r="S74" s="20" t="n">
        <f aca="false">IF(OR(S$5&lt;=$B74,S$5&gt;Assumptions!$C$109),1000000000000,S26+S50-S$14)</f>
        <v>1072877.54925139</v>
      </c>
      <c r="T74" s="20" t="n">
        <f aca="false">IF(OR(T$5&lt;=$B74,T$5&gt;Assumptions!$C$109),1000000000000,T26+T50-T$14)</f>
        <v>1159255.55209963</v>
      </c>
      <c r="U74" s="20" t="n">
        <f aca="false">IF(OR(U$5&lt;=$B74,U$5&gt;Assumptions!$C$109),1000000000000,U26+U50-U$14)</f>
        <v>1247083.31003235</v>
      </c>
      <c r="V74" s="20" t="n">
        <f aca="false">IF(OR(V$5&lt;=$B74,V$5&gt;Assumptions!$C$109),1000000000000,V26+V50-V$14)</f>
        <v>1406780.51454393</v>
      </c>
      <c r="W74" s="20" t="n">
        <f aca="false">IF(OR(W$5&lt;=$B74,W$5&gt;Assumptions!$C$109),1000000000000,W26+W50-W$14)</f>
        <v>1534246.30264169</v>
      </c>
      <c r="X74" s="20" t="n">
        <f aca="false">IF(OR(X$5&lt;=$B74,X$5&gt;Assumptions!$C$109),1000000000000,X26+X50-X$14)</f>
        <v>1663568.98786196</v>
      </c>
      <c r="Y74" s="20" t="n">
        <f aca="false">IF(OR(Y$5&lt;=$B74,Y$5&gt;Assumptions!$C$109),1000000000000,Y26+Y50-Y$14)</f>
        <v>1794044.37804863</v>
      </c>
      <c r="Z74" s="20" t="n">
        <f aca="false">IF(OR(Z$5&lt;=$B74,Z$5&gt;Assumptions!$C$109),1000000000000,Z26+Z50-Z$14)</f>
        <v>1000000000000</v>
      </c>
      <c r="AA74" s="20" t="n">
        <f aca="false">IF(OR(AA$5&lt;=$B74,AA$5&gt;Assumptions!$C$109),1000000000000,AA26+AA50-AA$14)</f>
        <v>1000000000000</v>
      </c>
      <c r="AB74" s="20" t="n">
        <f aca="false">IF(OR(AB$5&lt;=$B74,AB$5&gt;Assumptions!$C$109),1000000000000,AB26+AB50-AB$14)</f>
        <v>1000000000000</v>
      </c>
      <c r="AC74" s="20" t="n">
        <f aca="false">IF(OR(AC$5&lt;=$B74,AC$5&gt;Assumptions!$C$109),1000000000000,AC26+AC50-AC$14)</f>
        <v>1000000000000</v>
      </c>
      <c r="AD74" s="20" t="n">
        <f aca="false">IF(OR(AD$5&lt;=$B74,AD$5&gt;Assumptions!$C$109),1000000000000,AD26+AD50-AD$14)</f>
        <v>1000000000000</v>
      </c>
      <c r="AE74" s="20" t="n">
        <f aca="false">IF(OR(AE$5&lt;=$B74,AE$5&gt;Assumptions!$C$109),1000000000000,AE26+AE50-AE$14)</f>
        <v>1000000000000</v>
      </c>
      <c r="AF74" s="20" t="n">
        <f aca="false">IF(OR(AF$5&lt;=$B74,AF$5&gt;Assumptions!$C$109),1000000000000,AF26+AF50-AF$14)</f>
        <v>1000000000000</v>
      </c>
    </row>
    <row r="75" customFormat="false" ht="15" hidden="false" customHeight="true" outlineLevel="0" collapsed="false">
      <c r="B75" s="67" t="n">
        <v>2031</v>
      </c>
      <c r="C75" s="20" t="n">
        <f aca="false">IF(OR(C$5&lt;=$B75,C$5&gt;Assumptions!$C$109),1000000000000,C27+C51-C$14)</f>
        <v>1000000000000</v>
      </c>
      <c r="D75" s="20" t="n">
        <f aca="false">IF(OR(D$5&lt;=$B75,D$5&gt;Assumptions!$C$109),1000000000000,D27+D51-D$14)</f>
        <v>1000000000000</v>
      </c>
      <c r="E75" s="20" t="n">
        <f aca="false">IF(OR(E$5&lt;=$B75,E$5&gt;Assumptions!$C$109),1000000000000,E27+E51-E$14)</f>
        <v>1000000000000</v>
      </c>
      <c r="F75" s="20" t="n">
        <f aca="false">IF(OR(F$5&lt;=$B75,F$5&gt;Assumptions!$C$109),1000000000000,F27+F51-F$14)</f>
        <v>1000000000000</v>
      </c>
      <c r="G75" s="20" t="n">
        <f aca="false">IF(OR(G$5&lt;=$B75,G$5&gt;Assumptions!$C$109),1000000000000,G27+G51-G$14)</f>
        <v>1000000000000</v>
      </c>
      <c r="H75" s="20" t="n">
        <f aca="false">IF(OR(H$5&lt;=$B75,H$5&gt;Assumptions!$C$109),1000000000000,H27+H51-H$14)</f>
        <v>1000000000000</v>
      </c>
      <c r="I75" s="20" t="n">
        <f aca="false">IF(OR(I$5&lt;=$B75,I$5&gt;Assumptions!$C$109),1000000000000,I27+I51-I$14)</f>
        <v>469091.760706691</v>
      </c>
      <c r="J75" s="20" t="n">
        <f aca="false">IF(OR(J$5&lt;=$B75,J$5&gt;Assumptions!$C$109),1000000000000,J27+J51-J$14)</f>
        <v>499324.519020802</v>
      </c>
      <c r="K75" s="20" t="n">
        <f aca="false">IF(OR(K$5&lt;=$B75,K$5&gt;Assumptions!$C$109),1000000000000,K27+K51-K$14)</f>
        <v>584860.068165527</v>
      </c>
      <c r="L75" s="20" t="n">
        <f aca="false">IF(OR(L$5&lt;=$B75,L$5&gt;Assumptions!$C$109),1000000000000,L27+L51-L$14)</f>
        <v>654222.652148037</v>
      </c>
      <c r="M75" s="20" t="n">
        <f aca="false">IF(OR(M$5&lt;=$B75,M$5&gt;Assumptions!$C$109),1000000000000,M27+M51-M$14)</f>
        <v>729320.994069047</v>
      </c>
      <c r="N75" s="20" t="n">
        <f aca="false">IF(OR(N$5&lt;=$B75,N$5&gt;Assumptions!$C$109),1000000000000,N27+N51-N$14)</f>
        <v>809352.528099577</v>
      </c>
      <c r="O75" s="20" t="n">
        <f aca="false">IF(OR(O$5&lt;=$B75,O$5&gt;Assumptions!$C$109),1000000000000,O27+O51-O$14)</f>
        <v>893080.930804562</v>
      </c>
      <c r="P75" s="20" t="n">
        <f aca="false">IF(OR(P$5&lt;=$B75,P$5&gt;Assumptions!$C$109),1000000000000,P27+P51-P$14)</f>
        <v>980268.991204949</v>
      </c>
      <c r="Q75" s="20" t="n">
        <f aca="false">IF(OR(Q$5&lt;=$B75,Q$5&gt;Assumptions!$C$109),1000000000000,Q27+Q51-Q$14)</f>
        <v>1070630.0779278</v>
      </c>
      <c r="R75" s="20" t="n">
        <f aca="false">IF(OR(R$5&lt;=$B75,R$5&gt;Assumptions!$C$109),1000000000000,R27+R51-R$14)</f>
        <v>1163827.91680076</v>
      </c>
      <c r="S75" s="20" t="n">
        <f aca="false">IF(OR(S$5&lt;=$B75,S$5&gt;Assumptions!$C$109),1000000000000,S27+S51-S$14)</f>
        <v>1259477.10062764</v>
      </c>
      <c r="T75" s="20" t="n">
        <f aca="false">IF(OR(T$5&lt;=$B75,T$5&gt;Assumptions!$C$109),1000000000000,T27+T51-T$14)</f>
        <v>1357144.37633414</v>
      </c>
      <c r="U75" s="20" t="n">
        <f aca="false">IF(OR(U$5&lt;=$B75,U$5&gt;Assumptions!$C$109),1000000000000,U27+U51-U$14)</f>
        <v>1456350.74166035</v>
      </c>
      <c r="V75" s="20" t="n">
        <f aca="false">IF(OR(V$5&lt;=$B75,V$5&gt;Assumptions!$C$109),1000000000000,V27+V51-V$14)</f>
        <v>1627453.02119565</v>
      </c>
      <c r="W75" s="20" t="n">
        <f aca="false">IF(OR(W$5&lt;=$B75,W$5&gt;Assumptions!$C$109),1000000000000,W27+W51-W$14)</f>
        <v>1766283.44338598</v>
      </c>
      <c r="X75" s="20" t="n">
        <f aca="false">IF(OR(X$5&lt;=$B75,X$5&gt;Assumptions!$C$109),1000000000000,X27+X51-X$14)</f>
        <v>1906859.92993235</v>
      </c>
      <c r="Y75" s="20" t="n">
        <f aca="false">IF(OR(Y$5&lt;=$B75,Y$5&gt;Assumptions!$C$109),1000000000000,Y27+Y51-Y$14)</f>
        <v>2048405.05798322</v>
      </c>
      <c r="Z75" s="20" t="n">
        <f aca="false">IF(OR(Z$5&lt;=$B75,Z$5&gt;Assumptions!$C$109),1000000000000,Z27+Z51-Z$14)</f>
        <v>1000000000000</v>
      </c>
      <c r="AA75" s="20" t="n">
        <f aca="false">IF(OR(AA$5&lt;=$B75,AA$5&gt;Assumptions!$C$109),1000000000000,AA27+AA51-AA$14)</f>
        <v>1000000000000</v>
      </c>
      <c r="AB75" s="20" t="n">
        <f aca="false">IF(OR(AB$5&lt;=$B75,AB$5&gt;Assumptions!$C$109),1000000000000,AB27+AB51-AB$14)</f>
        <v>1000000000000</v>
      </c>
      <c r="AC75" s="20" t="n">
        <f aca="false">IF(OR(AC$5&lt;=$B75,AC$5&gt;Assumptions!$C$109),1000000000000,AC27+AC51-AC$14)</f>
        <v>1000000000000</v>
      </c>
      <c r="AD75" s="20" t="n">
        <f aca="false">IF(OR(AD$5&lt;=$B75,AD$5&gt;Assumptions!$C$109),1000000000000,AD27+AD51-AD$14)</f>
        <v>1000000000000</v>
      </c>
      <c r="AE75" s="20" t="n">
        <f aca="false">IF(OR(AE$5&lt;=$B75,AE$5&gt;Assumptions!$C$109),1000000000000,AE27+AE51-AE$14)</f>
        <v>1000000000000</v>
      </c>
      <c r="AF75" s="20" t="n">
        <f aca="false">IF(OR(AF$5&lt;=$B75,AF$5&gt;Assumptions!$C$109),1000000000000,AF27+AF51-AF$14)</f>
        <v>1000000000000</v>
      </c>
    </row>
    <row r="76" customFormat="false" ht="15" hidden="false" customHeight="true" outlineLevel="0" collapsed="false">
      <c r="B76" s="67" t="n">
        <v>2032</v>
      </c>
      <c r="C76" s="20" t="n">
        <f aca="false">IF(OR(C$5&lt;=$B76,C$5&gt;Assumptions!$C$109),1000000000000,C28+C52-C$14)</f>
        <v>1000000000000</v>
      </c>
      <c r="D76" s="20" t="n">
        <f aca="false">IF(OR(D$5&lt;=$B76,D$5&gt;Assumptions!$C$109),1000000000000,D28+D52-D$14)</f>
        <v>1000000000000</v>
      </c>
      <c r="E76" s="20" t="n">
        <f aca="false">IF(OR(E$5&lt;=$B76,E$5&gt;Assumptions!$C$109),1000000000000,E28+E52-E$14)</f>
        <v>1000000000000</v>
      </c>
      <c r="F76" s="20" t="n">
        <f aca="false">IF(OR(F$5&lt;=$B76,F$5&gt;Assumptions!$C$109),1000000000000,F28+F52-F$14)</f>
        <v>1000000000000</v>
      </c>
      <c r="G76" s="20" t="n">
        <f aca="false">IF(OR(G$5&lt;=$B76,G$5&gt;Assumptions!$C$109),1000000000000,G28+G52-G$14)</f>
        <v>1000000000000</v>
      </c>
      <c r="H76" s="20" t="n">
        <f aca="false">IF(OR(H$5&lt;=$B76,H$5&gt;Assumptions!$C$109),1000000000000,H28+H52-H$14)</f>
        <v>1000000000000</v>
      </c>
      <c r="I76" s="20" t="n">
        <f aca="false">IF(OR(I$5&lt;=$B76,I$5&gt;Assumptions!$C$109),1000000000000,I28+I52-I$14)</f>
        <v>1000000000000</v>
      </c>
      <c r="J76" s="20" t="n">
        <f aca="false">IF(OR(J$5&lt;=$B76,J$5&gt;Assumptions!$C$109),1000000000000,J28+J52-J$14)</f>
        <v>591579.55346304</v>
      </c>
      <c r="K76" s="20" t="n">
        <f aca="false">IF(OR(K$5&lt;=$B76,K$5&gt;Assumptions!$C$109),1000000000000,K28+K52-K$14)</f>
        <v>684228.757082071</v>
      </c>
      <c r="L76" s="20" t="n">
        <f aca="false">IF(OR(L$5&lt;=$B76,L$5&gt;Assumptions!$C$109),1000000000000,L28+L52-L$14)</f>
        <v>761256.749258561</v>
      </c>
      <c r="M76" s="20" t="n">
        <f aca="false">IF(OR(M$5&lt;=$B76,M$5&gt;Assumptions!$C$109),1000000000000,M28+M52-M$14)</f>
        <v>844615.266379312</v>
      </c>
      <c r="N76" s="20" t="n">
        <f aca="false">IF(OR(N$5&lt;=$B76,N$5&gt;Assumptions!$C$109),1000000000000,N28+N52-N$14)</f>
        <v>933375.182300105</v>
      </c>
      <c r="O76" s="20" t="n">
        <f aca="false">IF(OR(O$5&lt;=$B76,O$5&gt;Assumptions!$C$109),1000000000000,O28+O52-O$14)</f>
        <v>1026124.61603727</v>
      </c>
      <c r="P76" s="20" t="n">
        <f aca="false">IF(OR(P$5&lt;=$B76,P$5&gt;Assumptions!$C$109),1000000000000,P28+P52-P$14)</f>
        <v>1122594.93215579</v>
      </c>
      <c r="Q76" s="20" t="n">
        <f aca="false">IF(OR(Q$5&lt;=$B76,Q$5&gt;Assumptions!$C$109),1000000000000,Q28+Q52-Q$14)</f>
        <v>1222463.36415447</v>
      </c>
      <c r="R76" s="20" t="n">
        <f aca="false">IF(OR(R$5&lt;=$B76,R$5&gt;Assumptions!$C$109),1000000000000,R28+R52-R$14)</f>
        <v>1325352.86417594</v>
      </c>
      <c r="S76" s="20" t="n">
        <f aca="false">IF(OR(S$5&lt;=$B76,S$5&gt;Assumptions!$C$109),1000000000000,S28+S52-S$14)</f>
        <v>1430832.75927773</v>
      </c>
      <c r="T76" s="20" t="n">
        <f aca="false">IF(OR(T$5&lt;=$B76,T$5&gt;Assumptions!$C$109),1000000000000,T28+T52-T$14)</f>
        <v>1538420.26248929</v>
      </c>
      <c r="U76" s="20" t="n">
        <f aca="false">IF(OR(U$5&lt;=$B76,U$5&gt;Assumptions!$C$109),1000000000000,U28+U52-U$14)</f>
        <v>1647582.87248829</v>
      </c>
      <c r="V76" s="20" t="n">
        <f aca="false">IF(OR(V$5&lt;=$B76,V$5&gt;Assumptions!$C$109),1000000000000,V28+V52-V$14)</f>
        <v>1828620.33182438</v>
      </c>
      <c r="W76" s="20" t="n">
        <f aca="false">IF(OR(W$5&lt;=$B76,W$5&gt;Assumptions!$C$109),1000000000000,W28+W52-W$14)</f>
        <v>1977304.66381525</v>
      </c>
      <c r="X76" s="20" t="n">
        <f aca="false">IF(OR(X$5&lt;=$B76,X$5&gt;Assumptions!$C$109),1000000000000,X28+X52-X$14)</f>
        <v>2127590.99631116</v>
      </c>
      <c r="Y76" s="20" t="n">
        <f aca="false">IF(OR(Y$5&lt;=$B76,Y$5&gt;Assumptions!$C$109),1000000000000,Y28+Y52-Y$14)</f>
        <v>2278637.12775242</v>
      </c>
      <c r="Z76" s="20" t="n">
        <f aca="false">IF(OR(Z$5&lt;=$B76,Z$5&gt;Assumptions!$C$109),1000000000000,Z28+Z52-Z$14)</f>
        <v>1000000000000</v>
      </c>
      <c r="AA76" s="20" t="n">
        <f aca="false">IF(OR(AA$5&lt;=$B76,AA$5&gt;Assumptions!$C$109),1000000000000,AA28+AA52-AA$14)</f>
        <v>1000000000000</v>
      </c>
      <c r="AB76" s="20" t="n">
        <f aca="false">IF(OR(AB$5&lt;=$B76,AB$5&gt;Assumptions!$C$109),1000000000000,AB28+AB52-AB$14)</f>
        <v>1000000000000</v>
      </c>
      <c r="AC76" s="20" t="n">
        <f aca="false">IF(OR(AC$5&lt;=$B76,AC$5&gt;Assumptions!$C$109),1000000000000,AC28+AC52-AC$14)</f>
        <v>1000000000000</v>
      </c>
      <c r="AD76" s="20" t="n">
        <f aca="false">IF(OR(AD$5&lt;=$B76,AD$5&gt;Assumptions!$C$109),1000000000000,AD28+AD52-AD$14)</f>
        <v>1000000000000</v>
      </c>
      <c r="AE76" s="20" t="n">
        <f aca="false">IF(OR(AE$5&lt;=$B76,AE$5&gt;Assumptions!$C$109),1000000000000,AE28+AE52-AE$14)</f>
        <v>1000000000000</v>
      </c>
      <c r="AF76" s="20" t="n">
        <f aca="false">IF(OR(AF$5&lt;=$B76,AF$5&gt;Assumptions!$C$109),1000000000000,AF28+AF52-AF$14)</f>
        <v>1000000000000</v>
      </c>
    </row>
    <row r="77" customFormat="false" ht="15" hidden="false" customHeight="true" outlineLevel="0" collapsed="false">
      <c r="B77" s="67" t="n">
        <v>2033</v>
      </c>
      <c r="C77" s="20" t="n">
        <f aca="false">IF(OR(C$5&lt;=$B77,C$5&gt;Assumptions!$C$109),1000000000000,C29+C53-C$14)</f>
        <v>1000000000000</v>
      </c>
      <c r="D77" s="20" t="n">
        <f aca="false">IF(OR(D$5&lt;=$B77,D$5&gt;Assumptions!$C$109),1000000000000,D29+D53-D$14)</f>
        <v>1000000000000</v>
      </c>
      <c r="E77" s="20" t="n">
        <f aca="false">IF(OR(E$5&lt;=$B77,E$5&gt;Assumptions!$C$109),1000000000000,E29+E53-E$14)</f>
        <v>1000000000000</v>
      </c>
      <c r="F77" s="20" t="n">
        <f aca="false">IF(OR(F$5&lt;=$B77,F$5&gt;Assumptions!$C$109),1000000000000,F29+F53-F$14)</f>
        <v>1000000000000</v>
      </c>
      <c r="G77" s="20" t="n">
        <f aca="false">IF(OR(G$5&lt;=$B77,G$5&gt;Assumptions!$C$109),1000000000000,G29+G53-G$14)</f>
        <v>1000000000000</v>
      </c>
      <c r="H77" s="20" t="n">
        <f aca="false">IF(OR(H$5&lt;=$B77,H$5&gt;Assumptions!$C$109),1000000000000,H29+H53-H$14)</f>
        <v>1000000000000</v>
      </c>
      <c r="I77" s="20" t="n">
        <f aca="false">IF(OR(I$5&lt;=$B77,I$5&gt;Assumptions!$C$109),1000000000000,I29+I53-I$14)</f>
        <v>1000000000000</v>
      </c>
      <c r="J77" s="20" t="n">
        <f aca="false">IF(OR(J$5&lt;=$B77,J$5&gt;Assumptions!$C$109),1000000000000,J29+J53-J$14)</f>
        <v>1000000000000</v>
      </c>
      <c r="K77" s="20" t="n">
        <f aca="false">IF(OR(K$5&lt;=$B77,K$5&gt;Assumptions!$C$109),1000000000000,K29+K53-K$14)</f>
        <v>778112.458881597</v>
      </c>
      <c r="L77" s="20" t="n">
        <f aca="false">IF(OR(L$5&lt;=$B77,L$5&gt;Assumptions!$C$109),1000000000000,L29+L53-L$14)</f>
        <v>861930.554459057</v>
      </c>
      <c r="M77" s="20" t="n">
        <f aca="false">IF(OR(M$5&lt;=$B77,M$5&gt;Assumptions!$C$109),1000000000000,M29+M53-M$14)</f>
        <v>952575.544724559</v>
      </c>
      <c r="N77" s="20" t="n">
        <f aca="false">IF(OR(N$5&lt;=$B77,N$5&gt;Assumptions!$C$109),1000000000000,N29+N53-N$14)</f>
        <v>1048993.02819153</v>
      </c>
      <c r="O77" s="20" t="n">
        <f aca="false">IF(OR(O$5&lt;=$B77,O$5&gt;Assumptions!$C$109),1000000000000,O29+O53-O$14)</f>
        <v>1149602.39553128</v>
      </c>
      <c r="P77" s="20" t="n">
        <f aca="false">IF(OR(P$5&lt;=$B77,P$5&gt;Assumptions!$C$109),1000000000000,P29+P53-P$14)</f>
        <v>1254103.04946828</v>
      </c>
      <c r="Q77" s="20" t="n">
        <f aca="false">IF(OR(Q$5&lt;=$B77,Q$5&gt;Assumptions!$C$109),1000000000000,Q29+Q53-Q$14)</f>
        <v>1362136.49085664</v>
      </c>
      <c r="R77" s="20" t="n">
        <f aca="false">IF(OR(R$5&lt;=$B77,R$5&gt;Assumptions!$C$109),1000000000000,R29+R53-R$14)</f>
        <v>1473286.32218065</v>
      </c>
      <c r="S77" s="20" t="n">
        <f aca="false">IF(OR(S$5&lt;=$B77,S$5&gt;Assumptions!$C$109),1000000000000,S29+S53-S$14)</f>
        <v>1587079.121764</v>
      </c>
      <c r="T77" s="20" t="n">
        <f aca="false">IF(OR(T$5&lt;=$B77,T$5&gt;Assumptions!$C$109),1000000000000,T29+T53-T$14)</f>
        <v>1702986.23760431</v>
      </c>
      <c r="U77" s="20" t="n">
        <f aca="false">IF(OR(U$5&lt;=$B77,U$5&gt;Assumptions!$C$109),1000000000000,U29+U53-U$14)</f>
        <v>1820426.53407102</v>
      </c>
      <c r="V77" s="20" t="n">
        <f aca="false">IF(OR(V$5&lt;=$B77,V$5&gt;Assumptions!$C$109),1000000000000,V29+V53-V$14)</f>
        <v>2009648.75943516</v>
      </c>
      <c r="W77" s="20" t="n">
        <f aca="false">IF(OR(W$5&lt;=$B77,W$5&gt;Assumptions!$C$109),1000000000000,W29+W53-W$14)</f>
        <v>2166372.0509854</v>
      </c>
      <c r="X77" s="20" t="n">
        <f aca="false">IF(OR(X$5&lt;=$B77,X$5&gt;Assumptions!$C$109),1000000000000,X29+X53-X$14)</f>
        <v>2324497.28113361</v>
      </c>
      <c r="Y77" s="20" t="n">
        <f aca="false">IF(OR(Y$5&lt;=$B77,Y$5&gt;Assumptions!$C$109),1000000000000,Y29+Y53-Y$14)</f>
        <v>2483127.19374286</v>
      </c>
      <c r="Z77" s="20" t="n">
        <f aca="false">IF(OR(Z$5&lt;=$B77,Z$5&gt;Assumptions!$C$109),1000000000000,Z29+Z53-Z$14)</f>
        <v>1000000000000</v>
      </c>
      <c r="AA77" s="20" t="n">
        <f aca="false">IF(OR(AA$5&lt;=$B77,AA$5&gt;Assumptions!$C$109),1000000000000,AA29+AA53-AA$14)</f>
        <v>1000000000000</v>
      </c>
      <c r="AB77" s="20" t="n">
        <f aca="false">IF(OR(AB$5&lt;=$B77,AB$5&gt;Assumptions!$C$109),1000000000000,AB29+AB53-AB$14)</f>
        <v>1000000000000</v>
      </c>
      <c r="AC77" s="20" t="n">
        <f aca="false">IF(OR(AC$5&lt;=$B77,AC$5&gt;Assumptions!$C$109),1000000000000,AC29+AC53-AC$14)</f>
        <v>1000000000000</v>
      </c>
      <c r="AD77" s="20" t="n">
        <f aca="false">IF(OR(AD$5&lt;=$B77,AD$5&gt;Assumptions!$C$109),1000000000000,AD29+AD53-AD$14)</f>
        <v>1000000000000</v>
      </c>
      <c r="AE77" s="20" t="n">
        <f aca="false">IF(OR(AE$5&lt;=$B77,AE$5&gt;Assumptions!$C$109),1000000000000,AE29+AE53-AE$14)</f>
        <v>1000000000000</v>
      </c>
      <c r="AF77" s="20" t="n">
        <f aca="false">IF(OR(AF$5&lt;=$B77,AF$5&gt;Assumptions!$C$109),1000000000000,AF29+AF53-AF$14)</f>
        <v>1000000000000</v>
      </c>
    </row>
    <row r="78" customFormat="false" ht="15" hidden="false" customHeight="true" outlineLevel="0" collapsed="false">
      <c r="B78" s="67" t="n">
        <v>2034</v>
      </c>
      <c r="C78" s="20" t="n">
        <f aca="false">IF(OR(C$5&lt;=$B78,C$5&gt;Assumptions!$C$109),1000000000000,C30+C54-C$14)</f>
        <v>1000000000000</v>
      </c>
      <c r="D78" s="20" t="n">
        <f aca="false">IF(OR(D$5&lt;=$B78,D$5&gt;Assumptions!$C$109),1000000000000,D30+D54-D$14)</f>
        <v>1000000000000</v>
      </c>
      <c r="E78" s="20" t="n">
        <f aca="false">IF(OR(E$5&lt;=$B78,E$5&gt;Assumptions!$C$109),1000000000000,E30+E54-E$14)</f>
        <v>1000000000000</v>
      </c>
      <c r="F78" s="20" t="n">
        <f aca="false">IF(OR(F$5&lt;=$B78,F$5&gt;Assumptions!$C$109),1000000000000,F30+F54-F$14)</f>
        <v>1000000000000</v>
      </c>
      <c r="G78" s="20" t="n">
        <f aca="false">IF(OR(G$5&lt;=$B78,G$5&gt;Assumptions!$C$109),1000000000000,G30+G54-G$14)</f>
        <v>1000000000000</v>
      </c>
      <c r="H78" s="20" t="n">
        <f aca="false">IF(OR(H$5&lt;=$B78,H$5&gt;Assumptions!$C$109),1000000000000,H30+H54-H$14)</f>
        <v>1000000000000</v>
      </c>
      <c r="I78" s="20" t="n">
        <f aca="false">IF(OR(I$5&lt;=$B78,I$5&gt;Assumptions!$C$109),1000000000000,I30+I54-I$14)</f>
        <v>1000000000000</v>
      </c>
      <c r="J78" s="20" t="n">
        <f aca="false">IF(OR(J$5&lt;=$B78,J$5&gt;Assumptions!$C$109),1000000000000,J30+J54-J$14)</f>
        <v>1000000000000</v>
      </c>
      <c r="K78" s="20" t="n">
        <f aca="false">IF(OR(K$5&lt;=$B78,K$5&gt;Assumptions!$C$109),1000000000000,K30+K54-K$14)</f>
        <v>1000000000000</v>
      </c>
      <c r="L78" s="20" t="n">
        <f aca="false">IF(OR(L$5&lt;=$B78,L$5&gt;Assumptions!$C$109),1000000000000,L30+L54-L$14)</f>
        <v>957691.930294573</v>
      </c>
      <c r="M78" s="20" t="n">
        <f aca="false">IF(OR(M$5&lt;=$B78,M$5&gt;Assumptions!$C$109),1000000000000,M30+M54-M$14)</f>
        <v>1055262.82602906</v>
      </c>
      <c r="N78" s="20" t="n">
        <f aca="false">IF(OR(N$5&lt;=$B78,N$5&gt;Assumptions!$C$109),1000000000000,N30+N54-N$14)</f>
        <v>1158958.48118173</v>
      </c>
      <c r="O78" s="20" t="n">
        <f aca="false">IF(OR(O$5&lt;=$B78,O$5&gt;Assumptions!$C$109),1000000000000,O30+O54-O$14)</f>
        <v>1267037.75380208</v>
      </c>
      <c r="P78" s="20" t="n">
        <f aca="false">IF(OR(P$5&lt;=$B78,P$5&gt;Assumptions!$C$109),1000000000000,P30+P54-P$14)</f>
        <v>1379169.61936514</v>
      </c>
      <c r="Q78" s="20" t="n">
        <f aca="false">IF(OR(Q$5&lt;=$B78,Q$5&gt;Assumptions!$C$109),1000000000000,Q30+Q54-Q$14)</f>
        <v>1494961.57153147</v>
      </c>
      <c r="R78" s="20" t="n">
        <f aca="false">IF(OR(R$5&lt;=$B78,R$5&gt;Assumptions!$C$109),1000000000000,R30+R54-R$14)</f>
        <v>1613959.77282776</v>
      </c>
      <c r="S78" s="20" t="n">
        <f aca="false">IF(OR(S$5&lt;=$B78,S$5&gt;Assumptions!$C$109),1000000000000,S30+S54-S$14)</f>
        <v>1735650.13699314</v>
      </c>
      <c r="T78" s="20" t="n">
        <f aca="false">IF(OR(T$5&lt;=$B78,T$5&gt;Assumptions!$C$109),1000000000000,T30+T54-T$14)</f>
        <v>1859460.39254334</v>
      </c>
      <c r="U78" s="20" t="n">
        <f aca="false">IF(OR(U$5&lt;=$B78,U$5&gt;Assumptions!$C$109),1000000000000,U30+U54-U$14)</f>
        <v>1984763.16020221</v>
      </c>
      <c r="V78" s="20" t="n">
        <f aca="false">IF(OR(V$5&lt;=$B78,V$5&gt;Assumptions!$C$109),1000000000000,V30+V54-V$14)</f>
        <v>2181758.7102832</v>
      </c>
      <c r="W78" s="20" t="n">
        <f aca="false">IF(OR(W$5&lt;=$B78,W$5&gt;Assumptions!$C$109),1000000000000,W30+W54-W$14)</f>
        <v>2346115.91354922</v>
      </c>
      <c r="X78" s="20" t="n">
        <f aca="false">IF(OR(X$5&lt;=$B78,X$5&gt;Assumptions!$C$109),1000000000000,X30+X54-X$14)</f>
        <v>2511684.0843764</v>
      </c>
      <c r="Y78" s="20" t="n">
        <f aca="false">IF(OR(Y$5&lt;=$B78,Y$5&gt;Assumptions!$C$109),1000000000000,Y30+Y54-Y$14)</f>
        <v>2677513.65954988</v>
      </c>
      <c r="Z78" s="20" t="n">
        <f aca="false">IF(OR(Z$5&lt;=$B78,Z$5&gt;Assumptions!$C$109),1000000000000,Z30+Z54-Z$14)</f>
        <v>1000000000000</v>
      </c>
      <c r="AA78" s="20" t="n">
        <f aca="false">IF(OR(AA$5&lt;=$B78,AA$5&gt;Assumptions!$C$109),1000000000000,AA30+AA54-AA$14)</f>
        <v>1000000000000</v>
      </c>
      <c r="AB78" s="20" t="n">
        <f aca="false">IF(OR(AB$5&lt;=$B78,AB$5&gt;Assumptions!$C$109),1000000000000,AB30+AB54-AB$14)</f>
        <v>1000000000000</v>
      </c>
      <c r="AC78" s="20" t="n">
        <f aca="false">IF(OR(AC$5&lt;=$B78,AC$5&gt;Assumptions!$C$109),1000000000000,AC30+AC54-AC$14)</f>
        <v>1000000000000</v>
      </c>
      <c r="AD78" s="20" t="n">
        <f aca="false">IF(OR(AD$5&lt;=$B78,AD$5&gt;Assumptions!$C$109),1000000000000,AD30+AD54-AD$14)</f>
        <v>1000000000000</v>
      </c>
      <c r="AE78" s="20" t="n">
        <f aca="false">IF(OR(AE$5&lt;=$B78,AE$5&gt;Assumptions!$C$109),1000000000000,AE30+AE54-AE$14)</f>
        <v>1000000000000</v>
      </c>
      <c r="AF78" s="20" t="n">
        <f aca="false">IF(OR(AF$5&lt;=$B78,AF$5&gt;Assumptions!$C$109),1000000000000,AF30+AF54-AF$14)</f>
        <v>1000000000000</v>
      </c>
    </row>
    <row r="79" customFormat="false" ht="15" hidden="false" customHeight="true" outlineLevel="0" collapsed="false">
      <c r="B79" s="67" t="n">
        <v>2035</v>
      </c>
      <c r="C79" s="20" t="n">
        <f aca="false">IF(OR(C$5&lt;=$B79,C$5&gt;Assumptions!$C$109),1000000000000,C31+C55-C$14)</f>
        <v>1000000000000</v>
      </c>
      <c r="D79" s="20" t="n">
        <f aca="false">IF(OR(D$5&lt;=$B79,D$5&gt;Assumptions!$C$109),1000000000000,D31+D55-D$14)</f>
        <v>1000000000000</v>
      </c>
      <c r="E79" s="20" t="n">
        <f aca="false">IF(OR(E$5&lt;=$B79,E$5&gt;Assumptions!$C$109),1000000000000,E31+E55-E$14)</f>
        <v>1000000000000</v>
      </c>
      <c r="F79" s="20" t="n">
        <f aca="false">IF(OR(F$5&lt;=$B79,F$5&gt;Assumptions!$C$109),1000000000000,F31+F55-F$14)</f>
        <v>1000000000000</v>
      </c>
      <c r="G79" s="20" t="n">
        <f aca="false">IF(OR(G$5&lt;=$B79,G$5&gt;Assumptions!$C$109),1000000000000,G31+G55-G$14)</f>
        <v>1000000000000</v>
      </c>
      <c r="H79" s="20" t="n">
        <f aca="false">IF(OR(H$5&lt;=$B79,H$5&gt;Assumptions!$C$109),1000000000000,H31+H55-H$14)</f>
        <v>1000000000000</v>
      </c>
      <c r="I79" s="20" t="n">
        <f aca="false">IF(OR(I$5&lt;=$B79,I$5&gt;Assumptions!$C$109),1000000000000,I31+I55-I$14)</f>
        <v>1000000000000</v>
      </c>
      <c r="J79" s="20" t="n">
        <f aca="false">IF(OR(J$5&lt;=$B79,J$5&gt;Assumptions!$C$109),1000000000000,J31+J55-J$14)</f>
        <v>1000000000000</v>
      </c>
      <c r="K79" s="20" t="n">
        <f aca="false">IF(OR(K$5&lt;=$B79,K$5&gt;Assumptions!$C$109),1000000000000,K31+K55-K$14)</f>
        <v>1000000000000</v>
      </c>
      <c r="L79" s="20" t="n">
        <f aca="false">IF(OR(L$5&lt;=$B79,L$5&gt;Assumptions!$C$109),1000000000000,L31+L55-L$14)</f>
        <v>1000000000000</v>
      </c>
      <c r="M79" s="20" t="n">
        <f aca="false">IF(OR(M$5&lt;=$B79,M$5&gt;Assumptions!$C$109),1000000000000,M31+M55-M$14)</f>
        <v>1152939.42938129</v>
      </c>
      <c r="N79" s="20" t="n">
        <f aca="false">IF(OR(N$5&lt;=$B79,N$5&gt;Assumptions!$C$109),1000000000000,N31+N55-N$14)</f>
        <v>1263552.9932073</v>
      </c>
      <c r="O79" s="20" t="n">
        <f aca="false">IF(OR(O$5&lt;=$B79,O$5&gt;Assumptions!$C$109),1000000000000,O31+O55-O$14)</f>
        <v>1378731.84054797</v>
      </c>
      <c r="P79" s="20" t="n">
        <f aca="false">IF(OR(P$5&lt;=$B79,P$5&gt;Assumptions!$C$109),1000000000000,P31+P55-P$14)</f>
        <v>1498115.97915077</v>
      </c>
      <c r="Q79" s="20" t="n">
        <f aca="false">IF(OR(Q$5&lt;=$B79,Q$5&gt;Assumptions!$C$109),1000000000000,Q31+Q55-Q$14)</f>
        <v>1621280.53604852</v>
      </c>
      <c r="R79" s="20" t="n">
        <f aca="false">IF(OR(R$5&lt;=$B79,R$5&gt;Assumptions!$C$109),1000000000000,R31+R55-R$14)</f>
        <v>1747736.0490951</v>
      </c>
      <c r="S79" s="20" t="n">
        <f aca="false">IF(OR(S$5&lt;=$B79,S$5&gt;Assumptions!$C$109),1000000000000,S31+S55-S$14)</f>
        <v>1876929.74809477</v>
      </c>
      <c r="T79" s="20" t="n">
        <f aca="false">IF(OR(T$5&lt;=$B79,T$5&gt;Assumptions!$C$109),1000000000000,T31+T55-T$14)</f>
        <v>2008247.87566058</v>
      </c>
      <c r="U79" s="20" t="n">
        <f aca="false">IF(OR(U$5&lt;=$B79,U$5&gt;Assumptions!$C$109),1000000000000,U31+U55-U$14)</f>
        <v>2141019.07986988</v>
      </c>
      <c r="V79" s="20" t="n">
        <f aca="false">IF(OR(V$5&lt;=$B79,V$5&gt;Assumptions!$C$109),1000000000000,V31+V55-V$14)</f>
        <v>2345397.54298548</v>
      </c>
      <c r="W79" s="20" t="n">
        <f aca="false">IF(OR(W$5&lt;=$B79,W$5&gt;Assumptions!$C$109),1000000000000,W31+W55-W$14)</f>
        <v>2517004.3566822</v>
      </c>
      <c r="X79" s="20" t="n">
        <f aca="false">IF(OR(X$5&lt;=$B79,X$5&gt;Assumptions!$C$109),1000000000000,X31+X55-X$14)</f>
        <v>2689639.83823281</v>
      </c>
      <c r="Y79" s="20" t="n">
        <f aca="false">IF(OR(Y$5&lt;=$B79,Y$5&gt;Assumptions!$C$109),1000000000000,Y31+Y55-Y$14)</f>
        <v>2862304.72534948</v>
      </c>
      <c r="Z79" s="20" t="n">
        <f aca="false">IF(OR(Z$5&lt;=$B79,Z$5&gt;Assumptions!$C$109),1000000000000,Z31+Z55-Z$14)</f>
        <v>1000000000000</v>
      </c>
      <c r="AA79" s="20" t="n">
        <f aca="false">IF(OR(AA$5&lt;=$B79,AA$5&gt;Assumptions!$C$109),1000000000000,AA31+AA55-AA$14)</f>
        <v>1000000000000</v>
      </c>
      <c r="AB79" s="20" t="n">
        <f aca="false">IF(OR(AB$5&lt;=$B79,AB$5&gt;Assumptions!$C$109),1000000000000,AB31+AB55-AB$14)</f>
        <v>1000000000000</v>
      </c>
      <c r="AC79" s="20" t="n">
        <f aca="false">IF(OR(AC$5&lt;=$B79,AC$5&gt;Assumptions!$C$109),1000000000000,AC31+AC55-AC$14)</f>
        <v>1000000000000</v>
      </c>
      <c r="AD79" s="20" t="n">
        <f aca="false">IF(OR(AD$5&lt;=$B79,AD$5&gt;Assumptions!$C$109),1000000000000,AD31+AD55-AD$14)</f>
        <v>1000000000000</v>
      </c>
      <c r="AE79" s="20" t="n">
        <f aca="false">IF(OR(AE$5&lt;=$B79,AE$5&gt;Assumptions!$C$109),1000000000000,AE31+AE55-AE$14)</f>
        <v>1000000000000</v>
      </c>
      <c r="AF79" s="20" t="n">
        <f aca="false">IF(OR(AF$5&lt;=$B79,AF$5&gt;Assumptions!$C$109),1000000000000,AF31+AF55-AF$14)</f>
        <v>1000000000000</v>
      </c>
    </row>
    <row r="80" customFormat="false" ht="15" hidden="false" customHeight="true" outlineLevel="0" collapsed="false">
      <c r="B80" s="67" t="n">
        <v>2036</v>
      </c>
      <c r="C80" s="20" t="n">
        <f aca="false">IF(OR(C$5&lt;=$B80,C$5&gt;Assumptions!$C$109),1000000000000,C32+C56-C$14)</f>
        <v>1000000000000</v>
      </c>
      <c r="D80" s="20" t="n">
        <f aca="false">IF(OR(D$5&lt;=$B80,D$5&gt;Assumptions!$C$109),1000000000000,D32+D56-D$14)</f>
        <v>1000000000000</v>
      </c>
      <c r="E80" s="20" t="n">
        <f aca="false">IF(OR(E$5&lt;=$B80,E$5&gt;Assumptions!$C$109),1000000000000,E32+E56-E$14)</f>
        <v>1000000000000</v>
      </c>
      <c r="F80" s="20" t="n">
        <f aca="false">IF(OR(F$5&lt;=$B80,F$5&gt;Assumptions!$C$109),1000000000000,F32+F56-F$14)</f>
        <v>1000000000000</v>
      </c>
      <c r="G80" s="20" t="n">
        <f aca="false">IF(OR(G$5&lt;=$B80,G$5&gt;Assumptions!$C$109),1000000000000,G32+G56-G$14)</f>
        <v>1000000000000</v>
      </c>
      <c r="H80" s="20" t="n">
        <f aca="false">IF(OR(H$5&lt;=$B80,H$5&gt;Assumptions!$C$109),1000000000000,H32+H56-H$14)</f>
        <v>1000000000000</v>
      </c>
      <c r="I80" s="20" t="n">
        <f aca="false">IF(OR(I$5&lt;=$B80,I$5&gt;Assumptions!$C$109),1000000000000,I32+I56-I$14)</f>
        <v>1000000000000</v>
      </c>
      <c r="J80" s="20" t="n">
        <f aca="false">IF(OR(J$5&lt;=$B80,J$5&gt;Assumptions!$C$109),1000000000000,J32+J56-J$14)</f>
        <v>1000000000000</v>
      </c>
      <c r="K80" s="20" t="n">
        <f aca="false">IF(OR(K$5&lt;=$B80,K$5&gt;Assumptions!$C$109),1000000000000,K32+K56-K$14)</f>
        <v>1000000000000</v>
      </c>
      <c r="L80" s="20" t="n">
        <f aca="false">IF(OR(L$5&lt;=$B80,L$5&gt;Assumptions!$C$109),1000000000000,L32+L56-L$14)</f>
        <v>1000000000000</v>
      </c>
      <c r="M80" s="20" t="n">
        <f aca="false">IF(OR(M$5&lt;=$B80,M$5&gt;Assumptions!$C$109),1000000000000,M32+M56-M$14)</f>
        <v>1000000000000</v>
      </c>
      <c r="N80" s="20" t="n">
        <f aca="false">IF(OR(N$5&lt;=$B80,N$5&gt;Assumptions!$C$109),1000000000000,N32+N56-N$14)</f>
        <v>1363043.75617873</v>
      </c>
      <c r="O80" s="20" t="n">
        <f aca="false">IF(OR(O$5&lt;=$B80,O$5&gt;Assumptions!$C$109),1000000000000,O32+O56-O$14)</f>
        <v>1484970.53438067</v>
      </c>
      <c r="P80" s="20" t="n">
        <f aca="false">IF(OR(P$5&lt;=$B80,P$5&gt;Assumptions!$C$109),1000000000000,P32+P56-P$14)</f>
        <v>1611247.15742782</v>
      </c>
      <c r="Q80" s="20" t="n">
        <f aca="false">IF(OR(Q$5&lt;=$B80,Q$5&gt;Assumptions!$C$109),1000000000000,Q32+Q56-Q$14)</f>
        <v>1741417.94565794</v>
      </c>
      <c r="R80" s="20" t="n">
        <f aca="false">IF(OR(R$5&lt;=$B80,R$5&gt;Assumptions!$C$109),1000000000000,R32+R56-R$14)</f>
        <v>1874959.53787276</v>
      </c>
      <c r="S80" s="20" t="n">
        <f aca="false">IF(OR(S$5&lt;=$B80,S$5&gt;Assumptions!$C$109),1000000000000,S32+S56-S$14)</f>
        <v>2011282.36232263</v>
      </c>
      <c r="T80" s="20" t="n">
        <f aca="false">IF(OR(T$5&lt;=$B80,T$5&gt;Assumptions!$C$109),1000000000000,T32+T56-T$14)</f>
        <v>2149733.20300681</v>
      </c>
      <c r="U80" s="20" t="n">
        <f aca="false">IF(OR(U$5&lt;=$B80,U$5&gt;Assumptions!$C$109),1000000000000,U32+U56-U$14)</f>
        <v>2289598.89278417</v>
      </c>
      <c r="V80" s="20" t="n">
        <f aca="false">IF(OR(V$5&lt;=$B80,V$5&gt;Assumptions!$C$109),1000000000000,V32+V56-V$14)</f>
        <v>2500989.7958172</v>
      </c>
      <c r="W80" s="20" t="n">
        <f aca="false">IF(OR(W$5&lt;=$B80,W$5&gt;Assumptions!$C$109),1000000000000,W32+W56-W$14)</f>
        <v>2679481.58683283</v>
      </c>
      <c r="X80" s="20" t="n">
        <f aca="false">IF(OR(X$5&lt;=$B80,X$5&gt;Assumptions!$C$109),1000000000000,X32+X56-X$14)</f>
        <v>2858828.0174787</v>
      </c>
      <c r="Y80" s="20" t="n">
        <f aca="false">IF(OR(Y$5&lt;=$B80,Y$5&gt;Assumptions!$C$109),1000000000000,Y32+Y56-Y$14)</f>
        <v>3037982.60209903</v>
      </c>
      <c r="Z80" s="20" t="n">
        <f aca="false">IF(OR(Z$5&lt;=$B80,Z$5&gt;Assumptions!$C$109),1000000000000,Z32+Z56-Z$14)</f>
        <v>1000000000000</v>
      </c>
      <c r="AA80" s="20" t="n">
        <f aca="false">IF(OR(AA$5&lt;=$B80,AA$5&gt;Assumptions!$C$109),1000000000000,AA32+AA56-AA$14)</f>
        <v>1000000000000</v>
      </c>
      <c r="AB80" s="20" t="n">
        <f aca="false">IF(OR(AB$5&lt;=$B80,AB$5&gt;Assumptions!$C$109),1000000000000,AB32+AB56-AB$14)</f>
        <v>1000000000000</v>
      </c>
      <c r="AC80" s="20" t="n">
        <f aca="false">IF(OR(AC$5&lt;=$B80,AC$5&gt;Assumptions!$C$109),1000000000000,AC32+AC56-AC$14)</f>
        <v>1000000000000</v>
      </c>
      <c r="AD80" s="20" t="n">
        <f aca="false">IF(OR(AD$5&lt;=$B80,AD$5&gt;Assumptions!$C$109),1000000000000,AD32+AD56-AD$14)</f>
        <v>1000000000000</v>
      </c>
      <c r="AE80" s="20" t="n">
        <f aca="false">IF(OR(AE$5&lt;=$B80,AE$5&gt;Assumptions!$C$109),1000000000000,AE32+AE56-AE$14)</f>
        <v>1000000000000</v>
      </c>
      <c r="AF80" s="20" t="n">
        <f aca="false">IF(OR(AF$5&lt;=$B80,AF$5&gt;Assumptions!$C$109),1000000000000,AF32+AF56-AF$14)</f>
        <v>1000000000000</v>
      </c>
    </row>
    <row r="81" customFormat="false" ht="15" hidden="false" customHeight="true" outlineLevel="0" collapsed="false">
      <c r="B81" s="67" t="n">
        <v>2037</v>
      </c>
      <c r="C81" s="20" t="n">
        <f aca="false">IF(OR(C$5&lt;=$B81,C$5&gt;Assumptions!$C$109),1000000000000,C33+C57-C$14)</f>
        <v>1000000000000</v>
      </c>
      <c r="D81" s="20" t="n">
        <f aca="false">IF(OR(D$5&lt;=$B81,D$5&gt;Assumptions!$C$109),1000000000000,D33+D57-D$14)</f>
        <v>1000000000000</v>
      </c>
      <c r="E81" s="20" t="n">
        <f aca="false">IF(OR(E$5&lt;=$B81,E$5&gt;Assumptions!$C$109),1000000000000,E33+E57-E$14)</f>
        <v>1000000000000</v>
      </c>
      <c r="F81" s="20" t="n">
        <f aca="false">IF(OR(F$5&lt;=$B81,F$5&gt;Assumptions!$C$109),1000000000000,F33+F57-F$14)</f>
        <v>1000000000000</v>
      </c>
      <c r="G81" s="20" t="n">
        <f aca="false">IF(OR(G$5&lt;=$B81,G$5&gt;Assumptions!$C$109),1000000000000,G33+G57-G$14)</f>
        <v>1000000000000</v>
      </c>
      <c r="H81" s="20" t="n">
        <f aca="false">IF(OR(H$5&lt;=$B81,H$5&gt;Assumptions!$C$109),1000000000000,H33+H57-H$14)</f>
        <v>1000000000000</v>
      </c>
      <c r="I81" s="20" t="n">
        <f aca="false">IF(OR(I$5&lt;=$B81,I$5&gt;Assumptions!$C$109),1000000000000,I33+I57-I$14)</f>
        <v>1000000000000</v>
      </c>
      <c r="J81" s="20" t="n">
        <f aca="false">IF(OR(J$5&lt;=$B81,J$5&gt;Assumptions!$C$109),1000000000000,J33+J57-J$14)</f>
        <v>1000000000000</v>
      </c>
      <c r="K81" s="20" t="n">
        <f aca="false">IF(OR(K$5&lt;=$B81,K$5&gt;Assumptions!$C$109),1000000000000,K33+K57-K$14)</f>
        <v>1000000000000</v>
      </c>
      <c r="L81" s="20" t="n">
        <f aca="false">IF(OR(L$5&lt;=$B81,L$5&gt;Assumptions!$C$109),1000000000000,L33+L57-L$14)</f>
        <v>1000000000000</v>
      </c>
      <c r="M81" s="20" t="n">
        <f aca="false">IF(OR(M$5&lt;=$B81,M$5&gt;Assumptions!$C$109),1000000000000,M33+M57-M$14)</f>
        <v>1000000000000</v>
      </c>
      <c r="N81" s="20" t="n">
        <f aca="false">IF(OR(N$5&lt;=$B81,N$5&gt;Assumptions!$C$109),1000000000000,N33+N57-N$14)</f>
        <v>1000000000000</v>
      </c>
      <c r="O81" s="20" t="n">
        <f aca="false">IF(OR(O$5&lt;=$B81,O$5&gt;Assumptions!$C$109),1000000000000,O33+O57-O$14)</f>
        <v>1586166.79281793</v>
      </c>
      <c r="P81" s="20" t="n">
        <f aca="false">IF(OR(P$5&lt;=$B81,P$5&gt;Assumptions!$C$109),1000000000000,P33+P57-P$14)</f>
        <v>1719003.44758656</v>
      </c>
      <c r="Q81" s="20" t="n">
        <f aca="false">IF(OR(Q$5&lt;=$B81,Q$5&gt;Assumptions!$C$109),1000000000000,Q33+Q57-Q$14)</f>
        <v>1855841.94088911</v>
      </c>
      <c r="R81" s="20" t="n">
        <f aca="false">IF(OR(R$5&lt;=$B81,R$5&gt;Assumptions!$C$109),1000000000000,R33+R57-R$14)</f>
        <v>1996126.6077316</v>
      </c>
      <c r="S81" s="20" t="n">
        <f aca="false">IF(OR(S$5&lt;=$B81,S$5&gt;Assumptions!$C$109),1000000000000,S33+S57-S$14)</f>
        <v>2139232.81482796</v>
      </c>
      <c r="T81" s="20" t="n">
        <f aca="false">IF(OR(T$5&lt;=$B81,T$5&gt;Assumptions!$C$109),1000000000000,T33+T57-T$14)</f>
        <v>2284469.76137412</v>
      </c>
      <c r="U81" s="20" t="n">
        <f aca="false">IF(OR(U$5&lt;=$B81,U$5&gt;Assumptions!$C$109),1000000000000,U33+U57-U$14)</f>
        <v>2431084.45895161</v>
      </c>
      <c r="V81" s="20" t="n">
        <f aca="false">IF(OR(V$5&lt;=$B81,V$5&gt;Assumptions!$C$109),1000000000000,V33+V57-V$14)</f>
        <v>2649145.55140175</v>
      </c>
      <c r="W81" s="20" t="n">
        <f aca="false">IF(OR(W$5&lt;=$B81,W$5&gt;Assumptions!$C$109),1000000000000,W33+W57-W$14)</f>
        <v>2834185.47932039</v>
      </c>
      <c r="X81" s="20" t="n">
        <f aca="false">IF(OR(X$5&lt;=$B81,X$5&gt;Assumptions!$C$109),1000000000000,X33+X57-X$14)</f>
        <v>3019913.67545772</v>
      </c>
      <c r="Y81" s="20" t="n">
        <f aca="false">IF(OR(Y$5&lt;=$B81,Y$5&gt;Assumptions!$C$109),1000000000000,Y33+Y57-Y$14)</f>
        <v>3205238.71821654</v>
      </c>
      <c r="Z81" s="20" t="n">
        <f aca="false">IF(OR(Z$5&lt;=$B81,Z$5&gt;Assumptions!$C$109),1000000000000,Z33+Z57-Z$14)</f>
        <v>1000000000000</v>
      </c>
      <c r="AA81" s="20" t="n">
        <f aca="false">IF(OR(AA$5&lt;=$B81,AA$5&gt;Assumptions!$C$109),1000000000000,AA33+AA57-AA$14)</f>
        <v>1000000000000</v>
      </c>
      <c r="AB81" s="20" t="n">
        <f aca="false">IF(OR(AB$5&lt;=$B81,AB$5&gt;Assumptions!$C$109),1000000000000,AB33+AB57-AB$14)</f>
        <v>1000000000000</v>
      </c>
      <c r="AC81" s="20" t="n">
        <f aca="false">IF(OR(AC$5&lt;=$B81,AC$5&gt;Assumptions!$C$109),1000000000000,AC33+AC57-AC$14)</f>
        <v>1000000000000</v>
      </c>
      <c r="AD81" s="20" t="n">
        <f aca="false">IF(OR(AD$5&lt;=$B81,AD$5&gt;Assumptions!$C$109),1000000000000,AD33+AD57-AD$14)</f>
        <v>1000000000000</v>
      </c>
      <c r="AE81" s="20" t="n">
        <f aca="false">IF(OR(AE$5&lt;=$B81,AE$5&gt;Assumptions!$C$109),1000000000000,AE33+AE57-AE$14)</f>
        <v>1000000000000</v>
      </c>
      <c r="AF81" s="20" t="n">
        <f aca="false">IF(OR(AF$5&lt;=$B81,AF$5&gt;Assumptions!$C$109),1000000000000,AF33+AF57-AF$14)</f>
        <v>1000000000000</v>
      </c>
    </row>
    <row r="82" customFormat="false" ht="15" hidden="false" customHeight="true" outlineLevel="0" collapsed="false">
      <c r="B82" s="67" t="n">
        <v>2038</v>
      </c>
      <c r="C82" s="20" t="n">
        <f aca="false">IF(OR(C$5&lt;=$B82,C$5&gt;Assumptions!$C$109),1000000000000,C34+C58-C$14)</f>
        <v>1000000000000</v>
      </c>
      <c r="D82" s="20" t="n">
        <f aca="false">IF(OR(D$5&lt;=$B82,D$5&gt;Assumptions!$C$109),1000000000000,D34+D58-D$14)</f>
        <v>1000000000000</v>
      </c>
      <c r="E82" s="20" t="n">
        <f aca="false">IF(OR(E$5&lt;=$B82,E$5&gt;Assumptions!$C$109),1000000000000,E34+E58-E$14)</f>
        <v>1000000000000</v>
      </c>
      <c r="F82" s="20" t="n">
        <f aca="false">IF(OR(F$5&lt;=$B82,F$5&gt;Assumptions!$C$109),1000000000000,F34+F58-F$14)</f>
        <v>1000000000000</v>
      </c>
      <c r="G82" s="20" t="n">
        <f aca="false">IF(OR(G$5&lt;=$B82,G$5&gt;Assumptions!$C$109),1000000000000,G34+G58-G$14)</f>
        <v>1000000000000</v>
      </c>
      <c r="H82" s="20" t="n">
        <f aca="false">IF(OR(H$5&lt;=$B82,H$5&gt;Assumptions!$C$109),1000000000000,H34+H58-H$14)</f>
        <v>1000000000000</v>
      </c>
      <c r="I82" s="20" t="n">
        <f aca="false">IF(OR(I$5&lt;=$B82,I$5&gt;Assumptions!$C$109),1000000000000,I34+I58-I$14)</f>
        <v>1000000000000</v>
      </c>
      <c r="J82" s="20" t="n">
        <f aca="false">IF(OR(J$5&lt;=$B82,J$5&gt;Assumptions!$C$109),1000000000000,J34+J58-J$14)</f>
        <v>1000000000000</v>
      </c>
      <c r="K82" s="20" t="n">
        <f aca="false">IF(OR(K$5&lt;=$B82,K$5&gt;Assumptions!$C$109),1000000000000,K34+K58-K$14)</f>
        <v>1000000000000</v>
      </c>
      <c r="L82" s="20" t="n">
        <f aca="false">IF(OR(L$5&lt;=$B82,L$5&gt;Assumptions!$C$109),1000000000000,L34+L58-L$14)</f>
        <v>1000000000000</v>
      </c>
      <c r="M82" s="20" t="n">
        <f aca="false">IF(OR(M$5&lt;=$B82,M$5&gt;Assumptions!$C$109),1000000000000,M34+M58-M$14)</f>
        <v>1000000000000</v>
      </c>
      <c r="N82" s="20" t="n">
        <f aca="false">IF(OR(N$5&lt;=$B82,N$5&gt;Assumptions!$C$109),1000000000000,N34+N58-N$14)</f>
        <v>1000000000000</v>
      </c>
      <c r="O82" s="20" t="n">
        <f aca="false">IF(OR(O$5&lt;=$B82,O$5&gt;Assumptions!$C$109),1000000000000,O34+O58-O$14)</f>
        <v>1000000000000</v>
      </c>
      <c r="P82" s="20" t="n">
        <f aca="false">IF(OR(P$5&lt;=$B82,P$5&gt;Assumptions!$C$109),1000000000000,P34+P58-P$14)</f>
        <v>1821933.6250031</v>
      </c>
      <c r="Q82" s="20" t="n">
        <f aca="false">IF(OR(Q$5&lt;=$B82,Q$5&gt;Assumptions!$C$109),1000000000000,Q34+Q58-Q$14)</f>
        <v>1965135.77578652</v>
      </c>
      <c r="R82" s="20" t="n">
        <f aca="false">IF(OR(R$5&lt;=$B82,R$5&gt;Assumptions!$C$109),1000000000000,R34+R58-R$14)</f>
        <v>2111855.43835332</v>
      </c>
      <c r="S82" s="20" t="n">
        <f aca="false">IF(OR(S$5&lt;=$B82,S$5&gt;Assumptions!$C$109),1000000000000,S34+S58-S$14)</f>
        <v>2261434.48011652</v>
      </c>
      <c r="T82" s="20" t="n">
        <f aca="false">IF(OR(T$5&lt;=$B82,T$5&gt;Assumptions!$C$109),1000000000000,T34+T58-T$14)</f>
        <v>2413146.19795023</v>
      </c>
      <c r="U82" s="20" t="n">
        <f aca="false">IF(OR(U$5&lt;=$B82,U$5&gt;Assumptions!$C$109),1000000000000,U34+U58-U$14)</f>
        <v>2566199.5726279</v>
      </c>
      <c r="V82" s="20" t="n">
        <f aca="false">IF(OR(V$5&lt;=$B82,V$5&gt;Assumptions!$C$109),1000000000000,V34+V58-V$14)</f>
        <v>2790623.41150534</v>
      </c>
      <c r="W82" s="20" t="n">
        <f aca="false">IF(OR(W$5&lt;=$B82,W$5&gt;Assumptions!$C$109),1000000000000,W34+W58-W$14)</f>
        <v>2981908.88137416</v>
      </c>
      <c r="X82" s="20" t="n">
        <f aca="false">IF(OR(X$5&lt;=$B82,X$5&gt;Assumptions!$C$109),1000000000000,X34+X58-X$14)</f>
        <v>3173723.11393958</v>
      </c>
      <c r="Y82" s="20" t="n">
        <f aca="false">IF(OR(Y$5&lt;=$B82,Y$5&gt;Assumptions!$C$109),1000000000000,Y34+Y58-Y$14)</f>
        <v>3364931.80620068</v>
      </c>
      <c r="Z82" s="20" t="n">
        <f aca="false">IF(OR(Z$5&lt;=$B82,Z$5&gt;Assumptions!$C$109),1000000000000,Z34+Z58-Z$14)</f>
        <v>1000000000000</v>
      </c>
      <c r="AA82" s="20" t="n">
        <f aca="false">IF(OR(AA$5&lt;=$B82,AA$5&gt;Assumptions!$C$109),1000000000000,AA34+AA58-AA$14)</f>
        <v>1000000000000</v>
      </c>
      <c r="AB82" s="20" t="n">
        <f aca="false">IF(OR(AB$5&lt;=$B82,AB$5&gt;Assumptions!$C$109),1000000000000,AB34+AB58-AB$14)</f>
        <v>1000000000000</v>
      </c>
      <c r="AC82" s="20" t="n">
        <f aca="false">IF(OR(AC$5&lt;=$B82,AC$5&gt;Assumptions!$C$109),1000000000000,AC34+AC58-AC$14)</f>
        <v>1000000000000</v>
      </c>
      <c r="AD82" s="20" t="n">
        <f aca="false">IF(OR(AD$5&lt;=$B82,AD$5&gt;Assumptions!$C$109),1000000000000,AD34+AD58-AD$14)</f>
        <v>1000000000000</v>
      </c>
      <c r="AE82" s="20" t="n">
        <f aca="false">IF(OR(AE$5&lt;=$B82,AE$5&gt;Assumptions!$C$109),1000000000000,AE34+AE58-AE$14)</f>
        <v>1000000000000</v>
      </c>
      <c r="AF82" s="20" t="n">
        <f aca="false">IF(OR(AF$5&lt;=$B82,AF$5&gt;Assumptions!$C$109),1000000000000,AF34+AF58-AF$14)</f>
        <v>1000000000000</v>
      </c>
    </row>
    <row r="83" customFormat="false" ht="15" hidden="false" customHeight="true" outlineLevel="0" collapsed="false">
      <c r="B83" s="67" t="n">
        <v>2039</v>
      </c>
      <c r="C83" s="20" t="n">
        <f aca="false">IF(OR(C$5&lt;=$B83,C$5&gt;Assumptions!$C$109),1000000000000,C35+C59-C$14)</f>
        <v>1000000000000</v>
      </c>
      <c r="D83" s="20" t="n">
        <f aca="false">IF(OR(D$5&lt;=$B83,D$5&gt;Assumptions!$C$109),1000000000000,D35+D59-D$14)</f>
        <v>1000000000000</v>
      </c>
      <c r="E83" s="20" t="n">
        <f aca="false">IF(OR(E$5&lt;=$B83,E$5&gt;Assumptions!$C$109),1000000000000,E35+E59-E$14)</f>
        <v>1000000000000</v>
      </c>
      <c r="F83" s="20" t="n">
        <f aca="false">IF(OR(F$5&lt;=$B83,F$5&gt;Assumptions!$C$109),1000000000000,F35+F59-F$14)</f>
        <v>1000000000000</v>
      </c>
      <c r="G83" s="20" t="n">
        <f aca="false">IF(OR(G$5&lt;=$B83,G$5&gt;Assumptions!$C$109),1000000000000,G35+G59-G$14)</f>
        <v>1000000000000</v>
      </c>
      <c r="H83" s="20" t="n">
        <f aca="false">IF(OR(H$5&lt;=$B83,H$5&gt;Assumptions!$C$109),1000000000000,H35+H59-H$14)</f>
        <v>1000000000000</v>
      </c>
      <c r="I83" s="20" t="n">
        <f aca="false">IF(OR(I$5&lt;=$B83,I$5&gt;Assumptions!$C$109),1000000000000,I35+I59-I$14)</f>
        <v>1000000000000</v>
      </c>
      <c r="J83" s="20" t="n">
        <f aca="false">IF(OR(J$5&lt;=$B83,J$5&gt;Assumptions!$C$109),1000000000000,J35+J59-J$14)</f>
        <v>1000000000000</v>
      </c>
      <c r="K83" s="20" t="n">
        <f aca="false">IF(OR(K$5&lt;=$B83,K$5&gt;Assumptions!$C$109),1000000000000,K35+K59-K$14)</f>
        <v>1000000000000</v>
      </c>
      <c r="L83" s="20" t="n">
        <f aca="false">IF(OR(L$5&lt;=$B83,L$5&gt;Assumptions!$C$109),1000000000000,L35+L59-L$14)</f>
        <v>1000000000000</v>
      </c>
      <c r="M83" s="20" t="n">
        <f aca="false">IF(OR(M$5&lt;=$B83,M$5&gt;Assumptions!$C$109),1000000000000,M35+M59-M$14)</f>
        <v>1000000000000</v>
      </c>
      <c r="N83" s="20" t="n">
        <f aca="false">IF(OR(N$5&lt;=$B83,N$5&gt;Assumptions!$C$109),1000000000000,N35+N59-N$14)</f>
        <v>1000000000000</v>
      </c>
      <c r="O83" s="20" t="n">
        <f aca="false">IF(OR(O$5&lt;=$B83,O$5&gt;Assumptions!$C$109),1000000000000,O35+O59-O$14)</f>
        <v>1000000000000</v>
      </c>
      <c r="P83" s="20" t="n">
        <f aca="false">IF(OR(P$5&lt;=$B83,P$5&gt;Assumptions!$C$109),1000000000000,P35+P59-P$14)</f>
        <v>1000000000000</v>
      </c>
      <c r="Q83" s="20" t="n">
        <f aca="false">IF(OR(Q$5&lt;=$B83,Q$5&gt;Assumptions!$C$109),1000000000000,Q35+Q59-Q$14)</f>
        <v>2069828.75043813</v>
      </c>
      <c r="R83" s="20" t="n">
        <f aca="false">IF(OR(R$5&lt;=$B83,R$5&gt;Assumptions!$C$109),1000000000000,R35+R59-R$14)</f>
        <v>2222706.99210077</v>
      </c>
      <c r="S83" s="20" t="n">
        <f aca="false">IF(OR(S$5&lt;=$B83,S$5&gt;Assumptions!$C$109),1000000000000,S35+S59-S$14)</f>
        <v>2378480.22336694</v>
      </c>
      <c r="T83" s="20" t="n">
        <f aca="false">IF(OR(T$5&lt;=$B83,T$5&gt;Assumptions!$C$109),1000000000000,T35+T59-T$14)</f>
        <v>2536387.34762556</v>
      </c>
      <c r="U83" s="20" t="n">
        <f aca="false">IF(OR(U$5&lt;=$B83,U$5&gt;Assumptions!$C$109),1000000000000,U35+U59-U$14)</f>
        <v>2695600.92069041</v>
      </c>
      <c r="V83" s="20" t="n">
        <f aca="false">IF(OR(V$5&lt;=$B83,V$5&gt;Assumptions!$C$109),1000000000000,V35+V59-V$14)</f>
        <v>2926111.60319003</v>
      </c>
      <c r="W83" s="20" t="n">
        <f aca="false">IF(OR(W$5&lt;=$B83,W$5&gt;Assumptions!$C$109),1000000000000,W35+W59-W$14)</f>
        <v>3123371.04665443</v>
      </c>
      <c r="X83" s="20" t="n">
        <f aca="false">IF(OR(X$5&lt;=$B83,X$5&gt;Assumptions!$C$109),1000000000000,X35+X59-X$14)</f>
        <v>3321005.89206769</v>
      </c>
      <c r="Y83" s="20" t="n">
        <f aca="false">IF(OR(Y$5&lt;=$B83,Y$5&gt;Assumptions!$C$109),1000000000000,Y35+Y59-Y$14)</f>
        <v>3517840.79844273</v>
      </c>
      <c r="Z83" s="20" t="n">
        <f aca="false">IF(OR(Z$5&lt;=$B83,Z$5&gt;Assumptions!$C$109),1000000000000,Z35+Z59-Z$14)</f>
        <v>1000000000000</v>
      </c>
      <c r="AA83" s="20" t="n">
        <f aca="false">IF(OR(AA$5&lt;=$B83,AA$5&gt;Assumptions!$C$109),1000000000000,AA35+AA59-AA$14)</f>
        <v>1000000000000</v>
      </c>
      <c r="AB83" s="20" t="n">
        <f aca="false">IF(OR(AB$5&lt;=$B83,AB$5&gt;Assumptions!$C$109),1000000000000,AB35+AB59-AB$14)</f>
        <v>1000000000000</v>
      </c>
      <c r="AC83" s="20" t="n">
        <f aca="false">IF(OR(AC$5&lt;=$B83,AC$5&gt;Assumptions!$C$109),1000000000000,AC35+AC59-AC$14)</f>
        <v>1000000000000</v>
      </c>
      <c r="AD83" s="20" t="n">
        <f aca="false">IF(OR(AD$5&lt;=$B83,AD$5&gt;Assumptions!$C$109),1000000000000,AD35+AD59-AD$14)</f>
        <v>1000000000000</v>
      </c>
      <c r="AE83" s="20" t="n">
        <f aca="false">IF(OR(AE$5&lt;=$B83,AE$5&gt;Assumptions!$C$109),1000000000000,AE35+AE59-AE$14)</f>
        <v>1000000000000</v>
      </c>
      <c r="AF83" s="20" t="n">
        <f aca="false">IF(OR(AF$5&lt;=$B83,AF$5&gt;Assumptions!$C$109),1000000000000,AF35+AF59-AF$14)</f>
        <v>1000000000000</v>
      </c>
    </row>
    <row r="84" customFormat="false" ht="15" hidden="false" customHeight="true" outlineLevel="0" collapsed="false">
      <c r="B84" s="67" t="n">
        <v>2040</v>
      </c>
      <c r="C84" s="20" t="n">
        <f aca="false">IF(OR(C$5&lt;=$B84,C$5&gt;Assumptions!$C$109),1000000000000,C36+C60-C$14)</f>
        <v>1000000000000</v>
      </c>
      <c r="D84" s="20" t="n">
        <f aca="false">IF(OR(D$5&lt;=$B84,D$5&gt;Assumptions!$C$109),1000000000000,D36+D60-D$14)</f>
        <v>1000000000000</v>
      </c>
      <c r="E84" s="20" t="n">
        <f aca="false">IF(OR(E$5&lt;=$B84,E$5&gt;Assumptions!$C$109),1000000000000,E36+E60-E$14)</f>
        <v>1000000000000</v>
      </c>
      <c r="F84" s="20" t="n">
        <f aca="false">IF(OR(F$5&lt;=$B84,F$5&gt;Assumptions!$C$109),1000000000000,F36+F60-F$14)</f>
        <v>1000000000000</v>
      </c>
      <c r="G84" s="20" t="n">
        <f aca="false">IF(OR(G$5&lt;=$B84,G$5&gt;Assumptions!$C$109),1000000000000,G36+G60-G$14)</f>
        <v>1000000000000</v>
      </c>
      <c r="H84" s="20" t="n">
        <f aca="false">IF(OR(H$5&lt;=$B84,H$5&gt;Assumptions!$C$109),1000000000000,H36+H60-H$14)</f>
        <v>1000000000000</v>
      </c>
      <c r="I84" s="20" t="n">
        <f aca="false">IF(OR(I$5&lt;=$B84,I$5&gt;Assumptions!$C$109),1000000000000,I36+I60-I$14)</f>
        <v>1000000000000</v>
      </c>
      <c r="J84" s="20" t="n">
        <f aca="false">IF(OR(J$5&lt;=$B84,J$5&gt;Assumptions!$C$109),1000000000000,J36+J60-J$14)</f>
        <v>1000000000000</v>
      </c>
      <c r="K84" s="20" t="n">
        <f aca="false">IF(OR(K$5&lt;=$B84,K$5&gt;Assumptions!$C$109),1000000000000,K36+K60-K$14)</f>
        <v>1000000000000</v>
      </c>
      <c r="L84" s="20" t="n">
        <f aca="false">IF(OR(L$5&lt;=$B84,L$5&gt;Assumptions!$C$109),1000000000000,L36+L60-L$14)</f>
        <v>1000000000000</v>
      </c>
      <c r="M84" s="20" t="n">
        <f aca="false">IF(OR(M$5&lt;=$B84,M$5&gt;Assumptions!$C$109),1000000000000,M36+M60-M$14)</f>
        <v>1000000000000</v>
      </c>
      <c r="N84" s="20" t="n">
        <f aca="false">IF(OR(N$5&lt;=$B84,N$5&gt;Assumptions!$C$109),1000000000000,N36+N60-N$14)</f>
        <v>1000000000000</v>
      </c>
      <c r="O84" s="20" t="n">
        <f aca="false">IF(OR(O$5&lt;=$B84,O$5&gt;Assumptions!$C$109),1000000000000,O36+O60-O$14)</f>
        <v>1000000000000</v>
      </c>
      <c r="P84" s="20" t="n">
        <f aca="false">IF(OR(P$5&lt;=$B84,P$5&gt;Assumptions!$C$109),1000000000000,P36+P60-P$14)</f>
        <v>1000000000000</v>
      </c>
      <c r="Q84" s="20" t="n">
        <f aca="false">IF(OR(Q$5&lt;=$B84,Q$5&gt;Assumptions!$C$109),1000000000000,Q36+Q60-Q$14)</f>
        <v>1000000000000</v>
      </c>
      <c r="R84" s="20" t="n">
        <f aca="false">IF(OR(R$5&lt;=$B84,R$5&gt;Assumptions!$C$109),1000000000000,R36+R60-R$14)</f>
        <v>2329192.10380589</v>
      </c>
      <c r="S84" s="20" t="n">
        <f aca="false">IF(OR(S$5&lt;=$B84,S$5&gt;Assumptions!$C$109),1000000000000,S36+S60-S$14)</f>
        <v>2490909.89751911</v>
      </c>
      <c r="T84" s="20" t="n">
        <f aca="false">IF(OR(T$5&lt;=$B84,T$5&gt;Assumptions!$C$109),1000000000000,T36+T60-T$14)</f>
        <v>2654762.13867362</v>
      </c>
      <c r="U84" s="20" t="n">
        <f aca="false">IF(OR(U$5&lt;=$B84,U$5&gt;Assumptions!$C$109),1000000000000,U36+U60-U$14)</f>
        <v>2819886.39586666</v>
      </c>
      <c r="V84" s="20" t="n">
        <f aca="false">IF(OR(V$5&lt;=$B84,V$5&gt;Assumptions!$C$109),1000000000000,V36+V60-V$14)</f>
        <v>3056236.69608614</v>
      </c>
      <c r="W84" s="20" t="n">
        <f aca="false">IF(OR(W$5&lt;=$B84,W$5&gt;Assumptions!$C$109),1000000000000,W36+W60-W$14)</f>
        <v>3259226.75050069</v>
      </c>
      <c r="X84" s="20" t="n">
        <f aca="false">IF(OR(X$5&lt;=$B84,X$5&gt;Assumptions!$C$109),1000000000000,X36+X60-X$14)</f>
        <v>3462444.33087281</v>
      </c>
      <c r="Y84" s="20" t="n">
        <f aca="false">IF(OR(Y$5&lt;=$B84,Y$5&gt;Assumptions!$C$109),1000000000000,Y36+Y60-Y$14)</f>
        <v>3664674.70960208</v>
      </c>
      <c r="Z84" s="20" t="n">
        <f aca="false">IF(OR(Z$5&lt;=$B84,Z$5&gt;Assumptions!$C$109),1000000000000,Z36+Z60-Z$14)</f>
        <v>1000000000000</v>
      </c>
      <c r="AA84" s="20" t="n">
        <f aca="false">IF(OR(AA$5&lt;=$B84,AA$5&gt;Assumptions!$C$109),1000000000000,AA36+AA60-AA$14)</f>
        <v>1000000000000</v>
      </c>
      <c r="AB84" s="20" t="n">
        <f aca="false">IF(OR(AB$5&lt;=$B84,AB$5&gt;Assumptions!$C$109),1000000000000,AB36+AB60-AB$14)</f>
        <v>1000000000000</v>
      </c>
      <c r="AC84" s="20" t="n">
        <f aca="false">IF(OR(AC$5&lt;=$B84,AC$5&gt;Assumptions!$C$109),1000000000000,AC36+AC60-AC$14)</f>
        <v>1000000000000</v>
      </c>
      <c r="AD84" s="20" t="n">
        <f aca="false">IF(OR(AD$5&lt;=$B84,AD$5&gt;Assumptions!$C$109),1000000000000,AD36+AD60-AD$14)</f>
        <v>1000000000000</v>
      </c>
      <c r="AE84" s="20" t="n">
        <f aca="false">IF(OR(AE$5&lt;=$B84,AE$5&gt;Assumptions!$C$109),1000000000000,AE36+AE60-AE$14)</f>
        <v>1000000000000</v>
      </c>
      <c r="AF84" s="20" t="n">
        <f aca="false">IF(OR(AF$5&lt;=$B84,AF$5&gt;Assumptions!$C$109),1000000000000,AF36+AF60-AF$14)</f>
        <v>1000000000000</v>
      </c>
    </row>
    <row r="85" customFormat="false" ht="15" hidden="false" customHeight="true" outlineLevel="0" collapsed="false">
      <c r="B85" s="67" t="n">
        <v>2041</v>
      </c>
      <c r="C85" s="20" t="n">
        <f aca="false">IF(OR(C$5&lt;=$B85,C$5&gt;Assumptions!$C$109),1000000000000,C37+C61-C$14)</f>
        <v>1000000000000</v>
      </c>
      <c r="D85" s="20" t="n">
        <f aca="false">IF(OR(D$5&lt;=$B85,D$5&gt;Assumptions!$C$109),1000000000000,D37+D61-D$14)</f>
        <v>1000000000000</v>
      </c>
      <c r="E85" s="20" t="n">
        <f aca="false">IF(OR(E$5&lt;=$B85,E$5&gt;Assumptions!$C$109),1000000000000,E37+E61-E$14)</f>
        <v>1000000000000</v>
      </c>
      <c r="F85" s="20" t="n">
        <f aca="false">IF(OR(F$5&lt;=$B85,F$5&gt;Assumptions!$C$109),1000000000000,F37+F61-F$14)</f>
        <v>1000000000000</v>
      </c>
      <c r="G85" s="20" t="n">
        <f aca="false">IF(OR(G$5&lt;=$B85,G$5&gt;Assumptions!$C$109),1000000000000,G37+G61-G$14)</f>
        <v>1000000000000</v>
      </c>
      <c r="H85" s="20" t="n">
        <f aca="false">IF(OR(H$5&lt;=$B85,H$5&gt;Assumptions!$C$109),1000000000000,H37+H61-H$14)</f>
        <v>1000000000000</v>
      </c>
      <c r="I85" s="20" t="n">
        <f aca="false">IF(OR(I$5&lt;=$B85,I$5&gt;Assumptions!$C$109),1000000000000,I37+I61-I$14)</f>
        <v>1000000000000</v>
      </c>
      <c r="J85" s="20" t="n">
        <f aca="false">IF(OR(J$5&lt;=$B85,J$5&gt;Assumptions!$C$109),1000000000000,J37+J61-J$14)</f>
        <v>1000000000000</v>
      </c>
      <c r="K85" s="20" t="n">
        <f aca="false">IF(OR(K$5&lt;=$B85,K$5&gt;Assumptions!$C$109),1000000000000,K37+K61-K$14)</f>
        <v>1000000000000</v>
      </c>
      <c r="L85" s="20" t="n">
        <f aca="false">IF(OR(L$5&lt;=$B85,L$5&gt;Assumptions!$C$109),1000000000000,L37+L61-L$14)</f>
        <v>1000000000000</v>
      </c>
      <c r="M85" s="20" t="n">
        <f aca="false">IF(OR(M$5&lt;=$B85,M$5&gt;Assumptions!$C$109),1000000000000,M37+M61-M$14)</f>
        <v>1000000000000</v>
      </c>
      <c r="N85" s="20" t="n">
        <f aca="false">IF(OR(N$5&lt;=$B85,N$5&gt;Assumptions!$C$109),1000000000000,N37+N61-N$14)</f>
        <v>1000000000000</v>
      </c>
      <c r="O85" s="20" t="n">
        <f aca="false">IF(OR(O$5&lt;=$B85,O$5&gt;Assumptions!$C$109),1000000000000,O37+O61-O$14)</f>
        <v>1000000000000</v>
      </c>
      <c r="P85" s="20" t="n">
        <f aca="false">IF(OR(P$5&lt;=$B85,P$5&gt;Assumptions!$C$109),1000000000000,P37+P61-P$14)</f>
        <v>1000000000000</v>
      </c>
      <c r="Q85" s="20" t="n">
        <f aca="false">IF(OR(Q$5&lt;=$B85,Q$5&gt;Assumptions!$C$109),1000000000000,Q37+Q61-Q$14)</f>
        <v>1000000000000</v>
      </c>
      <c r="R85" s="20" t="n">
        <f aca="false">IF(OR(R$5&lt;=$B85,R$5&gt;Assumptions!$C$109),1000000000000,R37+R61-R$14)</f>
        <v>1000000000000</v>
      </c>
      <c r="S85" s="20" t="n">
        <f aca="false">IF(OR(S$5&lt;=$B85,S$5&gt;Assumptions!$C$109),1000000000000,S37+S61-S$14)</f>
        <v>2599216.95457002</v>
      </c>
      <c r="T85" s="20" t="n">
        <f aca="false">IF(OR(T$5&lt;=$B85,T$5&gt;Assumptions!$C$109),1000000000000,T37+T61-T$14)</f>
        <v>2768790.56396653</v>
      </c>
      <c r="U85" s="20" t="n">
        <f aca="false">IF(OR(U$5&lt;=$B85,U$5&gt;Assumptions!$C$109),1000000000000,U37+U61-U$14)</f>
        <v>2939602.42690805</v>
      </c>
      <c r="V85" s="20" t="n">
        <f aca="false">IF(OR(V$5&lt;=$B85,V$5&gt;Assumptions!$C$109),1000000000000,V37+V61-V$14)</f>
        <v>3181571.28839342</v>
      </c>
      <c r="W85" s="20" t="n">
        <f aca="false">IF(OR(W$5&lt;=$B85,W$5&gt;Assumptions!$C$109),1000000000000,W37+W61-W$14)</f>
        <v>3390074.32637012</v>
      </c>
      <c r="X85" s="20" t="n">
        <f aca="false">IF(OR(X$5&lt;=$B85,X$5&gt;Assumptions!$C$109),1000000000000,X37+X61-X$14)</f>
        <v>3598661.89243034</v>
      </c>
      <c r="Y85" s="20" t="n">
        <f aca="false">IF(OR(Y$5&lt;=$B85,Y$5&gt;Assumptions!$C$109),1000000000000,Y37+Y61-Y$14)</f>
        <v>3806081.34839058</v>
      </c>
      <c r="Z85" s="20" t="n">
        <f aca="false">IF(OR(Z$5&lt;=$B85,Z$5&gt;Assumptions!$C$109),1000000000000,Z37+Z61-Z$14)</f>
        <v>1000000000000</v>
      </c>
      <c r="AA85" s="20" t="n">
        <f aca="false">IF(OR(AA$5&lt;=$B85,AA$5&gt;Assumptions!$C$109),1000000000000,AA37+AA61-AA$14)</f>
        <v>1000000000000</v>
      </c>
      <c r="AB85" s="20" t="n">
        <f aca="false">IF(OR(AB$5&lt;=$B85,AB$5&gt;Assumptions!$C$109),1000000000000,AB37+AB61-AB$14)</f>
        <v>1000000000000</v>
      </c>
      <c r="AC85" s="20" t="n">
        <f aca="false">IF(OR(AC$5&lt;=$B85,AC$5&gt;Assumptions!$C$109),1000000000000,AC37+AC61-AC$14)</f>
        <v>1000000000000</v>
      </c>
      <c r="AD85" s="20" t="n">
        <f aca="false">IF(OR(AD$5&lt;=$B85,AD$5&gt;Assumptions!$C$109),1000000000000,AD37+AD61-AD$14)</f>
        <v>1000000000000</v>
      </c>
      <c r="AE85" s="20" t="n">
        <f aca="false">IF(OR(AE$5&lt;=$B85,AE$5&gt;Assumptions!$C$109),1000000000000,AE37+AE61-AE$14)</f>
        <v>1000000000000</v>
      </c>
      <c r="AF85" s="20" t="n">
        <f aca="false">IF(OR(AF$5&lt;=$B85,AF$5&gt;Assumptions!$C$109),1000000000000,AF37+AF61-AF$14)</f>
        <v>1000000000000</v>
      </c>
    </row>
    <row r="86" customFormat="false" ht="15" hidden="false" customHeight="true" outlineLevel="0" collapsed="false">
      <c r="B86" s="67" t="n">
        <v>2042</v>
      </c>
      <c r="C86" s="20" t="n">
        <f aca="false">IF(OR(C$5&lt;=$B86,C$5&gt;Assumptions!$C$109),1000000000000,C38+C62-C$14)</f>
        <v>1000000000000</v>
      </c>
      <c r="D86" s="20" t="n">
        <f aca="false">IF(OR(D$5&lt;=$B86,D$5&gt;Assumptions!$C$109),1000000000000,D38+D62-D$14)</f>
        <v>1000000000000</v>
      </c>
      <c r="E86" s="20" t="n">
        <f aca="false">IF(OR(E$5&lt;=$B86,E$5&gt;Assumptions!$C$109),1000000000000,E38+E62-E$14)</f>
        <v>1000000000000</v>
      </c>
      <c r="F86" s="20" t="n">
        <f aca="false">IF(OR(F$5&lt;=$B86,F$5&gt;Assumptions!$C$109),1000000000000,F38+F62-F$14)</f>
        <v>1000000000000</v>
      </c>
      <c r="G86" s="20" t="n">
        <f aca="false">IF(OR(G$5&lt;=$B86,G$5&gt;Assumptions!$C$109),1000000000000,G38+G62-G$14)</f>
        <v>1000000000000</v>
      </c>
      <c r="H86" s="20" t="n">
        <f aca="false">IF(OR(H$5&lt;=$B86,H$5&gt;Assumptions!$C$109),1000000000000,H38+H62-H$14)</f>
        <v>1000000000000</v>
      </c>
      <c r="I86" s="20" t="n">
        <f aca="false">IF(OR(I$5&lt;=$B86,I$5&gt;Assumptions!$C$109),1000000000000,I38+I62-I$14)</f>
        <v>1000000000000</v>
      </c>
      <c r="J86" s="20" t="n">
        <f aca="false">IF(OR(J$5&lt;=$B86,J$5&gt;Assumptions!$C$109),1000000000000,J38+J62-J$14)</f>
        <v>1000000000000</v>
      </c>
      <c r="K86" s="20" t="n">
        <f aca="false">IF(OR(K$5&lt;=$B86,K$5&gt;Assumptions!$C$109),1000000000000,K38+K62-K$14)</f>
        <v>1000000000000</v>
      </c>
      <c r="L86" s="20" t="n">
        <f aca="false">IF(OR(L$5&lt;=$B86,L$5&gt;Assumptions!$C$109),1000000000000,L38+L62-L$14)</f>
        <v>1000000000000</v>
      </c>
      <c r="M86" s="20" t="n">
        <f aca="false">IF(OR(M$5&lt;=$B86,M$5&gt;Assumptions!$C$109),1000000000000,M38+M62-M$14)</f>
        <v>1000000000000</v>
      </c>
      <c r="N86" s="20" t="n">
        <f aca="false">IF(OR(N$5&lt;=$B86,N$5&gt;Assumptions!$C$109),1000000000000,N38+N62-N$14)</f>
        <v>1000000000000</v>
      </c>
      <c r="O86" s="20" t="n">
        <f aca="false">IF(OR(O$5&lt;=$B86,O$5&gt;Assumptions!$C$109),1000000000000,O38+O62-O$14)</f>
        <v>1000000000000</v>
      </c>
      <c r="P86" s="20" t="n">
        <f aca="false">IF(OR(P$5&lt;=$B86,P$5&gt;Assumptions!$C$109),1000000000000,P38+P62-P$14)</f>
        <v>1000000000000</v>
      </c>
      <c r="Q86" s="20" t="n">
        <f aca="false">IF(OR(Q$5&lt;=$B86,Q$5&gt;Assumptions!$C$109),1000000000000,Q38+Q62-Q$14)</f>
        <v>1000000000000</v>
      </c>
      <c r="R86" s="20" t="n">
        <f aca="false">IF(OR(R$5&lt;=$B86,R$5&gt;Assumptions!$C$109),1000000000000,R38+R62-R$14)</f>
        <v>1000000000000</v>
      </c>
      <c r="S86" s="20" t="n">
        <f aca="false">IF(OR(S$5&lt;=$B86,S$5&gt;Assumptions!$C$109),1000000000000,S38+S62-S$14)</f>
        <v>1000000000000</v>
      </c>
      <c r="T86" s="20" t="n">
        <f aca="false">IF(OR(T$5&lt;=$B86,T$5&gt;Assumptions!$C$109),1000000000000,T38+T62-T$14)</f>
        <v>2878949.85013237</v>
      </c>
      <c r="U86" s="20" t="n">
        <f aca="false">IF(OR(U$5&lt;=$B86,U$5&gt;Assumptions!$C$109),1000000000000,U38+U62-U$14)</f>
        <v>3055250.46498982</v>
      </c>
      <c r="V86" s="20" t="n">
        <f aca="false">IF(OR(V$5&lt;=$B86,V$5&gt;Assumptions!$C$109),1000000000000,V38+V62-V$14)</f>
        <v>3302640.8077129</v>
      </c>
      <c r="W86" s="20" t="n">
        <f aca="false">IF(OR(W$5&lt;=$B86,W$5&gt;Assumptions!$C$109),1000000000000,W38+W62-W$14)</f>
        <v>3516462.77629171</v>
      </c>
      <c r="X86" s="20" t="n">
        <f aca="false">IF(OR(X$5&lt;=$B86,X$5&gt;Assumptions!$C$109),1000000000000,X38+X62-X$14)</f>
        <v>3730230.59306833</v>
      </c>
      <c r="Y86" s="20" t="n">
        <f aca="false">IF(OR(Y$5&lt;=$B86,Y$5&gt;Assumptions!$C$109),1000000000000,Y38+Y62-Y$14)</f>
        <v>3942655.02456778</v>
      </c>
      <c r="Z86" s="20" t="n">
        <f aca="false">IF(OR(Z$5&lt;=$B86,Z$5&gt;Assumptions!$C$109),1000000000000,Z38+Z62-Z$14)</f>
        <v>1000000000000</v>
      </c>
      <c r="AA86" s="20" t="n">
        <f aca="false">IF(OR(AA$5&lt;=$B86,AA$5&gt;Assumptions!$C$109),1000000000000,AA38+AA62-AA$14)</f>
        <v>1000000000000</v>
      </c>
      <c r="AB86" s="20" t="n">
        <f aca="false">IF(OR(AB$5&lt;=$B86,AB$5&gt;Assumptions!$C$109),1000000000000,AB38+AB62-AB$14)</f>
        <v>1000000000000</v>
      </c>
      <c r="AC86" s="20" t="n">
        <f aca="false">IF(OR(AC$5&lt;=$B86,AC$5&gt;Assumptions!$C$109),1000000000000,AC38+AC62-AC$14)</f>
        <v>1000000000000</v>
      </c>
      <c r="AD86" s="20" t="n">
        <f aca="false">IF(OR(AD$5&lt;=$B86,AD$5&gt;Assumptions!$C$109),1000000000000,AD38+AD62-AD$14)</f>
        <v>1000000000000</v>
      </c>
      <c r="AE86" s="20" t="n">
        <f aca="false">IF(OR(AE$5&lt;=$B86,AE$5&gt;Assumptions!$C$109),1000000000000,AE38+AE62-AE$14)</f>
        <v>1000000000000</v>
      </c>
      <c r="AF86" s="20" t="n">
        <f aca="false">IF(OR(AF$5&lt;=$B86,AF$5&gt;Assumptions!$C$109),1000000000000,AF38+AF62-AF$14)</f>
        <v>1000000000000</v>
      </c>
    </row>
    <row r="87" customFormat="false" ht="15" hidden="false" customHeight="true" outlineLevel="0" collapsed="false">
      <c r="B87" s="67" t="n">
        <v>2043</v>
      </c>
      <c r="C87" s="20" t="n">
        <f aca="false">IF(OR(C$5&lt;=$B87,C$5&gt;Assumptions!$C$109),1000000000000,C39+C63-C$14)</f>
        <v>1000000000000</v>
      </c>
      <c r="D87" s="20" t="n">
        <f aca="false">IF(OR(D$5&lt;=$B87,D$5&gt;Assumptions!$C$109),1000000000000,D39+D63-D$14)</f>
        <v>1000000000000</v>
      </c>
      <c r="E87" s="20" t="n">
        <f aca="false">IF(OR(E$5&lt;=$B87,E$5&gt;Assumptions!$C$109),1000000000000,E39+E63-E$14)</f>
        <v>1000000000000</v>
      </c>
      <c r="F87" s="20" t="n">
        <f aca="false">IF(OR(F$5&lt;=$B87,F$5&gt;Assumptions!$C$109),1000000000000,F39+F63-F$14)</f>
        <v>1000000000000</v>
      </c>
      <c r="G87" s="20" t="n">
        <f aca="false">IF(OR(G$5&lt;=$B87,G$5&gt;Assumptions!$C$109),1000000000000,G39+G63-G$14)</f>
        <v>1000000000000</v>
      </c>
      <c r="H87" s="20" t="n">
        <f aca="false">IF(OR(H$5&lt;=$B87,H$5&gt;Assumptions!$C$109),1000000000000,H39+H63-H$14)</f>
        <v>1000000000000</v>
      </c>
      <c r="I87" s="20" t="n">
        <f aca="false">IF(OR(I$5&lt;=$B87,I$5&gt;Assumptions!$C$109),1000000000000,I39+I63-I$14)</f>
        <v>1000000000000</v>
      </c>
      <c r="J87" s="20" t="n">
        <f aca="false">IF(OR(J$5&lt;=$B87,J$5&gt;Assumptions!$C$109),1000000000000,J39+J63-J$14)</f>
        <v>1000000000000</v>
      </c>
      <c r="K87" s="20" t="n">
        <f aca="false">IF(OR(K$5&lt;=$B87,K$5&gt;Assumptions!$C$109),1000000000000,K39+K63-K$14)</f>
        <v>1000000000000</v>
      </c>
      <c r="L87" s="20" t="n">
        <f aca="false">IF(OR(L$5&lt;=$B87,L$5&gt;Assumptions!$C$109),1000000000000,L39+L63-L$14)</f>
        <v>1000000000000</v>
      </c>
      <c r="M87" s="20" t="n">
        <f aca="false">IF(OR(M$5&lt;=$B87,M$5&gt;Assumptions!$C$109),1000000000000,M39+M63-M$14)</f>
        <v>1000000000000</v>
      </c>
      <c r="N87" s="20" t="n">
        <f aca="false">IF(OR(N$5&lt;=$B87,N$5&gt;Assumptions!$C$109),1000000000000,N39+N63-N$14)</f>
        <v>1000000000000</v>
      </c>
      <c r="O87" s="20" t="n">
        <f aca="false">IF(OR(O$5&lt;=$B87,O$5&gt;Assumptions!$C$109),1000000000000,O39+O63-O$14)</f>
        <v>1000000000000</v>
      </c>
      <c r="P87" s="20" t="n">
        <f aca="false">IF(OR(P$5&lt;=$B87,P$5&gt;Assumptions!$C$109),1000000000000,P39+P63-P$14)</f>
        <v>1000000000000</v>
      </c>
      <c r="Q87" s="20" t="n">
        <f aca="false">IF(OR(Q$5&lt;=$B87,Q$5&gt;Assumptions!$C$109),1000000000000,Q39+Q63-Q$14)</f>
        <v>1000000000000</v>
      </c>
      <c r="R87" s="20" t="n">
        <f aca="false">IF(OR(R$5&lt;=$B87,R$5&gt;Assumptions!$C$109),1000000000000,R39+R63-R$14)</f>
        <v>1000000000000</v>
      </c>
      <c r="S87" s="20" t="n">
        <f aca="false">IF(OR(S$5&lt;=$B87,S$5&gt;Assumptions!$C$109),1000000000000,S39+S63-S$14)</f>
        <v>1000000000000</v>
      </c>
      <c r="T87" s="20" t="n">
        <f aca="false">IF(OR(T$5&lt;=$B87,T$5&gt;Assumptions!$C$109),1000000000000,T39+T63-T$14)</f>
        <v>1000000000000</v>
      </c>
      <c r="U87" s="20" t="n">
        <f aca="false">IF(OR(U$5&lt;=$B87,U$5&gt;Assumptions!$C$109),1000000000000,U39+U63-U$14)</f>
        <v>3167292.74661237</v>
      </c>
      <c r="V87" s="20" t="n">
        <f aca="false">IF(OR(V$5&lt;=$B87,V$5&gt;Assumptions!$C$109),1000000000000,V39+V63-V$14)</f>
        <v>3419929.55286657</v>
      </c>
      <c r="W87" s="20" t="n">
        <f aca="false">IF(OR(W$5&lt;=$B87,W$5&gt;Assumptions!$C$109),1000000000000,W39+W63-W$14)</f>
        <v>3638898.08729119</v>
      </c>
      <c r="X87" s="20" t="n">
        <f aca="false">IF(OR(X$5&lt;=$B87,X$5&gt;Assumptions!$C$109),1000000000000,X39+X63-X$14)</f>
        <v>3857677.58825636</v>
      </c>
      <c r="Y87" s="20" t="n">
        <f aca="false">IF(OR(Y$5&lt;=$B87,Y$5&gt;Assumptions!$C$109),1000000000000,Y39+Y63-Y$14)</f>
        <v>4074943.39429071</v>
      </c>
      <c r="Z87" s="20" t="n">
        <f aca="false">IF(OR(Z$5&lt;=$B87,Z$5&gt;Assumptions!$C$109),1000000000000,Z39+Z63-Z$14)</f>
        <v>1000000000000</v>
      </c>
      <c r="AA87" s="20" t="n">
        <f aca="false">IF(OR(AA$5&lt;=$B87,AA$5&gt;Assumptions!$C$109),1000000000000,AA39+AA63-AA$14)</f>
        <v>1000000000000</v>
      </c>
      <c r="AB87" s="20" t="n">
        <f aca="false">IF(OR(AB$5&lt;=$B87,AB$5&gt;Assumptions!$C$109),1000000000000,AB39+AB63-AB$14)</f>
        <v>1000000000000</v>
      </c>
      <c r="AC87" s="20" t="n">
        <f aca="false">IF(OR(AC$5&lt;=$B87,AC$5&gt;Assumptions!$C$109),1000000000000,AC39+AC63-AC$14)</f>
        <v>1000000000000</v>
      </c>
      <c r="AD87" s="20" t="n">
        <f aca="false">IF(OR(AD$5&lt;=$B87,AD$5&gt;Assumptions!$C$109),1000000000000,AD39+AD63-AD$14)</f>
        <v>1000000000000</v>
      </c>
      <c r="AE87" s="20" t="n">
        <f aca="false">IF(OR(AE$5&lt;=$B87,AE$5&gt;Assumptions!$C$109),1000000000000,AE39+AE63-AE$14)</f>
        <v>1000000000000</v>
      </c>
      <c r="AF87" s="20" t="n">
        <f aca="false">IF(OR(AF$5&lt;=$B87,AF$5&gt;Assumptions!$C$109),1000000000000,AF39+AF63-AF$14)</f>
        <v>1000000000000</v>
      </c>
    </row>
    <row r="88" customFormat="false" ht="15" hidden="false" customHeight="true" outlineLevel="0" collapsed="false">
      <c r="B88" s="67" t="n">
        <v>2044</v>
      </c>
      <c r="C88" s="20" t="n">
        <f aca="false">IF(OR(C$5&lt;=$B88,C$5&gt;Assumptions!$C$109),1000000000000,C40+C64-C$14)</f>
        <v>1000000000000</v>
      </c>
      <c r="D88" s="20" t="n">
        <f aca="false">IF(OR(D$5&lt;=$B88,D$5&gt;Assumptions!$C$109),1000000000000,D40+D64-D$14)</f>
        <v>1000000000000</v>
      </c>
      <c r="E88" s="20" t="n">
        <f aca="false">IF(OR(E$5&lt;=$B88,E$5&gt;Assumptions!$C$109),1000000000000,E40+E64-E$14)</f>
        <v>1000000000000</v>
      </c>
      <c r="F88" s="20" t="n">
        <f aca="false">IF(OR(F$5&lt;=$B88,F$5&gt;Assumptions!$C$109),1000000000000,F40+F64-F$14)</f>
        <v>1000000000000</v>
      </c>
      <c r="G88" s="20" t="n">
        <f aca="false">IF(OR(G$5&lt;=$B88,G$5&gt;Assumptions!$C$109),1000000000000,G40+G64-G$14)</f>
        <v>1000000000000</v>
      </c>
      <c r="H88" s="20" t="n">
        <f aca="false">IF(OR(H$5&lt;=$B88,H$5&gt;Assumptions!$C$109),1000000000000,H40+H64-H$14)</f>
        <v>1000000000000</v>
      </c>
      <c r="I88" s="20" t="n">
        <f aca="false">IF(OR(I$5&lt;=$B88,I$5&gt;Assumptions!$C$109),1000000000000,I40+I64-I$14)</f>
        <v>1000000000000</v>
      </c>
      <c r="J88" s="20" t="n">
        <f aca="false">IF(OR(J$5&lt;=$B88,J$5&gt;Assumptions!$C$109),1000000000000,J40+J64-J$14)</f>
        <v>1000000000000</v>
      </c>
      <c r="K88" s="20" t="n">
        <f aca="false">IF(OR(K$5&lt;=$B88,K$5&gt;Assumptions!$C$109),1000000000000,K40+K64-K$14)</f>
        <v>1000000000000</v>
      </c>
      <c r="L88" s="20" t="n">
        <f aca="false">IF(OR(L$5&lt;=$B88,L$5&gt;Assumptions!$C$109),1000000000000,L40+L64-L$14)</f>
        <v>1000000000000</v>
      </c>
      <c r="M88" s="20" t="n">
        <f aca="false">IF(OR(M$5&lt;=$B88,M$5&gt;Assumptions!$C$109),1000000000000,M40+M64-M$14)</f>
        <v>1000000000000</v>
      </c>
      <c r="N88" s="20" t="n">
        <f aca="false">IF(OR(N$5&lt;=$B88,N$5&gt;Assumptions!$C$109),1000000000000,N40+N64-N$14)</f>
        <v>1000000000000</v>
      </c>
      <c r="O88" s="20" t="n">
        <f aca="false">IF(OR(O$5&lt;=$B88,O$5&gt;Assumptions!$C$109),1000000000000,O40+O64-O$14)</f>
        <v>1000000000000</v>
      </c>
      <c r="P88" s="20" t="n">
        <f aca="false">IF(OR(P$5&lt;=$B88,P$5&gt;Assumptions!$C$109),1000000000000,P40+P64-P$14)</f>
        <v>1000000000000</v>
      </c>
      <c r="Q88" s="20" t="n">
        <f aca="false">IF(OR(Q$5&lt;=$B88,Q$5&gt;Assumptions!$C$109),1000000000000,Q40+Q64-Q$14)</f>
        <v>1000000000000</v>
      </c>
      <c r="R88" s="20" t="n">
        <f aca="false">IF(OR(R$5&lt;=$B88,R$5&gt;Assumptions!$C$109),1000000000000,R40+R64-R$14)</f>
        <v>1000000000000</v>
      </c>
      <c r="S88" s="20" t="n">
        <f aca="false">IF(OR(S$5&lt;=$B88,S$5&gt;Assumptions!$C$109),1000000000000,S40+S64-S$14)</f>
        <v>1000000000000</v>
      </c>
      <c r="T88" s="20" t="n">
        <f aca="false">IF(OR(T$5&lt;=$B88,T$5&gt;Assumptions!$C$109),1000000000000,T40+T64-T$14)</f>
        <v>1000000000000</v>
      </c>
      <c r="U88" s="20" t="n">
        <f aca="false">IF(OR(U$5&lt;=$B88,U$5&gt;Assumptions!$C$109),1000000000000,U40+U64-U$14)</f>
        <v>1000000000000</v>
      </c>
      <c r="V88" s="20" t="n">
        <f aca="false">IF(OR(V$5&lt;=$B88,V$5&gt;Assumptions!$C$109),1000000000000,V40+V64-V$14)</f>
        <v>3533886.08604965</v>
      </c>
      <c r="W88" s="20" t="n">
        <f aca="false">IF(OR(W$5&lt;=$B88,W$5&gt;Assumptions!$C$109),1000000000000,W40+W64-W$14)</f>
        <v>3757848.86814884</v>
      </c>
      <c r="X88" s="20" t="n">
        <f aca="false">IF(OR(X$5&lt;=$B88,X$5&gt;Assumptions!$C$109),1000000000000,X40+X64-X$14)</f>
        <v>3981491.04844812</v>
      </c>
      <c r="Y88" s="20" t="n">
        <f aca="false">IF(OR(Y$5&lt;=$B88,Y$5&gt;Assumptions!$C$109),1000000000000,Y40+Y64-Y$14)</f>
        <v>4203453.5678602</v>
      </c>
      <c r="Z88" s="20" t="n">
        <f aca="false">IF(OR(Z$5&lt;=$B88,Z$5&gt;Assumptions!$C$109),1000000000000,Z40+Z64-Z$14)</f>
        <v>1000000000000</v>
      </c>
      <c r="AA88" s="20" t="n">
        <f aca="false">IF(OR(AA$5&lt;=$B88,AA$5&gt;Assumptions!$C$109),1000000000000,AA40+AA64-AA$14)</f>
        <v>1000000000000</v>
      </c>
      <c r="AB88" s="20" t="n">
        <f aca="false">IF(OR(AB$5&lt;=$B88,AB$5&gt;Assumptions!$C$109),1000000000000,AB40+AB64-AB$14)</f>
        <v>1000000000000</v>
      </c>
      <c r="AC88" s="20" t="n">
        <f aca="false">IF(OR(AC$5&lt;=$B88,AC$5&gt;Assumptions!$C$109),1000000000000,AC40+AC64-AC$14)</f>
        <v>1000000000000</v>
      </c>
      <c r="AD88" s="20" t="n">
        <f aca="false">IF(OR(AD$5&lt;=$B88,AD$5&gt;Assumptions!$C$109),1000000000000,AD40+AD64-AD$14)</f>
        <v>1000000000000</v>
      </c>
      <c r="AE88" s="20" t="n">
        <f aca="false">IF(OR(AE$5&lt;=$B88,AE$5&gt;Assumptions!$C$109),1000000000000,AE40+AE64-AE$14)</f>
        <v>1000000000000</v>
      </c>
      <c r="AF88" s="20" t="n">
        <f aca="false">IF(OR(AF$5&lt;=$B88,AF$5&gt;Assumptions!$C$109),1000000000000,AF40+AF64-AF$14)</f>
        <v>1000000000000</v>
      </c>
    </row>
    <row r="89" customFormat="false" ht="15" hidden="false" customHeight="true" outlineLevel="0" collapsed="false">
      <c r="B89" s="67" t="n">
        <v>2045</v>
      </c>
      <c r="C89" s="20" t="n">
        <f aca="false">IF(OR(C$5&lt;=$B89,C$5&gt;Assumptions!$C$109),1000000000000,C41+C65-C$14)</f>
        <v>1000000000000</v>
      </c>
      <c r="D89" s="20" t="n">
        <f aca="false">IF(OR(D$5&lt;=$B89,D$5&gt;Assumptions!$C$109),1000000000000,D41+D65-D$14)</f>
        <v>1000000000000</v>
      </c>
      <c r="E89" s="20" t="n">
        <f aca="false">IF(OR(E$5&lt;=$B89,E$5&gt;Assumptions!$C$109),1000000000000,E41+E65-E$14)</f>
        <v>1000000000000</v>
      </c>
      <c r="F89" s="20" t="n">
        <f aca="false">IF(OR(F$5&lt;=$B89,F$5&gt;Assumptions!$C$109),1000000000000,F41+F65-F$14)</f>
        <v>1000000000000</v>
      </c>
      <c r="G89" s="20" t="n">
        <f aca="false">IF(OR(G$5&lt;=$B89,G$5&gt;Assumptions!$C$109),1000000000000,G41+G65-G$14)</f>
        <v>1000000000000</v>
      </c>
      <c r="H89" s="20" t="n">
        <f aca="false">IF(OR(H$5&lt;=$B89,H$5&gt;Assumptions!$C$109),1000000000000,H41+H65-H$14)</f>
        <v>1000000000000</v>
      </c>
      <c r="I89" s="20" t="n">
        <f aca="false">IF(OR(I$5&lt;=$B89,I$5&gt;Assumptions!$C$109),1000000000000,I41+I65-I$14)</f>
        <v>1000000000000</v>
      </c>
      <c r="J89" s="20" t="n">
        <f aca="false">IF(OR(J$5&lt;=$B89,J$5&gt;Assumptions!$C$109),1000000000000,J41+J65-J$14)</f>
        <v>1000000000000</v>
      </c>
      <c r="K89" s="20" t="n">
        <f aca="false">IF(OR(K$5&lt;=$B89,K$5&gt;Assumptions!$C$109),1000000000000,K41+K65-K$14)</f>
        <v>1000000000000</v>
      </c>
      <c r="L89" s="20" t="n">
        <f aca="false">IF(OR(L$5&lt;=$B89,L$5&gt;Assumptions!$C$109),1000000000000,L41+L65-L$14)</f>
        <v>1000000000000</v>
      </c>
      <c r="M89" s="20" t="n">
        <f aca="false">IF(OR(M$5&lt;=$B89,M$5&gt;Assumptions!$C$109),1000000000000,M41+M65-M$14)</f>
        <v>1000000000000</v>
      </c>
      <c r="N89" s="20" t="n">
        <f aca="false">IF(OR(N$5&lt;=$B89,N$5&gt;Assumptions!$C$109),1000000000000,N41+N65-N$14)</f>
        <v>1000000000000</v>
      </c>
      <c r="O89" s="20" t="n">
        <f aca="false">IF(OR(O$5&lt;=$B89,O$5&gt;Assumptions!$C$109),1000000000000,O41+O65-O$14)</f>
        <v>1000000000000</v>
      </c>
      <c r="P89" s="20" t="n">
        <f aca="false">IF(OR(P$5&lt;=$B89,P$5&gt;Assumptions!$C$109),1000000000000,P41+P65-P$14)</f>
        <v>1000000000000</v>
      </c>
      <c r="Q89" s="20" t="n">
        <f aca="false">IF(OR(Q$5&lt;=$B89,Q$5&gt;Assumptions!$C$109),1000000000000,Q41+Q65-Q$14)</f>
        <v>1000000000000</v>
      </c>
      <c r="R89" s="20" t="n">
        <f aca="false">IF(OR(R$5&lt;=$B89,R$5&gt;Assumptions!$C$109),1000000000000,R41+R65-R$14)</f>
        <v>1000000000000</v>
      </c>
      <c r="S89" s="20" t="n">
        <f aca="false">IF(OR(S$5&lt;=$B89,S$5&gt;Assumptions!$C$109),1000000000000,S41+S65-S$14)</f>
        <v>1000000000000</v>
      </c>
      <c r="T89" s="20" t="n">
        <f aca="false">IF(OR(T$5&lt;=$B89,T$5&gt;Assumptions!$C$109),1000000000000,T41+T65-T$14)</f>
        <v>1000000000000</v>
      </c>
      <c r="U89" s="20" t="n">
        <f aca="false">IF(OR(U$5&lt;=$B89,U$5&gt;Assumptions!$C$109),1000000000000,U41+U65-U$14)</f>
        <v>1000000000000</v>
      </c>
      <c r="V89" s="20" t="n">
        <f aca="false">IF(OR(V$5&lt;=$B89,V$5&gt;Assumptions!$C$109),1000000000000,V41+V65-V$14)</f>
        <v>1000000000000</v>
      </c>
      <c r="W89" s="20" t="n">
        <f aca="false">IF(OR(W$5&lt;=$B89,W$5&gt;Assumptions!$C$109),1000000000000,W41+W65-W$14)</f>
        <v>3873751.4060422</v>
      </c>
      <c r="X89" s="20" t="n">
        <f aca="false">IF(OR(X$5&lt;=$B89,X$5&gt;Assumptions!$C$109),1000000000000,X41+X65-X$14)</f>
        <v>4102125.42969555</v>
      </c>
      <c r="Y89" s="20" t="n">
        <f aca="false">IF(OR(Y$5&lt;=$B89,Y$5&gt;Assumptions!$C$109),1000000000000,Y41+Y65-Y$14)</f>
        <v>4328657.58782456</v>
      </c>
      <c r="Z89" s="20" t="n">
        <f aca="false">IF(OR(Z$5&lt;=$B89,Z$5&gt;Assumptions!$C$109),1000000000000,Z41+Z65-Z$14)</f>
        <v>1000000000000</v>
      </c>
      <c r="AA89" s="20" t="n">
        <f aca="false">IF(OR(AA$5&lt;=$B89,AA$5&gt;Assumptions!$C$109),1000000000000,AA41+AA65-AA$14)</f>
        <v>1000000000000</v>
      </c>
      <c r="AB89" s="20" t="n">
        <f aca="false">IF(OR(AB$5&lt;=$B89,AB$5&gt;Assumptions!$C$109),1000000000000,AB41+AB65-AB$14)</f>
        <v>1000000000000</v>
      </c>
      <c r="AC89" s="20" t="n">
        <f aca="false">IF(OR(AC$5&lt;=$B89,AC$5&gt;Assumptions!$C$109),1000000000000,AC41+AC65-AC$14)</f>
        <v>1000000000000</v>
      </c>
      <c r="AD89" s="20" t="n">
        <f aca="false">IF(OR(AD$5&lt;=$B89,AD$5&gt;Assumptions!$C$109),1000000000000,AD41+AD65-AD$14)</f>
        <v>1000000000000</v>
      </c>
      <c r="AE89" s="20" t="n">
        <f aca="false">IF(OR(AE$5&lt;=$B89,AE$5&gt;Assumptions!$C$109),1000000000000,AE41+AE65-AE$14)</f>
        <v>1000000000000</v>
      </c>
      <c r="AF89" s="20" t="n">
        <f aca="false">IF(OR(AF$5&lt;=$B89,AF$5&gt;Assumptions!$C$109),1000000000000,AF41+AF65-AF$14)</f>
        <v>1000000000000</v>
      </c>
    </row>
    <row r="91" customFormat="false" ht="15" hidden="false" customHeight="true" outlineLevel="0" collapsed="false">
      <c r="A91" s="30" t="s">
        <v>497</v>
      </c>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customFormat="false" ht="32.25" hidden="false" customHeight="true" outlineLevel="0" collapsed="false">
      <c r="B92" s="68" t="s">
        <v>59</v>
      </c>
      <c r="C92" s="68" t="s">
        <v>61</v>
      </c>
      <c r="D92" s="68" t="s">
        <v>498</v>
      </c>
      <c r="E92" s="68" t="s">
        <v>499</v>
      </c>
      <c r="F92" s="68" t="s">
        <v>500</v>
      </c>
      <c r="G92" s="68" t="s">
        <v>501</v>
      </c>
      <c r="H92" s="68" t="s">
        <v>502</v>
      </c>
      <c r="I92" s="68" t="s">
        <v>503</v>
      </c>
      <c r="J92" s="68" t="s">
        <v>504</v>
      </c>
      <c r="K92" s="68" t="s">
        <v>505</v>
      </c>
      <c r="L92" s="68" t="s">
        <v>506</v>
      </c>
      <c r="M92" s="68" t="s">
        <v>507</v>
      </c>
      <c r="N92" s="68" t="s">
        <v>508</v>
      </c>
    </row>
    <row r="93" customFormat="false" ht="15" hidden="false" customHeight="true" outlineLevel="0" collapsed="false">
      <c r="B93" s="67" t="n">
        <v>2026</v>
      </c>
      <c r="C93" s="32" t="n">
        <f aca="false">Assumptions!$D$24+$B93-Assumptions!$C$6</f>
        <v>44</v>
      </c>
      <c r="D93" s="20" t="n">
        <f aca="false">INDEX(Scen_3rd_Child!$C$80:$AF$80,MATCH($B93,Scen_3rd_Child!$C$5:$AF$5,0))</f>
        <v>302223.8</v>
      </c>
      <c r="E93" s="20" t="n">
        <f aca="false">INDEX(Scen_3rd_Child!$C$31:$AF$31,MATCH($B93,Scen_3rd_Child!$C$5:$AF$5,0))*Assumptions!$C$111/12+Assumptions!$C$112*INDEX(Assumptions!$C$9:$AF$9,MATCH($B93,Assumptions!$C$6:$AF$6,0))</f>
        <v>225400</v>
      </c>
      <c r="F93" s="63" t="n">
        <f aca="false">IF($D93&gt;=$E93,1,0)</f>
        <v>1</v>
      </c>
      <c r="G93" s="20" t="n">
        <f aca="false">MIN($C70:$AF70)</f>
        <v>-81849.9871907483</v>
      </c>
      <c r="H93" s="18" t="n">
        <f aca="false">IF($G93&gt;=1000000000000,"n/a",INDEX($C$5:$AF$5,MATCH($G93,$C70:$AF70,0)))</f>
        <v>2031</v>
      </c>
      <c r="I93" s="63" t="n">
        <f aca="false">IF($G93&gt;=0,1,0)</f>
        <v>0</v>
      </c>
      <c r="J93" s="20" t="n">
        <f aca="false">INDEX(Scen_3rd_Child!$C$74:$AF$74,MATCH($B93,Scen_3rd_Child!$C$5:$AF$5,0))*INDEX(Returns!$C$16:$AF$16,MATCH(Assumptions!$C$109,Returns!$C$5:$AF$5,0))/INDEX(Returns!$C$16:$AF$16,MATCH($B93,Returns!$C$5:$AF$5,0))+INDEX(Returns!$C$16:$AF$16,MATCH(Assumptions!$C$109,Returns!$C$5:$AF$5,0))*(INDEX(Returns!$C$22:$AF$22,MATCH(Assumptions!$C$109,Returns!$C$5:$AF$5,0))-INDEX(Returns!$C$22:$AF$22,MATCH($B93,Returns!$C$5:$AF$5,0)))+INDEX(Scen_3rd_Child!$C$78:$AF$78,MATCH($B93,Scen_3rd_Child!$C$5:$AF$5,0))*INDEX(Returns!$C$17:$AF$17,MATCH(Assumptions!$C$109,Returns!$C$5:$AF$5,0))/INDEX(Returns!$C$17:$AF$17,MATCH($B93,Returns!$C$5:$AF$5,0))</f>
        <v>7588996.94130212</v>
      </c>
      <c r="K93" s="20" t="n">
        <f aca="false">INDEX(Scen_3rd_Child!$C$33:$AF$33,MATCH(Assumptions!$C$109,Scen_3rd_Child!$C$5:$AF$5,0))/Assumptions!$C$113/(1-Assumptions!$C$114)</f>
        <v>2764385.21000312</v>
      </c>
      <c r="L93" s="63" t="n">
        <f aca="false">IF($J93&gt;=$K93,1,0)</f>
        <v>1</v>
      </c>
      <c r="M93" s="66" t="n">
        <f aca="false">MIN($F93,$I93,$L93)</f>
        <v>0</v>
      </c>
      <c r="N93" s="66" t="n">
        <f aca="false">MIN($M93:$M$112)</f>
        <v>0</v>
      </c>
    </row>
    <row r="94" customFormat="false" ht="15" hidden="false" customHeight="true" outlineLevel="0" collapsed="false">
      <c r="B94" s="67" t="n">
        <v>2027</v>
      </c>
      <c r="C94" s="32" t="n">
        <f aca="false">Assumptions!$D$24+$B94-Assumptions!$C$6</f>
        <v>45</v>
      </c>
      <c r="D94" s="20" t="n">
        <f aca="false">INDEX(Scen_3rd_Child!$C$80:$AF$80,MATCH($B94,Scen_3rd_Child!$C$5:$AF$5,0))</f>
        <v>341447.268885496</v>
      </c>
      <c r="E94" s="20" t="n">
        <f aca="false">INDEX(Scen_3rd_Child!$C$31:$AF$31,MATCH($B94,Scen_3rd_Child!$C$5:$AF$5,0))*Assumptions!$C$111/12+Assumptions!$C$112*INDEX(Assumptions!$C$9:$AF$9,MATCH($B94,Assumptions!$C$6:$AF$6,0))</f>
        <v>237536</v>
      </c>
      <c r="F94" s="63" t="n">
        <f aca="false">IF($D94&gt;=$E94,1,0)</f>
        <v>1</v>
      </c>
      <c r="G94" s="20" t="n">
        <f aca="false">MIN($C71:$AF71)</f>
        <v>31108.9145050288</v>
      </c>
      <c r="H94" s="18" t="n">
        <f aca="false">IF($G94&gt;=1000000000000,"n/a",INDEX($C$5:$AF$5,MATCH($G94,$C71:$AF71,0)))</f>
        <v>2031</v>
      </c>
      <c r="I94" s="63" t="n">
        <f aca="false">IF($G94&gt;=0,1,0)</f>
        <v>1</v>
      </c>
      <c r="J94" s="20" t="n">
        <f aca="false">INDEX(Scen_3rd_Child!$C$74:$AF$74,MATCH($B94,Scen_3rd_Child!$C$5:$AF$5,0))*INDEX(Returns!$C$16:$AF$16,MATCH(Assumptions!$C$109,Returns!$C$5:$AF$5,0))/INDEX(Returns!$C$16:$AF$16,MATCH($B94,Returns!$C$5:$AF$5,0))+INDEX(Returns!$C$16:$AF$16,MATCH(Assumptions!$C$109,Returns!$C$5:$AF$5,0))*(INDEX(Returns!$C$22:$AF$22,MATCH(Assumptions!$C$109,Returns!$C$5:$AF$5,0))-INDEX(Returns!$C$22:$AF$22,MATCH($B94,Returns!$C$5:$AF$5,0)))+INDEX(Scen_3rd_Child!$C$78:$AF$78,MATCH($B94,Scen_3rd_Child!$C$5:$AF$5,0))*INDEX(Returns!$C$17:$AF$17,MATCH(Assumptions!$C$109,Returns!$C$5:$AF$5,0))/INDEX(Returns!$C$17:$AF$17,MATCH($B94,Returns!$C$5:$AF$5,0))</f>
        <v>7904816.37815527</v>
      </c>
      <c r="K94" s="20" t="n">
        <f aca="false">INDEX(Scen_3rd_Child!$C$33:$AF$33,MATCH(Assumptions!$C$109,Scen_3rd_Child!$C$5:$AF$5,0))/Assumptions!$C$113/(1-Assumptions!$C$114)</f>
        <v>2764385.21000312</v>
      </c>
      <c r="L94" s="63" t="n">
        <f aca="false">IF($J94&gt;=$K94,1,0)</f>
        <v>1</v>
      </c>
      <c r="M94" s="66" t="n">
        <f aca="false">MIN($F94,$I94,$L94)</f>
        <v>1</v>
      </c>
      <c r="N94" s="66" t="n">
        <f aca="false">MIN($M94:$M$112)</f>
        <v>1</v>
      </c>
    </row>
    <row r="95" customFormat="false" ht="15" hidden="false" customHeight="true" outlineLevel="0" collapsed="false">
      <c r="B95" s="67" t="n">
        <v>2028</v>
      </c>
      <c r="C95" s="32" t="n">
        <f aca="false">Assumptions!$D$24+$B95-Assumptions!$C$6</f>
        <v>46</v>
      </c>
      <c r="D95" s="20" t="n">
        <f aca="false">INDEX(Scen_3rd_Child!$C$80:$AF$80,MATCH($B95,Scen_3rd_Child!$C$5:$AF$5,0))</f>
        <v>378426.982520813</v>
      </c>
      <c r="E95" s="20" t="n">
        <f aca="false">INDEX(Scen_3rd_Child!$C$31:$AF$31,MATCH($B95,Scen_3rd_Child!$C$5:$AF$5,0))*Assumptions!$C$111/12+Assumptions!$C$112*INDEX(Assumptions!$C$9:$AF$9,MATCH($B95,Assumptions!$C$6:$AF$6,0))</f>
        <v>250282.24</v>
      </c>
      <c r="F95" s="63" t="n">
        <f aca="false">IF($D95&gt;=$E95,1,0)</f>
        <v>1</v>
      </c>
      <c r="G95" s="20" t="n">
        <f aca="false">MIN($C72:$AF72)</f>
        <v>147716.262180299</v>
      </c>
      <c r="H95" s="18" t="n">
        <f aca="false">IF($G95&gt;=1000000000000,"n/a",INDEX($C$5:$AF$5,MATCH($G95,$C72:$AF72,0)))</f>
        <v>2031</v>
      </c>
      <c r="I95" s="63" t="n">
        <f aca="false">IF($G95&gt;=0,1,0)</f>
        <v>1</v>
      </c>
      <c r="J95" s="20" t="n">
        <f aca="false">INDEX(Scen_3rd_Child!$C$74:$AF$74,MATCH($B95,Scen_3rd_Child!$C$5:$AF$5,0))*INDEX(Returns!$C$16:$AF$16,MATCH(Assumptions!$C$109,Returns!$C$5:$AF$5,0))/INDEX(Returns!$C$16:$AF$16,MATCH($B95,Returns!$C$5:$AF$5,0))+INDEX(Returns!$C$16:$AF$16,MATCH(Assumptions!$C$109,Returns!$C$5:$AF$5,0))*(INDEX(Returns!$C$22:$AF$22,MATCH(Assumptions!$C$109,Returns!$C$5:$AF$5,0))-INDEX(Returns!$C$22:$AF$22,MATCH($B95,Returns!$C$5:$AF$5,0)))+INDEX(Scen_3rd_Child!$C$78:$AF$78,MATCH($B95,Scen_3rd_Child!$C$5:$AF$5,0))*INDEX(Returns!$C$17:$AF$17,MATCH(Assumptions!$C$109,Returns!$C$5:$AF$5,0))/INDEX(Returns!$C$17:$AF$17,MATCH($B95,Returns!$C$5:$AF$5,0))</f>
        <v>8148575.27330385</v>
      </c>
      <c r="K95" s="20" t="n">
        <f aca="false">INDEX(Scen_3rd_Child!$C$33:$AF$33,MATCH(Assumptions!$C$109,Scen_3rd_Child!$C$5:$AF$5,0))/Assumptions!$C$113/(1-Assumptions!$C$114)</f>
        <v>2764385.21000312</v>
      </c>
      <c r="L95" s="63" t="n">
        <f aca="false">IF($J95&gt;=$K95,1,0)</f>
        <v>1</v>
      </c>
      <c r="M95" s="66" t="n">
        <f aca="false">MIN($F95,$I95,$L95)</f>
        <v>1</v>
      </c>
      <c r="N95" s="66" t="n">
        <f aca="false">MIN($M95:$M$112)</f>
        <v>1</v>
      </c>
    </row>
    <row r="96" customFormat="false" ht="15" hidden="false" customHeight="true" outlineLevel="0" collapsed="false">
      <c r="B96" s="67" t="n">
        <v>2029</v>
      </c>
      <c r="C96" s="32" t="n">
        <f aca="false">Assumptions!$D$24+$B96-Assumptions!$C$6</f>
        <v>47</v>
      </c>
      <c r="D96" s="20" t="n">
        <f aca="false">INDEX(Scen_3rd_Child!$C$80:$AF$80,MATCH($B96,Scen_3rd_Child!$C$5:$AF$5,0))</f>
        <v>423092.815822478</v>
      </c>
      <c r="E96" s="20" t="n">
        <f aca="false">INDEX(Scen_3rd_Child!$C$31:$AF$31,MATCH($B96,Scen_3rd_Child!$C$5:$AF$5,0))*Assumptions!$C$111/12+Assumptions!$C$112*INDEX(Assumptions!$C$9:$AF$9,MATCH($B96,Assumptions!$C$6:$AF$6,0))</f>
        <v>255287.8848</v>
      </c>
      <c r="F96" s="63" t="n">
        <f aca="false">IF($D96&gt;=$E96,1,0)</f>
        <v>1</v>
      </c>
      <c r="G96" s="20" t="n">
        <f aca="false">MIN($C73:$AF73)</f>
        <v>243074.649744299</v>
      </c>
      <c r="H96" s="18" t="n">
        <f aca="false">IF($G96&gt;=1000000000000,"n/a",INDEX($C$5:$AF$5,MATCH($G96,$C73:$AF73,0)))</f>
        <v>2031</v>
      </c>
      <c r="I96" s="63" t="n">
        <f aca="false">IF($G96&gt;=0,1,0)</f>
        <v>1</v>
      </c>
      <c r="J96" s="20" t="n">
        <f aca="false">INDEX(Scen_3rd_Child!$C$74:$AF$74,MATCH($B96,Scen_3rd_Child!$C$5:$AF$5,0))*INDEX(Returns!$C$16:$AF$16,MATCH(Assumptions!$C$109,Returns!$C$5:$AF$5,0))/INDEX(Returns!$C$16:$AF$16,MATCH($B96,Returns!$C$5:$AF$5,0))+INDEX(Returns!$C$16:$AF$16,MATCH(Assumptions!$C$109,Returns!$C$5:$AF$5,0))*(INDEX(Returns!$C$22:$AF$22,MATCH(Assumptions!$C$109,Returns!$C$5:$AF$5,0))-INDEX(Returns!$C$22:$AF$22,MATCH($B96,Returns!$C$5:$AF$5,0)))+INDEX(Scen_3rd_Child!$C$78:$AF$78,MATCH($B96,Scen_3rd_Child!$C$5:$AF$5,0))*INDEX(Returns!$C$17:$AF$17,MATCH(Assumptions!$C$109,Returns!$C$5:$AF$5,0))/INDEX(Returns!$C$17:$AF$17,MATCH($B96,Returns!$C$5:$AF$5,0))</f>
        <v>8454195.95074808</v>
      </c>
      <c r="K96" s="20" t="n">
        <f aca="false">INDEX(Scen_3rd_Child!$C$33:$AF$33,MATCH(Assumptions!$C$109,Scen_3rd_Child!$C$5:$AF$5,0))/Assumptions!$C$113/(1-Assumptions!$C$114)</f>
        <v>2764385.21000312</v>
      </c>
      <c r="L96" s="63" t="n">
        <f aca="false">IF($J96&gt;=$K96,1,0)</f>
        <v>1</v>
      </c>
      <c r="M96" s="66" t="n">
        <f aca="false">MIN($F96,$I96,$L96)</f>
        <v>1</v>
      </c>
      <c r="N96" s="66" t="n">
        <f aca="false">MIN($M96:$M$112)</f>
        <v>1</v>
      </c>
    </row>
    <row r="97" customFormat="false" ht="15" hidden="false" customHeight="true" outlineLevel="0" collapsed="false">
      <c r="B97" s="67" t="n">
        <v>2030</v>
      </c>
      <c r="C97" s="32" t="n">
        <f aca="false">Assumptions!$D$24+$B97-Assumptions!$C$6</f>
        <v>48</v>
      </c>
      <c r="D97" s="20" t="n">
        <f aca="false">INDEX(Scen_3rd_Child!$C$80:$AF$80,MATCH($B97,Scen_3rd_Child!$C$5:$AF$5,0))</f>
        <v>480040.314931477</v>
      </c>
      <c r="E97" s="20" t="n">
        <f aca="false">INDEX(Scen_3rd_Child!$C$31:$AF$31,MATCH($B97,Scen_3rd_Child!$C$5:$AF$5,0))*Assumptions!$C$111/12+Assumptions!$C$112*INDEX(Assumptions!$C$9:$AF$9,MATCH($B97,Assumptions!$C$6:$AF$6,0))</f>
        <v>260393.642496</v>
      </c>
      <c r="F97" s="63" t="n">
        <f aca="false">IF($D97&gt;=$E97,1,0)</f>
        <v>1</v>
      </c>
      <c r="G97" s="20" t="n">
        <f aca="false">MIN($C74:$AF74)</f>
        <v>332180.946251435</v>
      </c>
      <c r="H97" s="18" t="n">
        <f aca="false">IF($G97&gt;=1000000000000,"n/a",INDEX($C$5:$AF$5,MATCH($G97,$C74:$AF74,0)))</f>
        <v>2031</v>
      </c>
      <c r="I97" s="63" t="n">
        <f aca="false">IF($G97&gt;=0,1,0)</f>
        <v>1</v>
      </c>
      <c r="J97" s="20" t="n">
        <f aca="false">INDEX(Scen_3rd_Child!$C$74:$AF$74,MATCH($B97,Scen_3rd_Child!$C$5:$AF$5,0))*INDEX(Returns!$C$16:$AF$16,MATCH(Assumptions!$C$109,Returns!$C$5:$AF$5,0))/INDEX(Returns!$C$16:$AF$16,MATCH($B97,Returns!$C$5:$AF$5,0))+INDEX(Returns!$C$16:$AF$16,MATCH(Assumptions!$C$109,Returns!$C$5:$AF$5,0))*(INDEX(Returns!$C$22:$AF$22,MATCH(Assumptions!$C$109,Returns!$C$5:$AF$5,0))-INDEX(Returns!$C$22:$AF$22,MATCH($B97,Returns!$C$5:$AF$5,0)))+INDEX(Scen_3rd_Child!$C$78:$AF$78,MATCH($B97,Scen_3rd_Child!$C$5:$AF$5,0))*INDEX(Returns!$C$17:$AF$17,MATCH(Assumptions!$C$109,Returns!$C$5:$AF$5,0))/INDEX(Returns!$C$17:$AF$17,MATCH($B97,Returns!$C$5:$AF$5,0))</f>
        <v>8746900.59325437</v>
      </c>
      <c r="K97" s="20" t="n">
        <f aca="false">INDEX(Scen_3rd_Child!$C$33:$AF$33,MATCH(Assumptions!$C$109,Scen_3rd_Child!$C$5:$AF$5,0))/Assumptions!$C$113/(1-Assumptions!$C$114)</f>
        <v>2764385.21000312</v>
      </c>
      <c r="L97" s="63" t="n">
        <f aca="false">IF($J97&gt;=$K97,1,0)</f>
        <v>1</v>
      </c>
      <c r="M97" s="66" t="n">
        <f aca="false">MIN($F97,$I97,$L97)</f>
        <v>1</v>
      </c>
      <c r="N97" s="66" t="n">
        <f aca="false">MIN($M97:$M$112)</f>
        <v>1</v>
      </c>
    </row>
    <row r="98" customFormat="false" ht="15" hidden="false" customHeight="true" outlineLevel="0" collapsed="false">
      <c r="B98" s="67" t="n">
        <v>2031</v>
      </c>
      <c r="C98" s="32" t="n">
        <f aca="false">Assumptions!$D$24+$B98-Assumptions!$C$6</f>
        <v>49</v>
      </c>
      <c r="D98" s="20" t="n">
        <f aca="false">INDEX(Scen_3rd_Child!$C$80:$AF$80,MATCH($B98,Scen_3rd_Child!$C$5:$AF$5,0))</f>
        <v>554761.883232299</v>
      </c>
      <c r="E98" s="20" t="n">
        <f aca="false">INDEX(Scen_3rd_Child!$C$31:$AF$31,MATCH($B98,Scen_3rd_Child!$C$5:$AF$5,0))*Assumptions!$C$111/12+Assumptions!$C$112*INDEX(Assumptions!$C$9:$AF$9,MATCH($B98,Assumptions!$C$6:$AF$6,0))</f>
        <v>253205.24755968</v>
      </c>
      <c r="F98" s="63" t="n">
        <f aca="false">IF($D98&gt;=$E98,1,0)</f>
        <v>1</v>
      </c>
      <c r="G98" s="20" t="n">
        <f aca="false">MIN($C75:$AF75)</f>
        <v>469091.760706691</v>
      </c>
      <c r="H98" s="18" t="n">
        <f aca="false">IF($G98&gt;=1000000000000,"n/a",INDEX($C$5:$AF$5,MATCH($G98,$C75:$AF75,0)))</f>
        <v>2032</v>
      </c>
      <c r="I98" s="63" t="n">
        <f aca="false">IF($G98&gt;=0,1,0)</f>
        <v>1</v>
      </c>
      <c r="J98" s="20" t="n">
        <f aca="false">INDEX(Scen_3rd_Child!$C$74:$AF$74,MATCH($B98,Scen_3rd_Child!$C$5:$AF$5,0))*INDEX(Returns!$C$16:$AF$16,MATCH(Assumptions!$C$109,Returns!$C$5:$AF$5,0))/INDEX(Returns!$C$16:$AF$16,MATCH($B98,Returns!$C$5:$AF$5,0))+INDEX(Returns!$C$16:$AF$16,MATCH(Assumptions!$C$109,Returns!$C$5:$AF$5,0))*(INDEX(Returns!$C$22:$AF$22,MATCH(Assumptions!$C$109,Returns!$C$5:$AF$5,0))-INDEX(Returns!$C$22:$AF$22,MATCH($B98,Returns!$C$5:$AF$5,0)))+INDEX(Scen_3rd_Child!$C$78:$AF$78,MATCH($B98,Scen_3rd_Child!$C$5:$AF$5,0))*INDEX(Returns!$C$17:$AF$17,MATCH(Assumptions!$C$109,Returns!$C$5:$AF$5,0))/INDEX(Returns!$C$17:$AF$17,MATCH($B98,Returns!$C$5:$AF$5,0))</f>
        <v>9023343.86673254</v>
      </c>
      <c r="K98" s="20" t="n">
        <f aca="false">INDEX(Scen_3rd_Child!$C$33:$AF$33,MATCH(Assumptions!$C$109,Scen_3rd_Child!$C$5:$AF$5,0))/Assumptions!$C$113/(1-Assumptions!$C$114)</f>
        <v>2764385.21000312</v>
      </c>
      <c r="L98" s="63" t="n">
        <f aca="false">IF($J98&gt;=$K98,1,0)</f>
        <v>1</v>
      </c>
      <c r="M98" s="66" t="n">
        <f aca="false">MIN($F98,$I98,$L98)</f>
        <v>1</v>
      </c>
      <c r="N98" s="66" t="n">
        <f aca="false">MIN($M98:$M$112)</f>
        <v>1</v>
      </c>
    </row>
    <row r="99" customFormat="false" ht="15" hidden="false" customHeight="true" outlineLevel="0" collapsed="false">
      <c r="B99" s="67" t="n">
        <v>2032</v>
      </c>
      <c r="C99" s="32" t="n">
        <f aca="false">Assumptions!$D$24+$B99-Assumptions!$C$6</f>
        <v>50</v>
      </c>
      <c r="D99" s="20" t="n">
        <f aca="false">INDEX(Scen_3rd_Child!$C$80:$AF$80,MATCH($B99,Scen_3rd_Child!$C$5:$AF$5,0))</f>
        <v>670835.930143242</v>
      </c>
      <c r="E99" s="20" t="n">
        <f aca="false">INDEX(Scen_3rd_Child!$C$31:$AF$31,MATCH($B99,Scen_3rd_Child!$C$5:$AF$5,0))*Assumptions!$C$111/12+Assumptions!$C$112*INDEX(Assumptions!$C$9:$AF$9,MATCH($B99,Assumptions!$C$6:$AF$6,0))</f>
        <v>232980.966226944</v>
      </c>
      <c r="F99" s="63" t="n">
        <f aca="false">IF($D99&gt;=$E99,1,0)</f>
        <v>1</v>
      </c>
      <c r="G99" s="20" t="n">
        <f aca="false">MIN($C76:$AF76)</f>
        <v>591579.55346304</v>
      </c>
      <c r="H99" s="18" t="n">
        <f aca="false">IF($G99&gt;=1000000000000,"n/a",INDEX($C$5:$AF$5,MATCH($G99,$C76:$AF76,0)))</f>
        <v>2033</v>
      </c>
      <c r="I99" s="63" t="n">
        <f aca="false">IF($G99&gt;=0,1,0)</f>
        <v>1</v>
      </c>
      <c r="J99" s="20" t="n">
        <f aca="false">INDEX(Scen_3rd_Child!$C$74:$AF$74,MATCH($B99,Scen_3rd_Child!$C$5:$AF$5,0))*INDEX(Returns!$C$16:$AF$16,MATCH(Assumptions!$C$109,Returns!$C$5:$AF$5,0))/INDEX(Returns!$C$16:$AF$16,MATCH($B99,Returns!$C$5:$AF$5,0))+INDEX(Returns!$C$16:$AF$16,MATCH(Assumptions!$C$109,Returns!$C$5:$AF$5,0))*(INDEX(Returns!$C$22:$AF$22,MATCH(Assumptions!$C$109,Returns!$C$5:$AF$5,0))-INDEX(Returns!$C$22:$AF$22,MATCH($B99,Returns!$C$5:$AF$5,0)))+INDEX(Scen_3rd_Child!$C$78:$AF$78,MATCH($B99,Scen_3rd_Child!$C$5:$AF$5,0))*INDEX(Returns!$C$17:$AF$17,MATCH(Assumptions!$C$109,Returns!$C$5:$AF$5,0))/INDEX(Returns!$C$17:$AF$17,MATCH($B99,Returns!$C$5:$AF$5,0))</f>
        <v>9284429.18057304</v>
      </c>
      <c r="K99" s="20" t="n">
        <f aca="false">INDEX(Scen_3rd_Child!$C$33:$AF$33,MATCH(Assumptions!$C$109,Scen_3rd_Child!$C$5:$AF$5,0))/Assumptions!$C$113/(1-Assumptions!$C$114)</f>
        <v>2764385.21000312</v>
      </c>
      <c r="L99" s="63" t="n">
        <f aca="false">IF($J99&gt;=$K99,1,0)</f>
        <v>1</v>
      </c>
      <c r="M99" s="66" t="n">
        <f aca="false">MIN($F99,$I99,$L99)</f>
        <v>1</v>
      </c>
      <c r="N99" s="66" t="n">
        <f aca="false">MIN($M99:$M$112)</f>
        <v>1</v>
      </c>
    </row>
    <row r="100" customFormat="false" ht="15" hidden="false" customHeight="true" outlineLevel="0" collapsed="false">
      <c r="B100" s="67" t="n">
        <v>2033</v>
      </c>
      <c r="C100" s="32" t="n">
        <f aca="false">Assumptions!$D$24+$B100-Assumptions!$C$6</f>
        <v>51</v>
      </c>
      <c r="D100" s="20" t="n">
        <f aca="false">INDEX(Scen_3rd_Child!$C$80:$AF$80,MATCH($B100,Scen_3rd_Child!$C$5:$AF$5,0))</f>
        <v>797358.606288323</v>
      </c>
      <c r="E100" s="20" t="n">
        <f aca="false">INDEX(Scen_3rd_Child!$C$31:$AF$31,MATCH($B100,Scen_3rd_Child!$C$5:$AF$5,0))*Assumptions!$C$111/12+Assumptions!$C$112*INDEX(Assumptions!$C$9:$AF$9,MATCH($B100,Assumptions!$C$6:$AF$6,0))</f>
        <v>237640.585551483</v>
      </c>
      <c r="F100" s="63" t="n">
        <f aca="false">IF($D100&gt;=$E100,1,0)</f>
        <v>1</v>
      </c>
      <c r="G100" s="20" t="n">
        <f aca="false">MIN($C77:$AF77)</f>
        <v>778112.458881597</v>
      </c>
      <c r="H100" s="18" t="n">
        <f aca="false">IF($G100&gt;=1000000000000,"n/a",INDEX($C$5:$AF$5,MATCH($G100,$C77:$AF77,0)))</f>
        <v>2034</v>
      </c>
      <c r="I100" s="63" t="n">
        <f aca="false">IF($G100&gt;=0,1,0)</f>
        <v>1</v>
      </c>
      <c r="J100" s="20" t="n">
        <f aca="false">INDEX(Scen_3rd_Child!$C$74:$AF$74,MATCH($B100,Scen_3rd_Child!$C$5:$AF$5,0))*INDEX(Returns!$C$16:$AF$16,MATCH(Assumptions!$C$109,Returns!$C$5:$AF$5,0))/INDEX(Returns!$C$16:$AF$16,MATCH($B100,Returns!$C$5:$AF$5,0))+INDEX(Returns!$C$16:$AF$16,MATCH(Assumptions!$C$109,Returns!$C$5:$AF$5,0))*(INDEX(Returns!$C$22:$AF$22,MATCH(Assumptions!$C$109,Returns!$C$5:$AF$5,0))-INDEX(Returns!$C$22:$AF$22,MATCH($B100,Returns!$C$5:$AF$5,0)))+INDEX(Scen_3rd_Child!$C$78:$AF$78,MATCH($B100,Scen_3rd_Child!$C$5:$AF$5,0))*INDEX(Returns!$C$17:$AF$17,MATCH(Assumptions!$C$109,Returns!$C$5:$AF$5,0))/INDEX(Returns!$C$17:$AF$17,MATCH($B100,Returns!$C$5:$AF$5,0))</f>
        <v>9531393.09220905</v>
      </c>
      <c r="K100" s="20" t="n">
        <f aca="false">INDEX(Scen_3rd_Child!$C$33:$AF$33,MATCH(Assumptions!$C$109,Scen_3rd_Child!$C$5:$AF$5,0))/Assumptions!$C$113/(1-Assumptions!$C$114)</f>
        <v>2764385.21000312</v>
      </c>
      <c r="L100" s="63" t="n">
        <f aca="false">IF($J100&gt;=$K100,1,0)</f>
        <v>1</v>
      </c>
      <c r="M100" s="66" t="n">
        <f aca="false">MIN($F100,$I100,$L100)</f>
        <v>1</v>
      </c>
      <c r="N100" s="66" t="n">
        <f aca="false">MIN($M100:$M$112)</f>
        <v>1</v>
      </c>
    </row>
    <row r="101" customFormat="false" ht="15" hidden="false" customHeight="true" outlineLevel="0" collapsed="false">
      <c r="B101" s="67" t="n">
        <v>2034</v>
      </c>
      <c r="C101" s="32" t="n">
        <f aca="false">Assumptions!$D$24+$B101-Assumptions!$C$6</f>
        <v>52</v>
      </c>
      <c r="D101" s="20" t="n">
        <f aca="false">INDEX(Scen_3rd_Child!$C$80:$AF$80,MATCH($B101,Scen_3rd_Child!$C$5:$AF$5,0))</f>
        <v>966082.061855219</v>
      </c>
      <c r="E101" s="20" t="n">
        <f aca="false">INDEX(Scen_3rd_Child!$C$31:$AF$31,MATCH($B101,Scen_3rd_Child!$C$5:$AF$5,0))*Assumptions!$C$111/12+Assumptions!$C$112*INDEX(Assumptions!$C$9:$AF$9,MATCH($B101,Assumptions!$C$6:$AF$6,0))</f>
        <v>220468.366354346</v>
      </c>
      <c r="F101" s="63" t="n">
        <f aca="false">IF($D101&gt;=$E101,1,0)</f>
        <v>1</v>
      </c>
      <c r="G101" s="20" t="n">
        <f aca="false">MIN($C78:$AF78)</f>
        <v>957691.930294573</v>
      </c>
      <c r="H101" s="18" t="n">
        <f aca="false">IF($G101&gt;=1000000000000,"n/a",INDEX($C$5:$AF$5,MATCH($G101,$C78:$AF78,0)))</f>
        <v>2035</v>
      </c>
      <c r="I101" s="63" t="n">
        <f aca="false">IF($G101&gt;=0,1,0)</f>
        <v>1</v>
      </c>
      <c r="J101" s="20" t="n">
        <f aca="false">INDEX(Scen_3rd_Child!$C$74:$AF$74,MATCH($B101,Scen_3rd_Child!$C$5:$AF$5,0))*INDEX(Returns!$C$16:$AF$16,MATCH(Assumptions!$C$109,Returns!$C$5:$AF$5,0))/INDEX(Returns!$C$16:$AF$16,MATCH($B101,Returns!$C$5:$AF$5,0))+INDEX(Returns!$C$16:$AF$16,MATCH(Assumptions!$C$109,Returns!$C$5:$AF$5,0))*(INDEX(Returns!$C$22:$AF$22,MATCH(Assumptions!$C$109,Returns!$C$5:$AF$5,0))-INDEX(Returns!$C$22:$AF$22,MATCH($B101,Returns!$C$5:$AF$5,0)))+INDEX(Scen_3rd_Child!$C$78:$AF$78,MATCH($B101,Scen_3rd_Child!$C$5:$AF$5,0))*INDEX(Returns!$C$17:$AF$17,MATCH(Assumptions!$C$109,Returns!$C$5:$AF$5,0))/INDEX(Returns!$C$17:$AF$17,MATCH($B101,Returns!$C$5:$AF$5,0))</f>
        <v>9765364.91353827</v>
      </c>
      <c r="K101" s="20" t="n">
        <f aca="false">INDEX(Scen_3rd_Child!$C$33:$AF$33,MATCH(Assumptions!$C$109,Scen_3rd_Child!$C$5:$AF$5,0))/Assumptions!$C$113/(1-Assumptions!$C$114)</f>
        <v>2764385.21000312</v>
      </c>
      <c r="L101" s="63" t="n">
        <f aca="false">IF($J101&gt;=$K101,1,0)</f>
        <v>1</v>
      </c>
      <c r="M101" s="66" t="n">
        <f aca="false">MIN($F101,$I101,$L101)</f>
        <v>1</v>
      </c>
      <c r="N101" s="66" t="n">
        <f aca="false">MIN($M101:$M$112)</f>
        <v>1</v>
      </c>
    </row>
    <row r="102" customFormat="false" ht="15" hidden="false" customHeight="true" outlineLevel="0" collapsed="false">
      <c r="B102" s="67" t="n">
        <v>2035</v>
      </c>
      <c r="C102" s="32" t="n">
        <f aca="false">Assumptions!$D$24+$B102-Assumptions!$C$6</f>
        <v>53</v>
      </c>
      <c r="D102" s="20" t="n">
        <f aca="false">INDEX(Scen_3rd_Child!$C$80:$AF$80,MATCH($B102,Scen_3rd_Child!$C$5:$AF$5,0))</f>
        <v>1149420.92532767</v>
      </c>
      <c r="E102" s="20" t="n">
        <f aca="false">INDEX(Scen_3rd_Child!$C$31:$AF$31,MATCH($B102,Scen_3rd_Child!$C$5:$AF$5,0))*Assumptions!$C$111/12+Assumptions!$C$112*INDEX(Assumptions!$C$9:$AF$9,MATCH($B102,Assumptions!$C$6:$AF$6,0))</f>
        <v>224877.733681433</v>
      </c>
      <c r="F102" s="63" t="n">
        <f aca="false">IF($D102&gt;=$E102,1,0)</f>
        <v>1</v>
      </c>
      <c r="G102" s="20" t="n">
        <f aca="false">MIN($C79:$AF79)</f>
        <v>1152939.42938129</v>
      </c>
      <c r="H102" s="18" t="n">
        <f aca="false">IF($G102&gt;=1000000000000,"n/a",INDEX($C$5:$AF$5,MATCH($G102,$C79:$AF79,0)))</f>
        <v>2036</v>
      </c>
      <c r="I102" s="63" t="n">
        <f aca="false">IF($G102&gt;=0,1,0)</f>
        <v>1</v>
      </c>
      <c r="J102" s="20" t="n">
        <f aca="false">INDEX(Scen_3rd_Child!$C$74:$AF$74,MATCH($B102,Scen_3rd_Child!$C$5:$AF$5,0))*INDEX(Returns!$C$16:$AF$16,MATCH(Assumptions!$C$109,Returns!$C$5:$AF$5,0))/INDEX(Returns!$C$16:$AF$16,MATCH($B102,Returns!$C$5:$AF$5,0))+INDEX(Returns!$C$16:$AF$16,MATCH(Assumptions!$C$109,Returns!$C$5:$AF$5,0))*(INDEX(Returns!$C$22:$AF$22,MATCH(Assumptions!$C$109,Returns!$C$5:$AF$5,0))-INDEX(Returns!$C$22:$AF$22,MATCH($B102,Returns!$C$5:$AF$5,0)))+INDEX(Scen_3rd_Child!$C$78:$AF$78,MATCH($B102,Scen_3rd_Child!$C$5:$AF$5,0))*INDEX(Returns!$C$17:$AF$17,MATCH(Assumptions!$C$109,Returns!$C$5:$AF$5,0))/INDEX(Returns!$C$17:$AF$17,MATCH($B102,Returns!$C$5:$AF$5,0))</f>
        <v>9987378.4817868</v>
      </c>
      <c r="K102" s="20" t="n">
        <f aca="false">INDEX(Scen_3rd_Child!$C$33:$AF$33,MATCH(Assumptions!$C$109,Scen_3rd_Child!$C$5:$AF$5,0))/Assumptions!$C$113/(1-Assumptions!$C$114)</f>
        <v>2764385.21000312</v>
      </c>
      <c r="L102" s="63" t="n">
        <f aca="false">IF($J102&gt;=$K102,1,0)</f>
        <v>1</v>
      </c>
      <c r="M102" s="66" t="n">
        <f aca="false">MIN($F102,$I102,$L102)</f>
        <v>1</v>
      </c>
      <c r="N102" s="66" t="n">
        <f aca="false">MIN($M102:$M$112)</f>
        <v>1</v>
      </c>
    </row>
    <row r="103" customFormat="false" ht="15" hidden="false" customHeight="true" outlineLevel="0" collapsed="false">
      <c r="B103" s="67" t="n">
        <v>2036</v>
      </c>
      <c r="C103" s="32" t="n">
        <f aca="false">Assumptions!$D$24+$B103-Assumptions!$C$6</f>
        <v>54</v>
      </c>
      <c r="D103" s="20" t="n">
        <f aca="false">INDEX(Scen_3rd_Child!$C$80:$AF$80,MATCH($B103,Scen_3rd_Child!$C$5:$AF$5,0))</f>
        <v>1348503.00431505</v>
      </c>
      <c r="E103" s="20" t="n">
        <f aca="false">INDEX(Scen_3rd_Child!$C$31:$AF$31,MATCH($B103,Scen_3rd_Child!$C$5:$AF$5,0))*Assumptions!$C$111/12+Assumptions!$C$112*INDEX(Assumptions!$C$9:$AF$9,MATCH($B103,Assumptions!$C$6:$AF$6,0))</f>
        <v>229375.288355061</v>
      </c>
      <c r="F103" s="63" t="n">
        <f aca="false">IF($D103&gt;=$E103,1,0)</f>
        <v>1</v>
      </c>
      <c r="G103" s="20" t="n">
        <f aca="false">MIN($C80:$AF80)</f>
        <v>1363043.75617873</v>
      </c>
      <c r="H103" s="18" t="n">
        <f aca="false">IF($G103&gt;=1000000000000,"n/a",INDEX($C$5:$AF$5,MATCH($G103,$C80:$AF80,0)))</f>
        <v>2037</v>
      </c>
      <c r="I103" s="63" t="n">
        <f aca="false">IF($G103&gt;=0,1,0)</f>
        <v>1</v>
      </c>
      <c r="J103" s="20" t="n">
        <f aca="false">INDEX(Scen_3rd_Child!$C$74:$AF$74,MATCH($B103,Scen_3rd_Child!$C$5:$AF$5,0))*INDEX(Returns!$C$16:$AF$16,MATCH(Assumptions!$C$109,Returns!$C$5:$AF$5,0))/INDEX(Returns!$C$16:$AF$16,MATCH($B103,Returns!$C$5:$AF$5,0))+INDEX(Returns!$C$16:$AF$16,MATCH(Assumptions!$C$109,Returns!$C$5:$AF$5,0))*(INDEX(Returns!$C$22:$AF$22,MATCH(Assumptions!$C$109,Returns!$C$5:$AF$5,0))-INDEX(Returns!$C$22:$AF$22,MATCH($B103,Returns!$C$5:$AF$5,0)))+INDEX(Scen_3rd_Child!$C$78:$AF$78,MATCH($B103,Scen_3rd_Child!$C$5:$AF$5,0))*INDEX(Returns!$C$17:$AF$17,MATCH(Assumptions!$C$109,Returns!$C$5:$AF$5,0))/INDEX(Returns!$C$17:$AF$17,MATCH($B103,Returns!$C$5:$AF$5,0))</f>
        <v>10198382.5385238</v>
      </c>
      <c r="K103" s="20" t="n">
        <f aca="false">INDEX(Scen_3rd_Child!$C$33:$AF$33,MATCH(Assumptions!$C$109,Scen_3rd_Child!$C$5:$AF$5,0))/Assumptions!$C$113/(1-Assumptions!$C$114)</f>
        <v>2764385.21000312</v>
      </c>
      <c r="L103" s="63" t="n">
        <f aca="false">IF($J103&gt;=$K103,1,0)</f>
        <v>1</v>
      </c>
      <c r="M103" s="66" t="n">
        <f aca="false">MIN($F103,$I103,$L103)</f>
        <v>1</v>
      </c>
      <c r="N103" s="66" t="n">
        <f aca="false">MIN($M103:$M$112)</f>
        <v>1</v>
      </c>
    </row>
    <row r="104" customFormat="false" ht="15" hidden="false" customHeight="true" outlineLevel="0" collapsed="false">
      <c r="B104" s="67" t="n">
        <v>2037</v>
      </c>
      <c r="C104" s="32" t="n">
        <f aca="false">Assumptions!$D$24+$B104-Assumptions!$C$6</f>
        <v>55</v>
      </c>
      <c r="D104" s="20" t="n">
        <f aca="false">INDEX(Scen_3rd_Child!$C$80:$AF$80,MATCH($B104,Scen_3rd_Child!$C$5:$AF$5,0))</f>
        <v>1562518.60261116</v>
      </c>
      <c r="E104" s="20" t="n">
        <f aca="false">INDEX(Scen_3rd_Child!$C$31:$AF$31,MATCH($B104,Scen_3rd_Child!$C$5:$AF$5,0))*Assumptions!$C$111/12+Assumptions!$C$112*INDEX(Assumptions!$C$9:$AF$9,MATCH($B104,Assumptions!$C$6:$AF$6,0))</f>
        <v>233962.794122162</v>
      </c>
      <c r="F104" s="63" t="n">
        <f aca="false">IF($D104&gt;=$E104,1,0)</f>
        <v>1</v>
      </c>
      <c r="G104" s="20" t="n">
        <f aca="false">MIN($C81:$AF81)</f>
        <v>1586166.79281793</v>
      </c>
      <c r="H104" s="18" t="n">
        <f aca="false">IF($G104&gt;=1000000000000,"n/a",INDEX($C$5:$AF$5,MATCH($G104,$C81:$AF81,0)))</f>
        <v>2038</v>
      </c>
      <c r="I104" s="63" t="n">
        <f aca="false">IF($G104&gt;=0,1,0)</f>
        <v>1</v>
      </c>
      <c r="J104" s="20" t="n">
        <f aca="false">INDEX(Scen_3rd_Child!$C$74:$AF$74,MATCH($B104,Scen_3rd_Child!$C$5:$AF$5,0))*INDEX(Returns!$C$16:$AF$16,MATCH(Assumptions!$C$109,Returns!$C$5:$AF$5,0))/INDEX(Returns!$C$16:$AF$16,MATCH($B104,Returns!$C$5:$AF$5,0))+INDEX(Returns!$C$16:$AF$16,MATCH(Assumptions!$C$109,Returns!$C$5:$AF$5,0))*(INDEX(Returns!$C$22:$AF$22,MATCH(Assumptions!$C$109,Returns!$C$5:$AF$5,0))-INDEX(Returns!$C$22:$AF$22,MATCH($B104,Returns!$C$5:$AF$5,0)))+INDEX(Scen_3rd_Child!$C$78:$AF$78,MATCH($B104,Scen_3rd_Child!$C$5:$AF$5,0))*INDEX(Returns!$C$17:$AF$17,MATCH(Assumptions!$C$109,Returns!$C$5:$AF$5,0))/INDEX(Returns!$C$17:$AF$17,MATCH($B104,Returns!$C$5:$AF$5,0))</f>
        <v>10399249.9072016</v>
      </c>
      <c r="K104" s="20" t="n">
        <f aca="false">INDEX(Scen_3rd_Child!$C$33:$AF$33,MATCH(Assumptions!$C$109,Scen_3rd_Child!$C$5:$AF$5,0))/Assumptions!$C$113/(1-Assumptions!$C$114)</f>
        <v>2764385.21000312</v>
      </c>
      <c r="L104" s="63" t="n">
        <f aca="false">IF($J104&gt;=$K104,1,0)</f>
        <v>1</v>
      </c>
      <c r="M104" s="66" t="n">
        <f aca="false">MIN($F104,$I104,$L104)</f>
        <v>1</v>
      </c>
      <c r="N104" s="66" t="n">
        <f aca="false">MIN($M104:$M$112)</f>
        <v>1</v>
      </c>
    </row>
    <row r="105" customFormat="false" ht="15" hidden="false" customHeight="true" outlineLevel="0" collapsed="false">
      <c r="B105" s="67" t="n">
        <v>2038</v>
      </c>
      <c r="C105" s="32" t="n">
        <f aca="false">Assumptions!$D$24+$B105-Assumptions!$C$6</f>
        <v>56</v>
      </c>
      <c r="D105" s="20" t="n">
        <f aca="false">INDEX(Scen_3rd_Child!$C$80:$AF$80,MATCH($B105,Scen_3rd_Child!$C$5:$AF$5,0))</f>
        <v>1789631.13617901</v>
      </c>
      <c r="E105" s="20" t="n">
        <f aca="false">INDEX(Scen_3rd_Child!$C$31:$AF$31,MATCH($B105,Scen_3rd_Child!$C$5:$AF$5,0))*Assumptions!$C$111/12+Assumptions!$C$112*INDEX(Assumptions!$C$9:$AF$9,MATCH($B105,Assumptions!$C$6:$AF$6,0))</f>
        <v>238642.050004606</v>
      </c>
      <c r="F105" s="63" t="n">
        <f aca="false">IF($D105&gt;=$E105,1,0)</f>
        <v>1</v>
      </c>
      <c r="G105" s="20" t="n">
        <f aca="false">MIN($C82:$AF82)</f>
        <v>1821933.6250031</v>
      </c>
      <c r="H105" s="18" t="n">
        <f aca="false">IF($G105&gt;=1000000000000,"n/a",INDEX($C$5:$AF$5,MATCH($G105,$C82:$AF82,0)))</f>
        <v>2039</v>
      </c>
      <c r="I105" s="63" t="n">
        <f aca="false">IF($G105&gt;=0,1,0)</f>
        <v>1</v>
      </c>
      <c r="J105" s="20" t="n">
        <f aca="false">INDEX(Scen_3rd_Child!$C$74:$AF$74,MATCH($B105,Scen_3rd_Child!$C$5:$AF$5,0))*INDEX(Returns!$C$16:$AF$16,MATCH(Assumptions!$C$109,Returns!$C$5:$AF$5,0))/INDEX(Returns!$C$16:$AF$16,MATCH($B105,Returns!$C$5:$AF$5,0))+INDEX(Returns!$C$16:$AF$16,MATCH(Assumptions!$C$109,Returns!$C$5:$AF$5,0))*(INDEX(Returns!$C$22:$AF$22,MATCH(Assumptions!$C$109,Returns!$C$5:$AF$5,0))-INDEX(Returns!$C$22:$AF$22,MATCH($B105,Returns!$C$5:$AF$5,0)))+INDEX(Scen_3rd_Child!$C$78:$AF$78,MATCH($B105,Scen_3rd_Child!$C$5:$AF$5,0))*INDEX(Returns!$C$17:$AF$17,MATCH(Assumptions!$C$109,Returns!$C$5:$AF$5,0))/INDEX(Returns!$C$17:$AF$17,MATCH($B105,Returns!$C$5:$AF$5,0))</f>
        <v>10590785.6326792</v>
      </c>
      <c r="K105" s="20" t="n">
        <f aca="false">INDEX(Scen_3rd_Child!$C$33:$AF$33,MATCH(Assumptions!$C$109,Scen_3rd_Child!$C$5:$AF$5,0))/Assumptions!$C$113/(1-Assumptions!$C$114)</f>
        <v>2764385.21000312</v>
      </c>
      <c r="L105" s="63" t="n">
        <f aca="false">IF($J105&gt;=$K105,1,0)</f>
        <v>1</v>
      </c>
      <c r="M105" s="66" t="n">
        <f aca="false">MIN($F105,$I105,$L105)</f>
        <v>1</v>
      </c>
      <c r="N105" s="66" t="n">
        <f aca="false">MIN($M105:$M$112)</f>
        <v>1</v>
      </c>
    </row>
    <row r="106" customFormat="false" ht="15" hidden="false" customHeight="true" outlineLevel="0" collapsed="false">
      <c r="B106" s="67" t="n">
        <v>2039</v>
      </c>
      <c r="C106" s="32" t="n">
        <f aca="false">Assumptions!$D$24+$B106-Assumptions!$C$6</f>
        <v>57</v>
      </c>
      <c r="D106" s="20" t="n">
        <f aca="false">INDEX(Scen_3rd_Child!$C$80:$AF$80,MATCH($B106,Scen_3rd_Child!$C$5:$AF$5,0))</f>
        <v>2029467.2552314</v>
      </c>
      <c r="E106" s="20" t="n">
        <f aca="false">INDEX(Scen_3rd_Child!$C$31:$AF$31,MATCH($B106,Scen_3rd_Child!$C$5:$AF$5,0))*Assumptions!$C$111/12+Assumptions!$C$112*INDEX(Assumptions!$C$9:$AF$9,MATCH($B106,Assumptions!$C$6:$AF$6,0))</f>
        <v>243414.891004698</v>
      </c>
      <c r="F106" s="63" t="n">
        <f aca="false">IF($D106&gt;=$E106,1,0)</f>
        <v>1</v>
      </c>
      <c r="G106" s="20" t="n">
        <f aca="false">MIN($C83:$AF83)</f>
        <v>2069828.75043813</v>
      </c>
      <c r="H106" s="18" t="n">
        <f aca="false">IF($G106&gt;=1000000000000,"n/a",INDEX($C$5:$AF$5,MATCH($G106,$C83:$AF83,0)))</f>
        <v>2040</v>
      </c>
      <c r="I106" s="63" t="n">
        <f aca="false">IF($G106&gt;=0,1,0)</f>
        <v>1</v>
      </c>
      <c r="J106" s="20" t="n">
        <f aca="false">INDEX(Scen_3rd_Child!$C$74:$AF$74,MATCH($B106,Scen_3rd_Child!$C$5:$AF$5,0))*INDEX(Returns!$C$16:$AF$16,MATCH(Assumptions!$C$109,Returns!$C$5:$AF$5,0))/INDEX(Returns!$C$16:$AF$16,MATCH($B106,Returns!$C$5:$AF$5,0))+INDEX(Returns!$C$16:$AF$16,MATCH(Assumptions!$C$109,Returns!$C$5:$AF$5,0))*(INDEX(Returns!$C$22:$AF$22,MATCH(Assumptions!$C$109,Returns!$C$5:$AF$5,0))-INDEX(Returns!$C$22:$AF$22,MATCH($B106,Returns!$C$5:$AF$5,0)))+INDEX(Scen_3rd_Child!$C$78:$AF$78,MATCH($B106,Scen_3rd_Child!$C$5:$AF$5,0))*INDEX(Returns!$C$17:$AF$17,MATCH(Assumptions!$C$109,Returns!$C$5:$AF$5,0))/INDEX(Returns!$C$17:$AF$17,MATCH($B106,Returns!$C$5:$AF$5,0))</f>
        <v>10773734.2234439</v>
      </c>
      <c r="K106" s="20" t="n">
        <f aca="false">INDEX(Scen_3rd_Child!$C$33:$AF$33,MATCH(Assumptions!$C$109,Scen_3rd_Child!$C$5:$AF$5,0))/Assumptions!$C$113/(1-Assumptions!$C$114)</f>
        <v>2764385.21000312</v>
      </c>
      <c r="L106" s="63" t="n">
        <f aca="false">IF($J106&gt;=$K106,1,0)</f>
        <v>1</v>
      </c>
      <c r="M106" s="66" t="n">
        <f aca="false">MIN($F106,$I106,$L106)</f>
        <v>1</v>
      </c>
      <c r="N106" s="66" t="n">
        <f aca="false">MIN($M106:$M$112)</f>
        <v>1</v>
      </c>
    </row>
    <row r="107" customFormat="false" ht="15" hidden="false" customHeight="true" outlineLevel="0" collapsed="false">
      <c r="B107" s="67" t="n">
        <v>2040</v>
      </c>
      <c r="C107" s="32" t="n">
        <f aca="false">Assumptions!$D$24+$B107-Assumptions!$C$6</f>
        <v>58</v>
      </c>
      <c r="D107" s="20" t="n">
        <f aca="false">INDEX(Scen_3rd_Child!$C$80:$AF$80,MATCH($B107,Scen_3rd_Child!$C$5:$AF$5,0))</f>
        <v>2281513.053271</v>
      </c>
      <c r="E107" s="20" t="n">
        <f aca="false">INDEX(Scen_3rd_Child!$C$31:$AF$31,MATCH($B107,Scen_3rd_Child!$C$5:$AF$5,0))*Assumptions!$C$111/12+Assumptions!$C$112*INDEX(Assumptions!$C$9:$AF$9,MATCH($B107,Assumptions!$C$6:$AF$6,0))</f>
        <v>248283.188824792</v>
      </c>
      <c r="F107" s="63" t="n">
        <f aca="false">IF($D107&gt;=$E107,1,0)</f>
        <v>1</v>
      </c>
      <c r="G107" s="20" t="n">
        <f aca="false">MIN($C84:$AF84)</f>
        <v>2329192.10380589</v>
      </c>
      <c r="H107" s="18" t="n">
        <f aca="false">IF($G107&gt;=1000000000000,"n/a",INDEX($C$5:$AF$5,MATCH($G107,$C84:$AF84,0)))</f>
        <v>2041</v>
      </c>
      <c r="I107" s="63" t="n">
        <f aca="false">IF($G107&gt;=0,1,0)</f>
        <v>1</v>
      </c>
      <c r="J107" s="20" t="n">
        <f aca="false">INDEX(Scen_3rd_Child!$C$74:$AF$74,MATCH($B107,Scen_3rd_Child!$C$5:$AF$5,0))*INDEX(Returns!$C$16:$AF$16,MATCH(Assumptions!$C$109,Returns!$C$5:$AF$5,0))/INDEX(Returns!$C$16:$AF$16,MATCH($B107,Returns!$C$5:$AF$5,0))+INDEX(Returns!$C$16:$AF$16,MATCH(Assumptions!$C$109,Returns!$C$5:$AF$5,0))*(INDEX(Returns!$C$22:$AF$22,MATCH(Assumptions!$C$109,Returns!$C$5:$AF$5,0))-INDEX(Returns!$C$22:$AF$22,MATCH($B107,Returns!$C$5:$AF$5,0)))+INDEX(Scen_3rd_Child!$C$78:$AF$78,MATCH($B107,Scen_3rd_Child!$C$5:$AF$5,0))*INDEX(Returns!$C$17:$AF$17,MATCH(Assumptions!$C$109,Returns!$C$5:$AF$5,0))/INDEX(Returns!$C$17:$AF$17,MATCH($B107,Returns!$C$5:$AF$5,0))</f>
        <v>10948786.1180078</v>
      </c>
      <c r="K107" s="20" t="n">
        <f aca="false">INDEX(Scen_3rd_Child!$C$33:$AF$33,MATCH(Assumptions!$C$109,Scen_3rd_Child!$C$5:$AF$5,0))/Assumptions!$C$113/(1-Assumptions!$C$114)</f>
        <v>2764385.21000312</v>
      </c>
      <c r="L107" s="63" t="n">
        <f aca="false">IF($J107&gt;=$K107,1,0)</f>
        <v>1</v>
      </c>
      <c r="M107" s="66" t="n">
        <f aca="false">MIN($F107,$I107,$L107)</f>
        <v>1</v>
      </c>
      <c r="N107" s="66" t="n">
        <f aca="false">MIN($M107:$M$112)</f>
        <v>1</v>
      </c>
    </row>
    <row r="108" customFormat="false" ht="15" hidden="false" customHeight="true" outlineLevel="0" collapsed="false">
      <c r="B108" s="67" t="n">
        <v>2041</v>
      </c>
      <c r="C108" s="32" t="n">
        <f aca="false">Assumptions!$D$24+$B108-Assumptions!$C$6</f>
        <v>59</v>
      </c>
      <c r="D108" s="20" t="n">
        <f aca="false">INDEX(Scen_3rd_Child!$C$80:$AF$80,MATCH($B108,Scen_3rd_Child!$C$5:$AF$5,0))</f>
        <v>2545110.09269541</v>
      </c>
      <c r="E108" s="20" t="n">
        <f aca="false">INDEX(Scen_3rd_Child!$C$31:$AF$31,MATCH($B108,Scen_3rd_Child!$C$5:$AF$5,0))*Assumptions!$C$111/12+Assumptions!$C$112*INDEX(Assumptions!$C$9:$AF$9,MATCH($B108,Assumptions!$C$6:$AF$6,0))</f>
        <v>253248.852601288</v>
      </c>
      <c r="F108" s="63" t="n">
        <f aca="false">IF($D108&gt;=$E108,1,0)</f>
        <v>1</v>
      </c>
      <c r="G108" s="20" t="n">
        <f aca="false">MIN($C85:$AF85)</f>
        <v>2599216.95457002</v>
      </c>
      <c r="H108" s="18" t="n">
        <f aca="false">IF($G108&gt;=1000000000000,"n/a",INDEX($C$5:$AF$5,MATCH($G108,$C85:$AF85,0)))</f>
        <v>2042</v>
      </c>
      <c r="I108" s="63" t="n">
        <f aca="false">IF($G108&gt;=0,1,0)</f>
        <v>1</v>
      </c>
      <c r="J108" s="20" t="n">
        <f aca="false">INDEX(Scen_3rd_Child!$C$74:$AF$74,MATCH($B108,Scen_3rd_Child!$C$5:$AF$5,0))*INDEX(Returns!$C$16:$AF$16,MATCH(Assumptions!$C$109,Returns!$C$5:$AF$5,0))/INDEX(Returns!$C$16:$AF$16,MATCH($B108,Returns!$C$5:$AF$5,0))+INDEX(Returns!$C$16:$AF$16,MATCH(Assumptions!$C$109,Returns!$C$5:$AF$5,0))*(INDEX(Returns!$C$22:$AF$22,MATCH(Assumptions!$C$109,Returns!$C$5:$AF$5,0))-INDEX(Returns!$C$22:$AF$22,MATCH($B108,Returns!$C$5:$AF$5,0)))+INDEX(Scen_3rd_Child!$C$78:$AF$78,MATCH($B108,Scen_3rd_Child!$C$5:$AF$5,0))*INDEX(Returns!$C$17:$AF$17,MATCH(Assumptions!$C$109,Returns!$C$5:$AF$5,0))/INDEX(Returns!$C$17:$AF$17,MATCH($B108,Returns!$C$5:$AF$5,0))</f>
        <v>11116583.4806999</v>
      </c>
      <c r="K108" s="20" t="n">
        <f aca="false">INDEX(Scen_3rd_Child!$C$33:$AF$33,MATCH(Assumptions!$C$109,Scen_3rd_Child!$C$5:$AF$5,0))/Assumptions!$C$113/(1-Assumptions!$C$114)</f>
        <v>2764385.21000312</v>
      </c>
      <c r="L108" s="63" t="n">
        <f aca="false">IF($J108&gt;=$K108,1,0)</f>
        <v>1</v>
      </c>
      <c r="M108" s="66" t="n">
        <f aca="false">MIN($F108,$I108,$L108)</f>
        <v>1</v>
      </c>
      <c r="N108" s="66" t="n">
        <f aca="false">MIN($M108:$M$112)</f>
        <v>1</v>
      </c>
    </row>
    <row r="109" customFormat="false" ht="15" hidden="false" customHeight="true" outlineLevel="0" collapsed="false">
      <c r="B109" s="67" t="n">
        <v>2042</v>
      </c>
      <c r="C109" s="32" t="n">
        <f aca="false">Assumptions!$D$24+$B109-Assumptions!$C$6</f>
        <v>60</v>
      </c>
      <c r="D109" s="20" t="n">
        <f aca="false">INDEX(Scen_3rd_Child!$C$80:$AF$80,MATCH($B109,Scen_3rd_Child!$C$5:$AF$5,0))</f>
        <v>2819453.30323733</v>
      </c>
      <c r="E109" s="20" t="n">
        <f aca="false">INDEX(Scen_3rd_Child!$C$31:$AF$31,MATCH($B109,Scen_3rd_Child!$C$5:$AF$5,0))*Assumptions!$C$111/12+Assumptions!$C$112*INDEX(Assumptions!$C$9:$AF$9,MATCH($B109,Assumptions!$C$6:$AF$6,0))</f>
        <v>258313.829653313</v>
      </c>
      <c r="F109" s="63" t="n">
        <f aca="false">IF($D109&gt;=$E109,1,0)</f>
        <v>1</v>
      </c>
      <c r="G109" s="20" t="n">
        <f aca="false">MIN($C86:$AF86)</f>
        <v>2878949.85013237</v>
      </c>
      <c r="H109" s="18" t="n">
        <f aca="false">IF($G109&gt;=1000000000000,"n/a",INDEX($C$5:$AF$5,MATCH($G109,$C86:$AF86,0)))</f>
        <v>2043</v>
      </c>
      <c r="I109" s="63" t="n">
        <f aca="false">IF($G109&gt;=0,1,0)</f>
        <v>1</v>
      </c>
      <c r="J109" s="20" t="n">
        <f aca="false">INDEX(Scen_3rd_Child!$C$74:$AF$74,MATCH($B109,Scen_3rd_Child!$C$5:$AF$5,0))*INDEX(Returns!$C$16:$AF$16,MATCH(Assumptions!$C$109,Returns!$C$5:$AF$5,0))/INDEX(Returns!$C$16:$AF$16,MATCH($B109,Returns!$C$5:$AF$5,0))+INDEX(Returns!$C$16:$AF$16,MATCH(Assumptions!$C$109,Returns!$C$5:$AF$5,0))*(INDEX(Returns!$C$22:$AF$22,MATCH(Assumptions!$C$109,Returns!$C$5:$AF$5,0))-INDEX(Returns!$C$22:$AF$22,MATCH($B109,Returns!$C$5:$AF$5,0)))+INDEX(Scen_3rd_Child!$C$78:$AF$78,MATCH($B109,Scen_3rd_Child!$C$5:$AF$5,0))*INDEX(Returns!$C$17:$AF$17,MATCH(Assumptions!$C$109,Returns!$C$5:$AF$5,0))/INDEX(Returns!$C$17:$AF$17,MATCH($B109,Returns!$C$5:$AF$5,0))</f>
        <v>11277906.873794</v>
      </c>
      <c r="K109" s="20" t="n">
        <f aca="false">INDEX(Scen_3rd_Child!$C$33:$AF$33,MATCH(Assumptions!$C$109,Scen_3rd_Child!$C$5:$AF$5,0))/Assumptions!$C$113/(1-Assumptions!$C$114)</f>
        <v>2764385.21000312</v>
      </c>
      <c r="L109" s="63" t="n">
        <f aca="false">IF($J109&gt;=$K109,1,0)</f>
        <v>1</v>
      </c>
      <c r="M109" s="66" t="n">
        <f aca="false">MIN($F109,$I109,$L109)</f>
        <v>1</v>
      </c>
      <c r="N109" s="66" t="n">
        <f aca="false">MIN($M109:$M$112)</f>
        <v>1</v>
      </c>
    </row>
    <row r="110" customFormat="false" ht="15" hidden="false" customHeight="true" outlineLevel="0" collapsed="false">
      <c r="B110" s="67" t="n">
        <v>2043</v>
      </c>
      <c r="C110" s="32" t="n">
        <f aca="false">Assumptions!$D$24+$B110-Assumptions!$C$6</f>
        <v>61</v>
      </c>
      <c r="D110" s="20" t="n">
        <f aca="false">INDEX(Scen_3rd_Child!$C$80:$AF$80,MATCH($B110,Scen_3rd_Child!$C$5:$AF$5,0))</f>
        <v>3103590.92577303</v>
      </c>
      <c r="E110" s="20" t="n">
        <f aca="false">INDEX(Scen_3rd_Child!$C$31:$AF$31,MATCH($B110,Scen_3rd_Child!$C$5:$AF$5,0))*Assumptions!$C$111/12+Assumptions!$C$112*INDEX(Assumptions!$C$9:$AF$9,MATCH($B110,Assumptions!$C$6:$AF$6,0))</f>
        <v>263480.10624638</v>
      </c>
      <c r="F110" s="63" t="n">
        <f aca="false">IF($D110&gt;=$E110,1,0)</f>
        <v>1</v>
      </c>
      <c r="G110" s="20" t="n">
        <f aca="false">MIN($C87:$AF87)</f>
        <v>3167292.74661237</v>
      </c>
      <c r="H110" s="18" t="n">
        <f aca="false">IF($G110&gt;=1000000000000,"n/a",INDEX($C$5:$AF$5,MATCH($G110,$C87:$AF87,0)))</f>
        <v>2044</v>
      </c>
      <c r="I110" s="63" t="n">
        <f aca="false">IF($G110&gt;=0,1,0)</f>
        <v>1</v>
      </c>
      <c r="J110" s="20" t="n">
        <f aca="false">INDEX(Scen_3rd_Child!$C$74:$AF$74,MATCH($B110,Scen_3rd_Child!$C$5:$AF$5,0))*INDEX(Returns!$C$16:$AF$16,MATCH(Assumptions!$C$109,Returns!$C$5:$AF$5,0))/INDEX(Returns!$C$16:$AF$16,MATCH($B110,Returns!$C$5:$AF$5,0))+INDEX(Returns!$C$16:$AF$16,MATCH(Assumptions!$C$109,Returns!$C$5:$AF$5,0))*(INDEX(Returns!$C$22:$AF$22,MATCH(Assumptions!$C$109,Returns!$C$5:$AF$5,0))-INDEX(Returns!$C$22:$AF$22,MATCH($B110,Returns!$C$5:$AF$5,0)))+INDEX(Scen_3rd_Child!$C$78:$AF$78,MATCH($B110,Scen_3rd_Child!$C$5:$AF$5,0))*INDEX(Returns!$C$17:$AF$17,MATCH(Assumptions!$C$109,Returns!$C$5:$AF$5,0))/INDEX(Returns!$C$17:$AF$17,MATCH($B110,Returns!$C$5:$AF$5,0))</f>
        <v>11433470.1916408</v>
      </c>
      <c r="K110" s="20" t="n">
        <f aca="false">INDEX(Scen_3rd_Child!$C$33:$AF$33,MATCH(Assumptions!$C$109,Scen_3rd_Child!$C$5:$AF$5,0))/Assumptions!$C$113/(1-Assumptions!$C$114)</f>
        <v>2764385.21000312</v>
      </c>
      <c r="L110" s="63" t="n">
        <f aca="false">IF($J110&gt;=$K110,1,0)</f>
        <v>1</v>
      </c>
      <c r="M110" s="66" t="n">
        <f aca="false">MIN($F110,$I110,$L110)</f>
        <v>1</v>
      </c>
      <c r="N110" s="66" t="n">
        <f aca="false">MIN($M110:$M$112)</f>
        <v>1</v>
      </c>
    </row>
    <row r="111" customFormat="false" ht="15" hidden="false" customHeight="true" outlineLevel="0" collapsed="false">
      <c r="B111" s="67" t="n">
        <v>2044</v>
      </c>
      <c r="C111" s="32" t="n">
        <f aca="false">Assumptions!$D$24+$B111-Assumptions!$C$6</f>
        <v>62</v>
      </c>
      <c r="D111" s="20" t="n">
        <f aca="false">INDEX(Scen_3rd_Child!$C$80:$AF$80,MATCH($B111,Scen_3rd_Child!$C$5:$AF$5,0))</f>
        <v>3396426.64376585</v>
      </c>
      <c r="E111" s="20" t="n">
        <f aca="false">INDEX(Scen_3rd_Child!$C$31:$AF$31,MATCH($B111,Scen_3rd_Child!$C$5:$AF$5,0))*Assumptions!$C$111/12+Assumptions!$C$112*INDEX(Assumptions!$C$9:$AF$9,MATCH($B111,Assumptions!$C$6:$AF$6,0))</f>
        <v>268749.708371307</v>
      </c>
      <c r="F111" s="63" t="n">
        <f aca="false">IF($D111&gt;=$E111,1,0)</f>
        <v>1</v>
      </c>
      <c r="G111" s="20" t="n">
        <f aca="false">MIN($C88:$AF88)</f>
        <v>3533886.08604965</v>
      </c>
      <c r="H111" s="18" t="n">
        <f aca="false">IF($G111&gt;=1000000000000,"n/a",INDEX($C$5:$AF$5,MATCH($G111,$C88:$AF88,0)))</f>
        <v>2045</v>
      </c>
      <c r="I111" s="63" t="n">
        <f aca="false">IF($G111&gt;=0,1,0)</f>
        <v>1</v>
      </c>
      <c r="J111" s="20" t="n">
        <f aca="false">INDEX(Scen_3rd_Child!$C$74:$AF$74,MATCH($B111,Scen_3rd_Child!$C$5:$AF$5,0))*INDEX(Returns!$C$16:$AF$16,MATCH(Assumptions!$C$109,Returns!$C$5:$AF$5,0))/INDEX(Returns!$C$16:$AF$16,MATCH($B111,Returns!$C$5:$AF$5,0))+INDEX(Returns!$C$16:$AF$16,MATCH(Assumptions!$C$109,Returns!$C$5:$AF$5,0))*(INDEX(Returns!$C$22:$AF$22,MATCH(Assumptions!$C$109,Returns!$C$5:$AF$5,0))-INDEX(Returns!$C$22:$AF$22,MATCH($B111,Returns!$C$5:$AF$5,0)))+INDEX(Scen_3rd_Child!$C$78:$AF$78,MATCH($B111,Scen_3rd_Child!$C$5:$AF$5,0))*INDEX(Returns!$C$17:$AF$17,MATCH(Assumptions!$C$109,Returns!$C$5:$AF$5,0))/INDEX(Returns!$C$17:$AF$17,MATCH($B111,Returns!$C$5:$AF$5,0))</f>
        <v>11583929.2741472</v>
      </c>
      <c r="K111" s="20" t="n">
        <f aca="false">INDEX(Scen_3rd_Child!$C$33:$AF$33,MATCH(Assumptions!$C$109,Scen_3rd_Child!$C$5:$AF$5,0))/Assumptions!$C$113/(1-Assumptions!$C$114)</f>
        <v>2764385.21000312</v>
      </c>
      <c r="L111" s="63" t="n">
        <f aca="false">IF($J111&gt;=$K111,1,0)</f>
        <v>1</v>
      </c>
      <c r="M111" s="66" t="n">
        <f aca="false">MIN($F111,$I111,$L111)</f>
        <v>1</v>
      </c>
      <c r="N111" s="66" t="n">
        <f aca="false">MIN($M111:$M$112)</f>
        <v>1</v>
      </c>
    </row>
    <row r="112" customFormat="false" ht="15" hidden="false" customHeight="true" outlineLevel="0" collapsed="false">
      <c r="B112" s="67" t="n">
        <v>2045</v>
      </c>
      <c r="C112" s="32" t="n">
        <f aca="false">Assumptions!$D$24+$B112-Assumptions!$C$6</f>
        <v>63</v>
      </c>
      <c r="D112" s="20" t="n">
        <f aca="false">INDEX(Scen_3rd_Child!$C$80:$AF$80,MATCH($B112,Scen_3rd_Child!$C$5:$AF$5,0))</f>
        <v>3732163.33496163</v>
      </c>
      <c r="E112" s="20" t="n">
        <f aca="false">INDEX(Scen_3rd_Child!$C$31:$AF$31,MATCH($B112,Scen_3rd_Child!$C$5:$AF$5,0))*Assumptions!$C$111/12+Assumptions!$C$112*INDEX(Assumptions!$C$9:$AF$9,MATCH($B112,Assumptions!$C$6:$AF$6,0))</f>
        <v>238685.376354168</v>
      </c>
      <c r="F112" s="63" t="n">
        <f aca="false">IF($D112&gt;=$E112,1,0)</f>
        <v>1</v>
      </c>
      <c r="G112" s="20" t="n">
        <f aca="false">MIN($C89:$AF89)</f>
        <v>3873751.4060422</v>
      </c>
      <c r="H112" s="18" t="n">
        <f aca="false">IF($G112&gt;=1000000000000,"n/a",INDEX($C$5:$AF$5,MATCH($G112,$C89:$AF89,0)))</f>
        <v>2046</v>
      </c>
      <c r="I112" s="63" t="n">
        <f aca="false">IF($G112&gt;=0,1,0)</f>
        <v>1</v>
      </c>
      <c r="J112" s="20" t="n">
        <f aca="false">INDEX(Scen_3rd_Child!$C$74:$AF$74,MATCH($B112,Scen_3rd_Child!$C$5:$AF$5,0))*INDEX(Returns!$C$16:$AF$16,MATCH(Assumptions!$C$109,Returns!$C$5:$AF$5,0))/INDEX(Returns!$C$16:$AF$16,MATCH($B112,Returns!$C$5:$AF$5,0))+INDEX(Returns!$C$16:$AF$16,MATCH(Assumptions!$C$109,Returns!$C$5:$AF$5,0))*(INDEX(Returns!$C$22:$AF$22,MATCH(Assumptions!$C$109,Returns!$C$5:$AF$5,0))-INDEX(Returns!$C$22:$AF$22,MATCH($B112,Returns!$C$5:$AF$5,0)))+INDEX(Scen_3rd_Child!$C$78:$AF$78,MATCH($B112,Scen_3rd_Child!$C$5:$AF$5,0))*INDEX(Returns!$C$17:$AF$17,MATCH(Assumptions!$C$109,Returns!$C$5:$AF$5,0))/INDEX(Returns!$C$17:$AF$17,MATCH($B112,Returns!$C$5:$AF$5,0))</f>
        <v>11729889.5633487</v>
      </c>
      <c r="K112" s="20" t="n">
        <f aca="false">INDEX(Scen_3rd_Child!$C$33:$AF$33,MATCH(Assumptions!$C$109,Scen_3rd_Child!$C$5:$AF$5,0))/Assumptions!$C$113/(1-Assumptions!$C$114)</f>
        <v>2764385.21000312</v>
      </c>
      <c r="L112" s="63" t="n">
        <f aca="false">IF($J112&gt;=$K112,1,0)</f>
        <v>1</v>
      </c>
      <c r="M112" s="66" t="n">
        <f aca="false">MIN($F112,$I112,$L112)</f>
        <v>1</v>
      </c>
      <c r="N112" s="66" t="n">
        <f aca="false">MIN($M112:$M$112)</f>
        <v>1</v>
      </c>
    </row>
    <row r="114" customFormat="false" ht="15" hidden="false" customHeight="true" outlineLevel="0" collapsed="false">
      <c r="A114" s="30" t="s">
        <v>509</v>
      </c>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customFormat="false" ht="15" hidden="false" customHeight="true" outlineLevel="0" collapsed="false">
      <c r="B115" s="16" t="s">
        <v>510</v>
      </c>
      <c r="C115" s="69" t="n">
        <f aca="false">IFERROR(INDEX($B93:$B112,MATCH(1,$N93:$N112,0)),"never")</f>
        <v>2027</v>
      </c>
    </row>
    <row r="116" customFormat="false" ht="15" hidden="false" customHeight="true" outlineLevel="0" collapsed="false">
      <c r="B116" s="16" t="s">
        <v>511</v>
      </c>
      <c r="C116" s="70" t="n">
        <f aca="false">IF(ISNUMBER($C115),Assumptions!$D$24+$C115-Assumptions!$C$6,"n/a")</f>
        <v>45</v>
      </c>
    </row>
    <row r="117" customFormat="false" ht="15" hidden="false" customHeight="true" outlineLevel="0" collapsed="false">
      <c r="B117" s="16" t="s">
        <v>512</v>
      </c>
      <c r="C117" s="69" t="n">
        <f aca="false">IFERROR(INDEX($C$5:$AF$5,MATCH(1,$C$9:$AF$9,0))-1,"never")</f>
        <v>2033</v>
      </c>
    </row>
    <row r="118" customFormat="false" ht="15" hidden="false" customHeight="true" outlineLevel="0" collapsed="false">
      <c r="B118" s="16" t="s">
        <v>511</v>
      </c>
      <c r="C118" s="70" t="n">
        <f aca="false">IF(ISNUMBER($C117),Assumptions!$D$24+$C117-Assumptions!$C$6,"n/a")</f>
        <v>51</v>
      </c>
    </row>
    <row r="119" customFormat="false" ht="15" hidden="false" customHeight="true" outlineLevel="0" collapsed="false">
      <c r="B119" s="16" t="s">
        <v>513</v>
      </c>
      <c r="C119" s="69" t="n">
        <f aca="false">IFERROR(INDEX($C$5:$AF$5,MATCH(1,$C$10:$AF$10,0))-1,"never")</f>
        <v>2044</v>
      </c>
    </row>
    <row r="120" customFormat="false" ht="15" hidden="false" customHeight="true" outlineLevel="0" collapsed="false">
      <c r="B120" s="16" t="s">
        <v>511</v>
      </c>
      <c r="C120" s="70" t="n">
        <f aca="false">IF(ISNUMBER($C119),Assumptions!$D$24+$C119-Assumptions!$C$6,"n/a")</f>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2026-08-18T05:55:01Z</dcterms:created>
  <dc:creator>openpyxl</dc:creator>
  <dc:description/>
  <dc:language>en-US</dc:language>
  <cp:lastModifiedBy/>
  <dcterms:modified xsi:type="dcterms:W3CDTF">2026-08-18T05:59:13Z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