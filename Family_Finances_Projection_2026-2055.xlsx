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is" sheetId="2" state="visible" r:id="rId4"/>
    <sheet name="Assumptions" sheetId="3" state="visible" r:id="rId5"/>
    <sheet name="Tax_Bands" sheetId="4" state="visible" r:id="rId6"/>
    <sheet name="MM_Income" sheetId="5" state="visible" r:id="rId7"/>
    <sheet name="DM_Income" sheetId="6" state="visible" r:id="rId8"/>
    <sheet name="Children" sheetId="7" state="visible" r:id="rId9"/>
    <sheet name="Household_Base" sheetId="8" state="visible" r:id="rId10"/>
    <sheet name="Analysis_DM_Exit" sheetId="9" state="visible" r:id="rId11"/>
    <sheet name="Scen_DM_Exit" sheetId="10" state="visible" r:id="rId12"/>
    <sheet name="Scen_3rd_Child"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<sst xmlns="http://schemas.openxmlformats.org/spreadsheetml/2006/main" count="618" uniqueCount="492">
  <si>
    <t xml:space="preserve">FAMILY JOINT FINANCES — 30-YEAR PROJECTION, 2026 TO 2055</t>
  </si>
  <si>
    <t xml:space="preserve">Built from the figures you supplied, plus published UK tax, pension, ISA, tuition-fee and student-living-cost data. Every number in the workbook is a live formula — change an input and the whole model moves.</t>
  </si>
  <si>
    <t xml:space="preserve">START HERE</t>
  </si>
  <si>
    <t xml:space="preserve">1.  Analysis            — the written answers: when DM can stop working, what changes with a third child, and what to do about the Junior ISAs.</t>
  </si>
  <si>
    <t xml:space="preserve">2.  Assumptions         — every input in one place. Blue cells are yours to change. Yellow cells are the ones that matter most.</t>
  </si>
  <si>
    <t xml:space="preserve">3.  Analysis_DM_Exit    — the three 'is it enough yet?' tests, scored year by year.</t>
  </si>
  <si>
    <t xml:space="preserve">THE SHEETS</t>
  </si>
  <si>
    <t xml:space="preserve">README              — This page.</t>
  </si>
  <si>
    <t xml:space="preserve">Analysis            — The written analysis and recommendations.</t>
  </si>
  <si>
    <t xml:space="preserve">Assumptions         — Every input: inflation, salaries, balances, expenses, children's dates, tax parameters, test definitions.</t>
  </si>
  <si>
    <t xml:space="preserve">Tax_Bands           — UK tax thresholds and allowances year by year — frozen in cash terms to 2030/31, then uprated with inflation.</t>
  </si>
  <si>
    <t xml:space="preserve">MM_Income           — MM's salary, income tax, National Insurance, post-tax income, pension and ISA contributions and balances.</t>
  </si>
  <si>
    <t xml:space="preserve">DM_Income           — The same for DM.</t>
  </si>
  <si>
    <t xml:space="preserve">Children            — Nursery, nannies, university costs and the Junior ISA roll-forward for VM, EM and (scenario) a third child.</t>
  </si>
  <si>
    <t xml:space="preserve">Household_Base      — The base case: combined income, every expense line, net cash flow, and the household balance sheet.</t>
  </si>
  <si>
    <t xml:space="preserve">Analysis_DM_Exit    — The three tests scored for every possible year DM could stop.</t>
  </si>
  <si>
    <t xml:space="preserve">Scen_DM_Exit        — A full projection with DM leaving employment in a year you choose. Change the blue cells at the top.</t>
  </si>
  <si>
    <t xml:space="preserve">Scen_3rd_Child      — A full projection with a third child born July 2027, and the same three tests re-scored.</t>
  </si>
  <si>
    <t xml:space="preserve">CONVENTIONS</t>
  </si>
  <si>
    <t xml:space="preserve">Model years are calendar years. Tax parameters use the UK tax year beginning in April of that year; school and university years begin in the September of that year.</t>
  </si>
  <si>
    <t xml:space="preserve">Figures are in the money of the day (i.e. inflated) unless a line says '2026 money'. Every expense line is inflated: 4% in 2027 and 2028, then 2% a year thereafter, as instructed.</t>
  </si>
  <si>
    <t xml:space="preserve">Investment growth is applied to the opening balance only; contributions are credited at the end of the year. This is deliberately the conservative timing convention.</t>
  </si>
  <si>
    <t xml:space="preserve">Colour key:  blue = an input you can change  |  black = a formula  |  green = a link to another sheet  |  yellow fill = a key assumption.</t>
  </si>
  <si>
    <t xml:space="preserve">WHAT WE WERE TOLD TO ASSUME, AND DID</t>
  </si>
  <si>
    <t xml:space="preserve">•  Both SIPPs are maxed to the £60,000 annual allowance and both ISAs to £20,000 every year, and DM pays £9,000 a year into EM's Junior ISA.</t>
  </si>
  <si>
    <t xml:space="preserve">•  Salaries grow exactly in line with inflation. Inflation is 4% for the next two years, then 2% a year to perpetuity.</t>
  </si>
  <si>
    <t xml:space="preserve">•  All invested pots — ISAs, Junior ISAs and SIPPs — compound at 10% a year, the rate you gave for the Junior ISA.</t>
  </si>
  <si>
    <t xml:space="preserve">•  Nursery fees for EM stop when he starts Reception in September 2028. Nannies stop when EM turns 10 in December 2033.</t>
  </si>
  <si>
    <t xml:space="preserve">•  Both children go to UK universities on home fees, with Oxford/Cambridge-level accommodation and living costs, and their Junior ISAs pay first.</t>
  </si>
  <si>
    <t xml:space="preserve">•  Once a child graduates they support themselves — no further household cost.</t>
  </si>
  <si>
    <t xml:space="preserve">•  Travel: £3,000 China, £1,000 Italy, £2,000 family holiday every year, all in 2026 prices and inflated thereafter.</t>
  </si>
  <si>
    <t xml:space="preserve">THINGS WE HAD TO ASSUME BECAUSE YOU DID NOT SAY — CHECK THESE</t>
  </si>
  <si>
    <t xml:space="preserve">•  MORTGAGE TERM. You gave the payment (£1,950/month) but not when it ends. We assumed it runs the whole 30 years, which is conservative. Assumptions cell C53.</t>
  </si>
  <si>
    <t xml:space="preserve">•  MORTGAGE INFLATION. You asked for every expense to be inflated, so the mortgage is inflated too. A fixed repayment mortgage would not be — that makes the projection pessimistic by a growing amount.</t>
  </si>
  <si>
    <t xml:space="preserve">•  SURPLUS CASH. Once both £20,000 ISA allowances are used, any further surplus goes into a taxable account earning 8.5% net (10% gross less an assumed 1.5% tax drag). Assumptions cell C28.</t>
  </si>
  <si>
    <t xml:space="preserve">•  CASH SHORTFALLS are met first from that taxable account and then by selling ISA assets, split between MM and DM in proportion to their balances.</t>
  </si>
  <si>
    <t xml:space="preserve">•  UNIVERSITY COSTS: £9,790 tuition (the England 2026/27 fee cap) and £15,660 accommodation and living (Cambridge's own 2026-27 estimate for a student in Cambridge all year round). Three-year degrees.</t>
  </si>
  <si>
    <t xml:space="preserve">•  TAX THRESHOLDS are frozen in cash terms to 2030/31 under current UK policy, then uprated with inflation. This costs real income in the early years.</t>
  </si>
  <si>
    <t xml:space="preserve">•  A THIRD CHILD would add £500/month of general spending (food, clothes, activities). Assumptions cell C61.</t>
  </si>
  <si>
    <t xml:space="preserve">•  NO MATERNITY OR PARENTAL LEAVE income hit is modelled for the third child. Put one in at Scen_3rd_Child cell C4.</t>
  </si>
  <si>
    <t xml:space="preserve">THE BIGGEST CAVEAT</t>
  </si>
  <si>
    <t xml:space="preserve">10% a year, every year, for thirty years, is a very optimistic return assumption. It is the figure you gave for the Junior ISA and we have applied it consistently, but most planners would use 6-7% nominal for a global equity portfolio after fees.</t>
  </si>
  <si>
    <t xml:space="preserve">Change Assumptions cell C27 to see the effect. The good news: the date DM can stop working is set by the income test, which does not depend on investment returns at all — so that conclusion is robust. What the return assumption changes is how wealthy you end up, not when DM can leave.</t>
  </si>
  <si>
    <t xml:space="preserve">This is a planning model, not regulated financial advice. Before acting on it, take advice on pension allowances, the lifetime position of two very large SIPPs, and inheritance tax.</t>
  </si>
  <si>
    <t xml:space="preserve">ANALYSIS — WHEN CAN DM STOP WORKING?</t>
  </si>
  <si>
    <t xml:space="preserve">THE THREE ANSWERS</t>
  </si>
  <si>
    <t xml:space="preserve">1.  Assuming the business earns nothing at all, DM can stop working at the end of 2033, aged 51 — but only if you fix VM's Junior ISA first.</t>
  </si>
  <si>
    <t xml:space="preserve">With EM's Junior ISA funded and VM's left as it is, the safe date slips to the end of 2041, because VM's university years break the income test. Putting £1,500 a year into VM's Junior ISA from now pulls the date back to 2033 — eight years earlier, for a total outlay of £19,500.</t>
  </si>
  <si>
    <t xml:space="preserve">2.  A third child born in July 2027 does not move the date. It is still the end of 2033.</t>
  </si>
  <si>
    <t xml:space="preserve">The third child costs about £268,000 of real spending in today's money (£97,000 nursery, £171,000 food, clothes and activities), plus £121,000 paid into their own Junior ISA. Liquid savings at the exit point fall from £893,000 to £572,000. But the date does not move, because that child leaves nursery in September 2031 — well before the nannies go in December 2033.</t>
  </si>
  <si>
    <t xml:space="preserve">3.  If the business pays DM even £13,000 a year, he can leave five years earlier — the end of 2028.</t>
  </si>
  <si>
    <t xml:space="preserve">We tested this in the model: DM out from the end of 2028, VM's Junior ISA fixed, business profit £13,000 a year in today's money. Coverage never drops below 1.22x, liquid savings grow every single year from £377,000 to £8.1m, and the ISA is never exhausted. £13,000 of profit is a very low bar for a business worth leaving a £190,000 job for.</t>
  </si>
  <si>
    <t xml:space="preserve">4.  What holds you back is the childcare bill, not the bank balance.</t>
  </si>
  <si>
    <t xml:space="preserve">The liquidity and retirement tests clear years earlier. The one that binds is whether MM's salary alone covers the family — and that turns entirely on when the £1,500-a-month nanny cost ends.</t>
  </si>
  <si>
    <t xml:space="preserve">WHAT 'ENOUGH' MEANS — THREE TESTS, ALL THREE MUST PASS</t>
  </si>
  <si>
    <t xml:space="preserve">TEST 1 — INCOME.  MM's take-home pay on her own, making no pension contribution at all, must cover at least 1.20x total household spending.</t>
  </si>
  <si>
    <t xml:space="preserve">Why 1.20 and not 1.00: at exactly 1.00 you spend every penny she earns, save nothing new, and any surprise — a boiler, a car, a tax change — comes straight out of capital. The 20% margin is roughly £15,000 a year of genuine slack. Assumptions cell C90.</t>
  </si>
  <si>
    <t xml:space="preserve">TEST 2 — LIQUIDITY.  Accessible savings (ISA plus taxable account) must cover 24 months of total household spending PLUS £100,000 of business seed capital DM could lose entirely.</t>
  </si>
  <si>
    <t xml:space="preserve">The emergency fund and the business capital are separate pots. Money earmarked for the business does not count as a cushion. Assumptions cells C91 and C92 — change the £100,000 to whatever the business actually needs.</t>
  </si>
  <si>
    <t xml:space="preserve">TEST 3 — RETIREMENT.  The combined pensions, with not one more penny paid in by either of them, must compound to 25x adult-only spending by the time DM is 57 — grossed up for tax on withdrawal.</t>
  </si>
  <si>
    <t xml:space="preserve">25x is the '4% rule'. Adult-only spending strips out childcare and university, which will have gone by then. The pot is grossed up by dividing by 0.75 to allow for a blended 25% tax rate after the tax-free lump sum. Assumptions cells C93 and C94.</t>
  </si>
  <si>
    <t xml:space="preserve">Only Test 1 ever binds. Tests 2 and 3 are comfortably passed from 2029 and from 2026 respectively.</t>
  </si>
  <si>
    <t xml:space="preserve">THE BASE CASE IN NUMBERS</t>
  </si>
  <si>
    <t xml:space="preserve">All figures in the money of the day unless stated</t>
  </si>
  <si>
    <t xml:space="preserve">Total household post-tax income</t>
  </si>
  <si>
    <t xml:space="preserve">Total household expenses</t>
  </si>
  <si>
    <t xml:space="preserve">   memo: expenses in 2026 money</t>
  </si>
  <si>
    <t xml:space="preserve">Net household cash flow after maxing every allowance</t>
  </si>
  <si>
    <t xml:space="preserve">Liquid savings (ISA + taxable)</t>
  </si>
  <si>
    <t xml:space="preserve">Combined pensions</t>
  </si>
  <si>
    <t xml:space="preserve">Total net worth, excluding the house</t>
  </si>
  <si>
    <t xml:space="preserve">   memo: net worth in 2026 money</t>
  </si>
  <si>
    <t xml:space="preserve">Test 1 coverage ratio (MM alone ÷ household spending)</t>
  </si>
  <si>
    <t xml:space="preserve">WHY THE END OF 2033, AND NOT EARLIER</t>
  </si>
  <si>
    <t xml:space="preserve">2026-2028   coverage 0.81 to 0.88.  Nursery (£2,700/mo) and nannies (£1,500/mo) together are £50,400 a year. MM alone cannot carry the family. Not possible.</t>
  </si>
  <si>
    <t xml:space="preserve">2029-2033   coverage 1.08.  Nursery has gone; the nannies have not. MM alone covers spending with an 8% margin and nothing left over to save. Possible, but with no cushion — this is the 'brave' window.</t>
  </si>
  <si>
    <t xml:space="preserve">2034 onward coverage 1.34.  EM turns 10 in December 2033 and the nannies stop. Household spending falls from £93,000 to £75,000 a year in today's money. MM alone covers everything with a third to spare.</t>
  </si>
  <si>
    <t xml:space="preserve">If you were willing to accept 1.00x coverage — spend every penny of MM's take-home, add nothing to savings, and rely on the ISA for any shock — DM could leave at the end of 2028 with about £337,000 liquid. We would not call that enough with two young children and a new business.</t>
  </si>
  <si>
    <t xml:space="preserve">One thing to be aware of about the base case itself:</t>
  </si>
  <si>
    <t xml:space="preserve">Maxing both SIPPs, both ISAs and EM's Junior ISA is not actually affordable out of income until 2034. In 2026 the household is £47,800 short and covers it by selling ISA assets; the gap narrows to about £5,000 a year by 2033 and turns positive in 2034. That is not a problem — it is just money moving from one savings pot to another, and the ISAs still grow throughout — but it does mean 'maxing everything' is being part-funded from existing capital, not from earnings.</t>
  </si>
  <si>
    <t xml:space="preserve">THE JUNIOR ISAs — THE ONE THING WE WOULD CHANGE TODAY</t>
  </si>
  <si>
    <t xml:space="preserve">EM's Junior ISA is dramatically over-funded and VM's is not funded at all.</t>
  </si>
  <si>
    <t xml:space="preserve">EM:  £9,000 a year for sixteen years compounds to about £324,000 by his 18th birthday. His whole degree costs about £110,000. He walks away at 21 with roughly £308,000 in an ISA — in his own name, his to spend on anything.</t>
  </si>
  <si>
    <t xml:space="preserve">VM:  £15,000 today with nothing added compounds to about £52,000 by 2039. Her degree costs about £105,000. She runs out during her second year, and you pay £45,500 out of household cash across 2040 and 2041.</t>
  </si>
  <si>
    <t xml:space="preserve">That £45,500 is precisely what pushes the 2041 coverage ratio down to 1.00 and breaks the income test — which is why the 'safe in every later year' date slips from 2034 to 2042 without the fix.</t>
  </si>
  <si>
    <t xml:space="preserve">The fix:  £1,500 a year into VM's Junior ISA from now until she turns 18 — thirteen payments, £19,500 in total — fully funds her degree and pulls the safe exit date back eight years.</t>
  </si>
  <si>
    <t xml:space="preserve">You can fund it at zero extra cost by cutting EM's contribution from £9,000 to £7,500. The total going out of the household is unchanged, and EM is still hugely over-provided. To model it, change Assumptions cell C80 (VM) to 1500 and D80 (EM) to 7500, and set C81/C82 to 2026 and 2038.</t>
  </si>
  <si>
    <t xml:space="preserve">Junior ISA rules that matter here</t>
  </si>
  <si>
    <t xml:space="preserve">•  £9,000 a year per child, completely separate from your own £20,000 adult ISA allowances. Frozen at £9,000 until April 2031.</t>
  </si>
  <si>
    <t xml:space="preserve">•  Nothing can be withdrawn before the child is 18 — not by you, not by them. It cannot be used for school fees or anything else along the way.</t>
  </si>
  <si>
    <t xml:space="preserve">•  On the child's 18th birthday the account converts automatically into an adult ISA in their name. They control it. They can spend it on a degree, a deposit, or a gap year — that is their call, not yours.</t>
  </si>
  <si>
    <t xml:space="preserve">•  Growth and withdrawals are entirely free of income tax and capital gains tax.</t>
  </si>
  <si>
    <t xml:space="preserve">•  Timing check — VM turns 18 in December 2038 and starts university in October 2039, so her money is available in good time. EM turns 18 on 14 December 2042 but starts university in October 2042, so his first term falls two months before he can touch the account: budget to fund roughly one term from household cash.</t>
  </si>
  <si>
    <t xml:space="preserve">SCENARIO — A THIRD CHILD BORN JULY 2027</t>
  </si>
  <si>
    <t xml:space="preserve">What it costs:</t>
  </si>
  <si>
    <t xml:space="preserve">•  Nursery from September 2028 to August 2031 at £2,700 a month — about £97,000 in 2026 money.</t>
  </si>
  <si>
    <t xml:space="preserve">•  Extra general spending of £500 a month from July 2027 onward, £171,000 in 2026 money over the projection (an assumption, not something you gave us — Assumptions cell C61).</t>
  </si>
  <si>
    <t xml:space="preserve">•  A third Junior ISA at £9,000 a year from 2028 to 2044, which fully funds that child's degree in 2045-47 with a large surplus.</t>
  </si>
  <si>
    <t xml:space="preserve">•  Nannies are UNCHANGED. The third child starts Reception in September 2031, but EM turns 10 in December 2033, and the later date governs.</t>
  </si>
  <si>
    <t xml:space="preserve">What it does to the picture:</t>
  </si>
  <si>
    <t xml:space="preserve">The hard years are 2029 to 2031, when household spending peaks at £131,400 a year in today's money against £78,000 of free cash — a shortfall of about £53,000 a year met by selling ISA assets. Liquid savings stall around £310,000 to £360,000 instead of climbing.</t>
  </si>
  <si>
    <t xml:space="preserve">Coverage from 2034 is 1.24 rather than 1.34 — thinner, but still clear of the 1.20 bar.</t>
  </si>
  <si>
    <t xml:space="preserve">The answer: DM can still stop at the end of 2033, aged 51 — again, provided VM's Junior ISA is topped up. Without that, 2040 and 2041 fail the income test (coverage 1.14 and 0.94) and the sustained date slips to 2042.</t>
  </si>
  <si>
    <t xml:space="preserve">Not modelled: any maternity or parental leave hit to MM's income. Scen_3rd_Child cell C4 lets you enter one. A year at statutory pay would cost roughly £100,000 of take-home and knock liquid savings down by about that much — but it would not move the 2034 date, because that date is set by the level of spending, not by the size of the savings pot.</t>
  </si>
  <si>
    <t xml:space="preserve">WHAT WOULD CHANGE THE ANSWER</t>
  </si>
  <si>
    <t xml:space="preserve">•  The 10% return assumption.  It does NOT affect the exit date, because Test 1 has nothing to do with investment returns. It affects how rich you end up, and Test 3 — where there is enormous headroom (the pensions clear the bar by more than 2x even if DM stops in 2026). Assumptions cell C27.</t>
  </si>
  <si>
    <t xml:space="preserve">•  The mortgage.  We assumed £1,950 a month for the full 30 years, inflated. If it actually ends earlier, put the year in Assumptions cell C53. Every year after the mortgage ends adds about £23,400 of headroom in today's money — enough on its own to bring the exit date forward.</t>
  </si>
  <si>
    <t xml:space="preserve">•  Whether MM keeps saving into her pension.  Test 1 assumes she stops entirely, which is what makes 1.34x coverage possible. If she keeps putting £20,000 a year in, coverage from 2034 falls to roughly 1.15 and you would want either to wait or to accept a small annual draw on the ISA.</t>
  </si>
  <si>
    <t xml:space="preserve">•  DM earning anything from the business.  The headline date assumes zero, forever. That is the single most conservative thing in this model. In the 2029-2033 window MM is short of the 1.20x bar by about £11,200 a year of take-home — which £13,000 of business profit covers, because DM would have no other income and almost all of it falls inside his personal allowance. Tested in the model: exit at the end of 2028 on £13,000 of profit holds coverage at 1.22x or better every year and grows liquid savings from £377,000 to £8.1m. Scen_DM_Exit cell C7.</t>
  </si>
  <si>
    <t xml:space="preserve">•  The £100,000 business seed capital.  If the business needs more, Test 2 tightens — though at £757,000 of liquid savings by the end of 2033 there is room for a much bigger number. Assumptions cell C92.</t>
  </si>
  <si>
    <t xml:space="preserve">WHAT IS NOT IN THE MODEL AT ALL</t>
  </si>
  <si>
    <t xml:space="preserve">•  The house, and any equity in it. Only the mortgage payment appears.</t>
  </si>
  <si>
    <t xml:space="preserve">•  Employer pension contributions. We assumed the £60,000 annual allowance is filled personally. If employers contribute, the personal cost is lower and free cash is higher — this makes the projection pessimistic.</t>
  </si>
  <si>
    <t xml:space="preserve">•  Bonuses, share options, inheritance, or any other lump sum.</t>
  </si>
  <si>
    <t xml:space="preserve">•  Private school fees. Everything assumes state school to 18.</t>
  </si>
  <si>
    <t xml:space="preserve">•  Care costs for elderly parents; death, disability, serious illness or divorce. Check life cover and income protection separately — with one earner carrying the household from 2034, MM's income protection becomes the single most important policy you own.</t>
  </si>
  <si>
    <t xml:space="preserve">•  Any support for the children after they graduate — house deposits, weddings, and so on. Your instruction was that they support themselves.</t>
  </si>
  <si>
    <t xml:space="preserve">•  Changes to UK pension, ISA or tax rules over thirty years, which are close to a certainty.</t>
  </si>
  <si>
    <t xml:space="preserve">This is a planning model, not regulated financial advice.</t>
  </si>
  <si>
    <t xml:space="preserve">FAMILY JOINT FINANCES — 30-YEAR PROJECTION | ASSUMPTIONS</t>
  </si>
  <si>
    <t xml:space="preserve">Model years are CALENDAR years. Tax parameters use the UK tax year beginning in April of that year. School / university years begin in the September of that year. All 2026 figures are as supplied by the family.</t>
  </si>
  <si>
    <t xml:space="preserve">COLOUR KEY:  blue = input you can change   |   black = formula   |   green = link to another sheet   |   yellow fill = key assumption</t>
  </si>
  <si>
    <t xml:space="preserve">1.  TIMELINE, INFLATION AND AGES</t>
  </si>
  <si>
    <t xml:space="preserve">Year</t>
  </si>
  <si>
    <t xml:space="preserve">Projection year</t>
  </si>
  <si>
    <t xml:space="preserve">User instruction: 4% for the next two years, 2% thereafter to perpetuity.</t>
  </si>
  <si>
    <t xml:space="preserve">User instruction: 4% p.a. for two years, then 2% p.a. to perpetuity.</t>
  </si>
  <si>
    <t xml:space="preserve">Inflation index (2026 = 1.00)</t>
  </si>
  <si>
    <t xml:space="preserve">Tax / allowance threshold uprating</t>
  </si>
  <si>
    <t xml:space="preserve">Income-tax thresholds, the personal allowance, the pension annual allowance and the ISA/JISA allowances are frozen in cash terms to 2030/31 under current UK policy, then assumed to rise with inflation.</t>
  </si>
  <si>
    <t xml:space="preserve">Tax threshold index (2026 = 1.00)</t>
  </si>
  <si>
    <t xml:space="preserve">MM age (at 31 December)</t>
  </si>
  <si>
    <t xml:space="preserve">DM age (at 31 December)</t>
  </si>
  <si>
    <t xml:space="preserve">VM age (at 31 December)</t>
  </si>
  <si>
    <t xml:space="preserve">EM age (at 31 December)</t>
  </si>
  <si>
    <t xml:space="preserve">Child 3 age (scenario only, at 31 December)</t>
  </si>
  <si>
    <t xml:space="preserve">2.  THE TWO EARNERS — POSITION AT THE START OF 2026</t>
  </si>
  <si>
    <t xml:space="preserve">MM</t>
  </si>
  <si>
    <t xml:space="preserve">DM</t>
  </si>
  <si>
    <t xml:space="preserve">Source / note</t>
  </si>
  <si>
    <t xml:space="preserve">Gross salary (£ per year)</t>
  </si>
  <si>
    <t xml:space="preserve">Supplied by the family.</t>
  </si>
  <si>
    <t xml:space="preserve">Age at 31 December 2026</t>
  </si>
  <si>
    <t xml:space="preserve">Stocks &amp; shares ISA balance (£)</t>
  </si>
  <si>
    <t xml:space="preserve">SIPP / pension balance (£)</t>
  </si>
  <si>
    <t xml:space="preserve">Personal expenses (£ per month, 2026 prices)</t>
  </si>
  <si>
    <t xml:space="preserve">3.  INVESTMENT RETURNS</t>
  </si>
  <si>
    <t xml:space="preserve">Nominal return on ISA / Junior ISA / SIPP</t>
  </si>
  <si>
    <t xml:space="preserve">User instruction: 'assume that compounds at 10% a year'. Applied to every invested pot. AGGRESSIVE — see README.</t>
  </si>
  <si>
    <t xml:space="preserve">Net return on taxable (non-ISA) savings</t>
  </si>
  <si>
    <t xml:space="preserve">10% gross less ~1.5%/yr assumed drag for dividend tax and CGT on a general investment account.</t>
  </si>
  <si>
    <t xml:space="preserve">Implied real return (at 2% long-run inflation)</t>
  </si>
  <si>
    <t xml:space="preserve">4.  CONTRIBUTION ALLOWANCES (2026/27 level — uprated by the tax threshold index)</t>
  </si>
  <si>
    <t xml:space="preserve">Pension annual allowance (each)</t>
  </si>
  <si>
    <t xml:space="preserve">UK annual allowance, 2026/27.</t>
  </si>
  <si>
    <t xml:space="preserve">ISA allowance (each)</t>
  </si>
  <si>
    <t xml:space="preserve">UK adult ISA allowance, 2026/27.</t>
  </si>
  <si>
    <t xml:space="preserve">Junior ISA allowance (per child)</t>
  </si>
  <si>
    <t xml:space="preserve">UK JISA allowance — frozen at £9,000 until April 2031. Separate from the adult ISA allowance.</t>
  </si>
  <si>
    <t xml:space="preserve">Pension taper: adjusted income threshold</t>
  </si>
  <si>
    <t xml:space="preserve">Annual allowance is cut by £1 for every £2 of adjusted income above this.</t>
  </si>
  <si>
    <t xml:space="preserve">Pension taper: minimum annual allowance</t>
  </si>
  <si>
    <t xml:space="preserve">Floor on the tapered annual allowance.</t>
  </si>
  <si>
    <t xml:space="preserve">5.  UK TAX PARAMETERS (England &amp; Wales, 2026/27)</t>
  </si>
  <si>
    <t xml:space="preserve">Personal allowance</t>
  </si>
  <si>
    <t xml:space="preserve">All figures are the published 2026/27 England &amp; Wales rates and thresholds.</t>
  </si>
  <si>
    <t xml:space="preserve">Personal allowance taper starts (adjusted net income)</t>
  </si>
  <si>
    <t xml:space="preserve">Basic rate limit (taxable income)</t>
  </si>
  <si>
    <t xml:space="preserve">Additional rate threshold (taxable income)</t>
  </si>
  <si>
    <t xml:space="preserve">Basic rate of income tax</t>
  </si>
  <si>
    <t xml:space="preserve">Higher rate of income tax</t>
  </si>
  <si>
    <t xml:space="preserve">Additional rate of income tax</t>
  </si>
  <si>
    <t xml:space="preserve">National Insurance primary threshold</t>
  </si>
  <si>
    <t xml:space="preserve">National Insurance upper earnings limit</t>
  </si>
  <si>
    <t xml:space="preserve">National Insurance main rate</t>
  </si>
  <si>
    <t xml:space="preserve">National Insurance upper rate</t>
  </si>
  <si>
    <t xml:space="preserve">6.  HOUSEHOLD EXPENSES (2026 prices — every line is inflated year by year)</t>
  </si>
  <si>
    <t xml:space="preserve">Mortgage (£ per month)</t>
  </si>
  <si>
    <t xml:space="preserve">Final year of mortgage payments</t>
  </si>
  <si>
    <t xml:space="preserve">NOT SUPPLIED — assumed to run for the whole projection (conservative). Change this if the term is known.</t>
  </si>
  <si>
    <t xml:space="preserve">General family spending (£ per month)</t>
  </si>
  <si>
    <t xml:space="preserve">Supplied by the family ('family monthly about £2k a month').</t>
  </si>
  <si>
    <t xml:space="preserve">Nannies (£ per month, both together)</t>
  </si>
  <si>
    <t xml:space="preserve">Last full year of nanny costs</t>
  </si>
  <si>
    <t xml:space="preserve">EM turns 10 on 14 December 2033 — user instruction: no nannies after EM is 10.</t>
  </si>
  <si>
    <t xml:space="preserve">Nursery (£ per month, per child)</t>
  </si>
  <si>
    <t xml:space="preserve">Supplied by the family (EM's current fees).</t>
  </si>
  <si>
    <t xml:space="preserve">Travel — China (£ per year)</t>
  </si>
  <si>
    <t xml:space="preserve">Supplied by the family, 2026 prices.</t>
  </si>
  <si>
    <t xml:space="preserve">Travel — Italy (£ per year)</t>
  </si>
  <si>
    <t xml:space="preserve">Travel — family holiday (£ per year)</t>
  </si>
  <si>
    <t xml:space="preserve">Extra general spending per additional child (£/month)</t>
  </si>
  <si>
    <t xml:space="preserve">NOT SUPPLIED — assumption used only in the third-child scenario (food, clothes, activities, kit).</t>
  </si>
  <si>
    <t xml:space="preserve">7.  UNIVERSITY (UK home student, Oxford / Cambridge cost level, 2026/27 prices)</t>
  </si>
  <si>
    <t xml:space="preserve">Tuition fee (£ per year)</t>
  </si>
  <si>
    <t xml:space="preserve">England home-fee cap for 2026/27 (up from £9,535 in 2025/26). Source: DfE / Higher Education (Fee Limits) Regulations, via House of Commons Library CBP-10155.</t>
  </si>
  <si>
    <t xml:space="preserve">Accommodation and living costs (£ per year)</t>
  </si>
  <si>
    <t xml:space="preserve">University of Cambridge estimated 2026-27 living cost for a student in Cambridge ALL YEAR ROUND (term-time only is £11,745). Source: undergraduate.study.cam.ac.uk/fees-funding/living-costs.</t>
  </si>
  <si>
    <t xml:space="preserve">Length of undergraduate course (years)</t>
  </si>
  <si>
    <t xml:space="preserve">Standard English three-year undergraduate degree. Cambridge/Oxford four-year courses would add one year.</t>
  </si>
  <si>
    <t xml:space="preserve">8.  CHILDREN — DATES, CHILDCARE AND JUNIOR ISAs</t>
  </si>
  <si>
    <t xml:space="preserve">VM</t>
  </si>
  <si>
    <t xml:space="preserve">EM</t>
  </si>
  <si>
    <t xml:space="preserve">Child 3 (scenario)</t>
  </si>
  <si>
    <t xml:space="preserve">Note</t>
  </si>
  <si>
    <t xml:space="preserve">Date of birth</t>
  </si>
  <si>
    <t xml:space="preserve">27/12/2020</t>
  </si>
  <si>
    <t xml:space="preserve">14/12/2023</t>
  </si>
  <si>
    <t xml:space="preserve">01/07/2027</t>
  </si>
  <si>
    <t xml:space="preserve">Supplied by the family. Child 3 assumed born July 2027.</t>
  </si>
  <si>
    <t xml:space="preserve">Starts Reception (September of)</t>
  </si>
  <si>
    <t xml:space="preserve">English school year runs Sept-Aug; a child born in Dec 2020 starts Reception in Sept 2025, Dec 2023 in Sept 2028 (matches the family's own statement), Jul 2027 in Sept 2031.</t>
  </si>
  <si>
    <t xml:space="preserve">Nursery — first year of fees</t>
  </si>
  <si>
    <t xml:space="preserve">VM is already at school. Child 3 starts full-time nursery Sept 2028 per the scenario.</t>
  </si>
  <si>
    <t xml:space="preserve">Nursery — months charged in the first year</t>
  </si>
  <si>
    <t xml:space="preserve">Child 3: September to December 2028 = 4 months.</t>
  </si>
  <si>
    <t xml:space="preserve">Nursery — last year of fees</t>
  </si>
  <si>
    <t xml:space="preserve">Fees stop when the child starts Reception.</t>
  </si>
  <si>
    <t xml:space="preserve">Nursery — months charged in the last year</t>
  </si>
  <si>
    <t xml:space="preserve">January to August = 8 months.</t>
  </si>
  <si>
    <t xml:space="preserve">Turns 18 (Junior ISA matures into an adult ISA)</t>
  </si>
  <si>
    <t xml:space="preserve">A JISA automatically becomes an adult ISA at 18 and the child gains full, tax-free access.</t>
  </si>
  <si>
    <t xml:space="preserve">First university year (starts September of)</t>
  </si>
  <si>
    <t xml:space="preserve">After Year 13. VM: summer 2039. EM: summer 2042. Child 3: summer 2045.</t>
  </si>
  <si>
    <t xml:space="preserve">Last university year</t>
  </si>
  <si>
    <t xml:space="preserve">Three-year undergraduate degree.</t>
  </si>
  <si>
    <t xml:space="preserve">Junior ISA balance at the start of 2026 (£)</t>
  </si>
  <si>
    <t xml:space="preserve">Supplied by the family — VM has £15k in a Junior ISA; EM has none yet.</t>
  </si>
  <si>
    <t xml:space="preserve">Junior ISA contribution (£ per year)</t>
  </si>
  <si>
    <t xml:space="preserve">User instruction: DM will put £9k a year into EM's JISA. VM currently receives nothing — see the Analysis sheet, this is the single biggest fixable gap.</t>
  </si>
  <si>
    <t xml:space="preserve">Junior ISA — first contribution year</t>
  </si>
  <si>
    <t xml:space="preserve">Child 3 assumed to start in the first full year after birth.</t>
  </si>
  <si>
    <t xml:space="preserve">Junior ISA — last contribution year</t>
  </si>
  <si>
    <t xml:space="preserve">Contributions must stop on the child's 18th birthday.</t>
  </si>
  <si>
    <t xml:space="preserve">Birth year (Child 3 scenario)</t>
  </si>
  <si>
    <t xml:space="preserve">Scenario only.</t>
  </si>
  <si>
    <t xml:space="preserve">Months of extra spending in birth year</t>
  </si>
  <si>
    <t xml:space="preserve">Born July 2027 — six months of 2027.</t>
  </si>
  <si>
    <t xml:space="preserve">9.  DEFINITION OF 'ENOUGH' — THE THREE TESTS FOR DM STOPPING WORK</t>
  </si>
  <si>
    <t xml:space="preserve">Pension access age</t>
  </si>
  <si>
    <t xml:space="preserve">Normal minimum pension age is 57 from April 2028.</t>
  </si>
  <si>
    <t xml:space="preserve">Year DM reaches pension access age</t>
  </si>
  <si>
    <t xml:space="preserve">Calculated.</t>
  </si>
  <si>
    <t xml:space="preserve">Year MM reaches pension access age</t>
  </si>
  <si>
    <t xml:space="preserve">TEST 1 — required income coverage ratio</t>
  </si>
  <si>
    <t xml:space="preserve">MM's take-home pay alone (with no pension saving) must cover at least 120% of total household spending. The 20% margin absorbs tax changes, one-off costs and leaves room to keep saving.</t>
  </si>
  <si>
    <t xml:space="preserve">TEST 2 — emergency fund (months of household spending)</t>
  </si>
  <si>
    <t xml:space="preserve">Two years of total household spending held in accessible ISA / taxable savings.</t>
  </si>
  <si>
    <t xml:space="preserve">TEST 2 — business seed capital required (2026 £)</t>
  </si>
  <si>
    <t xml:space="preserve">Cash DM can put into the new business and lose entirely without touching the emergency fund. NOT SUPPLIED — change it to whatever the business actually needs.</t>
  </si>
  <si>
    <t xml:space="preserve">TEST 3 — safe withdrawal rate in retirement</t>
  </si>
  <si>
    <t xml:space="preserve">The '4% rule' — the pot must be 25x the annual spend it has to support.</t>
  </si>
  <si>
    <t xml:space="preserve">TEST 3 — assumed tax rate on pension withdrawals</t>
  </si>
  <si>
    <t xml:space="preserve">Blended rate after the 25% tax-free lump sum. Required pot is grossed up for this.</t>
  </si>
  <si>
    <t xml:space="preserve">UK TAX AND ALLOWANCE THRESHOLDS BY YEAR</t>
  </si>
  <si>
    <t xml:space="preserve">2026/27 statutory figures from the Assumptions sheet, held flat in cash terms to 2030/31 (current UK policy) and then uprated with inflation.</t>
  </si>
  <si>
    <t xml:space="preserve">THRESHOLDS AND RATES</t>
  </si>
  <si>
    <t xml:space="preserve">Threshold uprating index (2026 = 1.00)</t>
  </si>
  <si>
    <t xml:space="preserve">Personal allowance taper starts</t>
  </si>
  <si>
    <t xml:space="preserve">Basic rate</t>
  </si>
  <si>
    <t xml:space="preserve">Higher rate</t>
  </si>
  <si>
    <t xml:space="preserve">Additional rate</t>
  </si>
  <si>
    <t xml:space="preserve">MM — INCOME, TAX AND PERSONAL BALANCES</t>
  </si>
  <si>
    <t xml:space="preserve">Pension contributions are made gross into a SIPP: the basic-rate and higher/additional-rate bands are extended by the gross contribution and the personal allowance is restored, which is the correct treatment for relief-at-source personal contributions. National Insurance is NOT reduced (no salary sacrifice assumed).</t>
  </si>
  <si>
    <t xml:space="preserve">MM — INCOME STATEMENT</t>
  </si>
  <si>
    <t xml:space="preserve">Age at 31 December</t>
  </si>
  <si>
    <t xml:space="preserve">Gross salary</t>
  </si>
  <si>
    <t xml:space="preserve">Gross SIPP contribution (annual allowance, tapered if needed)</t>
  </si>
  <si>
    <t xml:space="preserve">Adjusted net income (salary less gross pension contribution)</t>
  </si>
  <si>
    <t xml:space="preserve">Personal allowance after taper</t>
  </si>
  <si>
    <t xml:space="preserve">Taxable income</t>
  </si>
  <si>
    <t xml:space="preserve">Basic rate limit extended by pension contribution</t>
  </si>
  <si>
    <t xml:space="preserve">Additional rate threshold extended by pension contribution</t>
  </si>
  <si>
    <t xml:space="preserve">Income tax</t>
  </si>
  <si>
    <t xml:space="preserve">Employee National Insurance</t>
  </si>
  <si>
    <t xml:space="preserve">POST-TAX INCOME (after income tax and NI)</t>
  </si>
  <si>
    <t xml:space="preserve">Effective tax + NI rate</t>
  </si>
  <si>
    <t xml:space="preserve">Less: gross SIPP contribution</t>
  </si>
  <si>
    <t xml:space="preserve">Less: ISA contribution (maxed out)</t>
  </si>
  <si>
    <t xml:space="preserve">FREE CASH CONTRIBUTED TO THE HOUSEHOLD</t>
  </si>
  <si>
    <t xml:space="preserve">MM — PENSION (SIPP) BALANCE</t>
  </si>
  <si>
    <t xml:space="preserve">Opening balance</t>
  </si>
  <si>
    <t xml:space="preserve">Add: contributions</t>
  </si>
  <si>
    <t xml:space="preserve">Add: investment growth</t>
  </si>
  <si>
    <t xml:space="preserve">CLOSING BALANCE</t>
  </si>
  <si>
    <t xml:space="preserve">MM — ISA BALANCE</t>
  </si>
  <si>
    <t xml:space="preserve">Less: share of household cash shortfall</t>
  </si>
  <si>
    <t xml:space="preserve">MEMO — MM TAKE-HOME PAY IF NO PENSION CONTRIBUTION WERE MADE</t>
  </si>
  <si>
    <t xml:space="preserve">Used by the 'can we live on one salary?' test.</t>
  </si>
  <si>
    <t xml:space="preserve">Personal allowance after taper (no pension)</t>
  </si>
  <si>
    <t xml:space="preserve">Taxable income (no pension)</t>
  </si>
  <si>
    <t xml:space="preserve">Income tax (no pension)</t>
  </si>
  <si>
    <t xml:space="preserve">TAKE-HOME PAY WITH NO PENSION SAVING</t>
  </si>
  <si>
    <t xml:space="preserve">DM — INCOME, TAX AND PERSONAL BALANCES</t>
  </si>
  <si>
    <t xml:space="preserve">DM — INCOME STATEMENT</t>
  </si>
  <si>
    <t xml:space="preserve">DM — PENSION (SIPP) BALANCE</t>
  </si>
  <si>
    <t xml:space="preserve">DM — ISA BALANCE</t>
  </si>
  <si>
    <t xml:space="preserve">MEMO — DM TAKE-HOME PAY IF NO PENSION CONTRIBUTION WERE MADE</t>
  </si>
  <si>
    <t xml:space="preserve">CHILDREN — CHILDCARE, UNIVERSITY AND JUNIOR ISAs</t>
  </si>
  <si>
    <t xml:space="preserve">Junior ISA rules applied: £9,000 a year per child (separate from the adult ISA allowance, frozen to April 2031); no withdrawals before 18; the account converts automatically to an adult ISA at 18 and is then fully accessible tax-free. Each child's JISA is applied to their own university costs first; the household pays only the shortfall.</t>
  </si>
  <si>
    <t xml:space="preserve">TIMELINE</t>
  </si>
  <si>
    <t xml:space="preserve">VM age</t>
  </si>
  <si>
    <t xml:space="preserve">EM age</t>
  </si>
  <si>
    <t xml:space="preserve">CHILDCARE (base case — VM and EM)</t>
  </si>
  <si>
    <t xml:space="preserve">EM — months of nursery charged</t>
  </si>
  <si>
    <t xml:space="preserve">EM — nursery fees</t>
  </si>
  <si>
    <t xml:space="preserve">Nannies (both, until EM turns 10)</t>
  </si>
  <si>
    <t xml:space="preserve">UNIVERSITY COST PER STUDENT-YEAR</t>
  </si>
  <si>
    <t xml:space="preserve">Tuition fee (inflated)</t>
  </si>
  <si>
    <t xml:space="preserve">Accommodation and living costs (inflated)</t>
  </si>
  <si>
    <t xml:space="preserve">TOTAL COST PER STUDENT-YEAR</t>
  </si>
  <si>
    <t xml:space="preserve">VM — UNIVERSITY AND JUNIOR ISA</t>
  </si>
  <si>
    <t xml:space="preserve">At university? (1 = yes)</t>
  </si>
  <si>
    <t xml:space="preserve">Gross university cost</t>
  </si>
  <si>
    <t xml:space="preserve">VM — Junior ISA opening balance</t>
  </si>
  <si>
    <t xml:space="preserve">Add: contribution (capped at the JISA allowance)</t>
  </si>
  <si>
    <t xml:space="preserve">Less: withdrawal towards university (available from 18)</t>
  </si>
  <si>
    <t xml:space="preserve">VM — JUNIOR ISA CLOSING BALANCE</t>
  </si>
  <si>
    <t xml:space="preserve">EM — UNIVERSITY AND JUNIOR ISA</t>
  </si>
  <si>
    <t xml:space="preserve">EM — Junior ISA opening balance</t>
  </si>
  <si>
    <t xml:space="preserve">EM — JUNIOR ISA CLOSING BALANCE</t>
  </si>
  <si>
    <t xml:space="preserve">NET COST TO THE HOUSEHOLD (base case)</t>
  </si>
  <si>
    <t xml:space="preserve">VM university cost after her Junior ISA</t>
  </si>
  <si>
    <t xml:space="preserve">EM university cost after his Junior ISA</t>
  </si>
  <si>
    <t xml:space="preserve">TOTAL UNIVERSITY COST TO THE HOUSEHOLD</t>
  </si>
  <si>
    <t xml:space="preserve">TOTAL JUNIOR ISA CONTRIBUTIONS PAID (base case)</t>
  </si>
  <si>
    <t xml:space="preserve">Memo: children's Junior ISA assets at year end</t>
  </si>
  <si>
    <t xml:space="preserve">CHILD 3 (THIRD-CHILD SCENARIO ONLY)</t>
  </si>
  <si>
    <t xml:space="preserve">Child 3 — months of nursery charged</t>
  </si>
  <si>
    <t xml:space="preserve">Child 3 — nursery fees</t>
  </si>
  <si>
    <t xml:space="preserve">Child 3 — extra general family spending</t>
  </si>
  <si>
    <t xml:space="preserve">Child 3 — at university? (1 = yes)</t>
  </si>
  <si>
    <t xml:space="preserve">Child 3 — gross university cost</t>
  </si>
  <si>
    <t xml:space="preserve">Child 3 — Junior ISA opening balance</t>
  </si>
  <si>
    <t xml:space="preserve">Child 3 — JUNIOR ISA CLOSING BALANCE</t>
  </si>
  <si>
    <t xml:space="preserve">Child 3 — university cost after their Junior ISA</t>
  </si>
  <si>
    <t xml:space="preserve">HOUSEHOLD — BASE CASE (BOTH WORKING, TWO CHILDREN)</t>
  </si>
  <si>
    <t xml:space="preserve">As instructed: both SIPPs and both ISAs are maxed out every year, and DM pays £9,000 a year into EM's Junior ISA. Any cash shortfall after that is met first from taxable savings, then from the ISAs; any surplus is added to taxable savings (the ISA allowance is already fully used).</t>
  </si>
  <si>
    <t xml:space="preserve">HOUSEHOLD INCOME</t>
  </si>
  <si>
    <t xml:space="preserve">MM — post-tax income</t>
  </si>
  <si>
    <t xml:space="preserve">DM — post-tax income</t>
  </si>
  <si>
    <t xml:space="preserve">TOTAL HOUSEHOLD POST-TAX INCOME</t>
  </si>
  <si>
    <t xml:space="preserve">LONG-TERM SAVINGS CONTRIBUTIONS (maxed out, per instruction)</t>
  </si>
  <si>
    <t xml:space="preserve">MM — SIPP</t>
  </si>
  <si>
    <t xml:space="preserve">DM — SIPP</t>
  </si>
  <si>
    <t xml:space="preserve">MM — ISA</t>
  </si>
  <si>
    <t xml:space="preserve">DM — ISA</t>
  </si>
  <si>
    <t xml:space="preserve">Junior ISAs (children)</t>
  </si>
  <si>
    <t xml:space="preserve">TOTAL CONTRIBUTIONS</t>
  </si>
  <si>
    <t xml:space="preserve">FREE CASH AFTER SAVINGS CONTRIBUTIONS</t>
  </si>
  <si>
    <t xml:space="preserve">HOUSEHOLD EXPENSES (2026 amounts, inflated every year)</t>
  </si>
  <si>
    <t xml:space="preserve">MM — personal expenses</t>
  </si>
  <si>
    <t xml:space="preserve">DM — personal expenses</t>
  </si>
  <si>
    <t xml:space="preserve">Mortgage</t>
  </si>
  <si>
    <t xml:space="preserve">General family spending</t>
  </si>
  <si>
    <t xml:space="preserve">Nannies</t>
  </si>
  <si>
    <t xml:space="preserve">Nursery — EM</t>
  </si>
  <si>
    <t xml:space="preserve">Travel — China</t>
  </si>
  <si>
    <t xml:space="preserve">Travel — Italy</t>
  </si>
  <si>
    <t xml:space="preserve">Travel — family holiday</t>
  </si>
  <si>
    <t xml:space="preserve">University (net of the children's Junior ISAs)</t>
  </si>
  <si>
    <t xml:space="preserve">TOTAL HOUSEHOLD EXPENSES</t>
  </si>
  <si>
    <t xml:space="preserve">Memo: total expenses in 2026 money</t>
  </si>
  <si>
    <t xml:space="preserve">Memo: adult-only expenses (excludes childcare and university)</t>
  </si>
  <si>
    <t xml:space="preserve">NET HOUSEHOLD CASH FLOW</t>
  </si>
  <si>
    <t xml:space="preserve">SURPLUS / (SHORTFALL) AFTER MAXING ALL CONTRIBUTIONS</t>
  </si>
  <si>
    <t xml:space="preserve">BALANCE SHEET AT YEAR END</t>
  </si>
  <si>
    <t xml:space="preserve">Taxable (non-ISA) savings — opening</t>
  </si>
  <si>
    <t xml:space="preserve">Add: growth</t>
  </si>
  <si>
    <t xml:space="preserve">Add / (less): net household cash flow</t>
  </si>
  <si>
    <t xml:space="preserve">Taxable savings — closing</t>
  </si>
  <si>
    <t xml:space="preserve">ISA drawdown required to plug the shortfall</t>
  </si>
  <si>
    <t xml:space="preserve">of which drawn from MM's ISA</t>
  </si>
  <si>
    <t xml:space="preserve">of which drawn from DM's ISA</t>
  </si>
  <si>
    <t xml:space="preserve">MM — ISA closing balance</t>
  </si>
  <si>
    <t xml:space="preserve">DM — ISA closing balance</t>
  </si>
  <si>
    <t xml:space="preserve">HOUSEHOLD ISA BALANCE</t>
  </si>
  <si>
    <t xml:space="preserve">MM — SIPP closing balance</t>
  </si>
  <si>
    <t xml:space="preserve">DM — SIPP closing balance</t>
  </si>
  <si>
    <t xml:space="preserve">HOUSEHOLD PENSION BALANCE</t>
  </si>
  <si>
    <t xml:space="preserve">TOTAL HOUSEHOLD NET WORTH (excluding the house)</t>
  </si>
  <si>
    <t xml:space="preserve">Memo: net worth in 2026 money</t>
  </si>
  <si>
    <t xml:space="preserve">Memo: LIQUID savings (ISA + taxable)</t>
  </si>
  <si>
    <t xml:space="preserve">Memo: children's Junior ISA assets (theirs, not the household's)</t>
  </si>
  <si>
    <t xml:space="preserve">KEY RATIOS AND CHECKS</t>
  </si>
  <si>
    <t xml:space="preserve">MM take-home (no pension saving) ÷ household expenses</t>
  </si>
  <si>
    <t xml:space="preserve">DM take-home (no pension saving) ÷ household expenses</t>
  </si>
  <si>
    <t xml:space="preserve">Total household post-tax income ÷ household expenses</t>
  </si>
  <si>
    <t xml:space="preserve">Liquid savings ÷ annual expenses (years of cover)</t>
  </si>
  <si>
    <t xml:space="preserve">CHECK — unfunded shortfall (must be zero)</t>
  </si>
  <si>
    <t xml:space="preserve">WHEN CAN DM STOP WORKING?  —  THE THREE TESTS, YEAR BY YEAR</t>
  </si>
  <si>
    <t xml:space="preserve">Each column asks: if DM stopped employment at the END of this year, would the family be safe? Balances are the base-case balances, which is exactly what they would have accumulated up to that point. DM is assumed to earn NOTHING from the new business — any business income is upside.</t>
  </si>
  <si>
    <t xml:space="preserve">DM age at 31 December</t>
  </si>
  <si>
    <t xml:space="preserve">MM age at 31 December</t>
  </si>
  <si>
    <t xml:space="preserve">TEST 1 — INCOME.  Can MM's salary alone cover the whole family, with a margin?</t>
  </si>
  <si>
    <t xml:space="preserve">MM take-home pay, making no pension contribution</t>
  </si>
  <si>
    <t xml:space="preserve">Coverage ratio</t>
  </si>
  <si>
    <t xml:space="preserve">Required coverage ratio</t>
  </si>
  <si>
    <t xml:space="preserve">TEST 1 PASSED? (1 = yes)</t>
  </si>
  <si>
    <t xml:space="preserve">TEST 2 — LIQUIDITY.  Two years of spending in the bank, plus capital for the business.</t>
  </si>
  <si>
    <t xml:space="preserve">Liquid savings at year end (ISA + taxable)</t>
  </si>
  <si>
    <t xml:space="preserve">Required: emergency fund</t>
  </si>
  <si>
    <t xml:space="preserve">Required: business seed capital</t>
  </si>
  <si>
    <t xml:space="preserve">Total liquidity required</t>
  </si>
  <si>
    <t xml:space="preserve">TEST 2 PASSED? (1 = yes)</t>
  </si>
  <si>
    <t xml:space="preserve">TEST 3 — RETIREMENT.  Are the pensions already big enough without another penny from DM?</t>
  </si>
  <si>
    <t xml:space="preserve">Combined pension pot at year end</t>
  </si>
  <si>
    <t xml:space="preserve">Test year (the later of this year and DM reaching 57)</t>
  </si>
  <si>
    <t xml:space="preserve">Years of compounding to the test year</t>
  </si>
  <si>
    <t xml:space="preserve">Pot projected to the test year, with NO further contributions</t>
  </si>
  <si>
    <t xml:space="preserve">Adult-only household spending in the test year</t>
  </si>
  <si>
    <t xml:space="preserve">Required pot (25x spending, grossed up for withdrawal tax)</t>
  </si>
  <si>
    <t xml:space="preserve">TEST 3 PASSED? (1 = yes)</t>
  </si>
  <si>
    <t xml:space="preserve">VERDICT</t>
  </si>
  <si>
    <t xml:space="preserve">ALL THREE TESTS PASSED THIS YEAR</t>
  </si>
  <si>
    <t xml:space="preserve">...AND PASSED IN EVERY LATER YEAR TOO</t>
  </si>
  <si>
    <t xml:space="preserve">Binding constraint</t>
  </si>
  <si>
    <t xml:space="preserve">EARLIEST YEAR ALL THREE TESTS PASS</t>
  </si>
  <si>
    <t xml:space="preserve">EARLIEST YEAR THEY PASS AND KEEP PASSING</t>
  </si>
  <si>
    <t xml:space="preserve">→ DM's last full year of employment</t>
  </si>
  <si>
    <t xml:space="preserve">→ DM's age when he stops</t>
  </si>
  <si>
    <t xml:space="preserve">NOTE — this verdict uses VM's Junior ISA exactly as it stands today: £15,000, with no further contributions.</t>
  </si>
  <si>
    <t xml:space="preserve">Her Junior ISA runs out during her second year at university. The household then pays £45,500 across 2040 and 2041, and that is what breaks Test 1 in 2041 (coverage falls to 1.00x).</t>
  </si>
  <si>
    <t xml:space="preserve">THE FIX — set Assumptions C80 = 1500, C81 = 2026, C82 = 2038: £1,500 a year into VM's Junior ISA, £19,500 in total.</t>
  </si>
  <si>
    <t xml:space="preserve">Verified result of that one change: her degree is fully funded, 2040 and 2041 coverage rises to 1.34x, and the earliest SUSTAINED exit year moves from 2042 to 2034 — DM's last full working year 2033, aged 51.</t>
  </si>
  <si>
    <t xml:space="preserve">SCENARIO — DM STOPS EMPLOYMENT AND STARTS A BUSINESS</t>
  </si>
  <si>
    <t xml:space="preserve">Change the blue cells to test any exit year. Junior ISA contributions are assumed to continue as in the base case unless you switch them off. Household expenses are identical to the base case.</t>
  </si>
  <si>
    <t xml:space="preserve">DM's last full year of employment</t>
  </si>
  <si>
    <t xml:space="preserve">MM's gross SIPP contribution once DM stops (2026 £/yr)</t>
  </si>
  <si>
    <t xml:space="preserve">MM's ISA contribution once DM stops (2026 £/yr)</t>
  </si>
  <si>
    <t xml:space="preserve">DM's business income once he stops employment (2026 £/yr)</t>
  </si>
  <si>
    <t xml:space="preserve">Keep paying the £9k Junior ISA after DM stops? (1 = yes, 0 = no)</t>
  </si>
  <si>
    <t xml:space="preserve">DM in employment? (1 = yes)</t>
  </si>
  <si>
    <t xml:space="preserve">MM — gross salary</t>
  </si>
  <si>
    <t xml:space="preserve">MM — gross SIPP contribution</t>
  </si>
  <si>
    <t xml:space="preserve">MM — adjusted net income</t>
  </si>
  <si>
    <t xml:space="preserve">MM — personal allowance after taper</t>
  </si>
  <si>
    <t xml:space="preserve">MM — taxable income</t>
  </si>
  <si>
    <t xml:space="preserve">MM — income tax</t>
  </si>
  <si>
    <t xml:space="preserve">MM — employee National Insurance</t>
  </si>
  <si>
    <t xml:space="preserve">MM — POST-TAX INCOME</t>
  </si>
  <si>
    <t xml:space="preserve">MM — ISA contribution</t>
  </si>
  <si>
    <t xml:space="preserve">MM — free cash to the household</t>
  </si>
  <si>
    <t xml:space="preserve">DM — salary while employed / business income afterwards</t>
  </si>
  <si>
    <t xml:space="preserve">DM — gross SIPP contribution</t>
  </si>
  <si>
    <t xml:space="preserve">DM — adjusted net income</t>
  </si>
  <si>
    <t xml:space="preserve">DM — personal allowance after taper</t>
  </si>
  <si>
    <t xml:space="preserve">DM — taxable income</t>
  </si>
  <si>
    <t xml:space="preserve">DM — income tax</t>
  </si>
  <si>
    <t xml:space="preserve">DM — employee National Insurance</t>
  </si>
  <si>
    <t xml:space="preserve">DM — POST-TAX INCOME</t>
  </si>
  <si>
    <t xml:space="preserve">DM — ISA contribution</t>
  </si>
  <si>
    <t xml:space="preserve">DM — free cash to the household</t>
  </si>
  <si>
    <t xml:space="preserve">HOUSEHOLD CASH FLOW</t>
  </si>
  <si>
    <t xml:space="preserve">Junior ISA contributions</t>
  </si>
  <si>
    <t xml:space="preserve">Total free cash after all savings contributions</t>
  </si>
  <si>
    <t xml:space="preserve">Total household expenses (same as the base case)</t>
  </si>
  <si>
    <t xml:space="preserve">Taxable savings — opening</t>
  </si>
  <si>
    <t xml:space="preserve">ISA drawdown required</t>
  </si>
  <si>
    <t xml:space="preserve">Household ISA — opening</t>
  </si>
  <si>
    <t xml:space="preserve">Less: drawdown</t>
  </si>
  <si>
    <t xml:space="preserve">Household ISA — closing</t>
  </si>
  <si>
    <t xml:space="preserve">Household pensions — opening</t>
  </si>
  <si>
    <t xml:space="preserve">Household pensions — closing</t>
  </si>
  <si>
    <t xml:space="preserve">LIQUID SAVINGS (ISA + taxable)</t>
  </si>
  <si>
    <t xml:space="preserve">TOTAL NET WORTH (excluding the house)</t>
  </si>
  <si>
    <t xml:space="preserve">Memo: household income ÷ expenses</t>
  </si>
  <si>
    <t xml:space="preserve">Memo: liquid savings ÷ annual expenses (years)</t>
  </si>
  <si>
    <t xml:space="preserve">CHECK — liquid savings fully exhausted? (1 = yes)</t>
  </si>
  <si>
    <t xml:space="preserve">Third child: full-time nursery from September 2028 to Reception in September 2031; nannies are needed until that child starts Reception, but EM turning 10 in December 2033 is the later constraint, so the nanny bill is unchanged from the base case. Both parents are assumed to keep working and keep maxing their SIPPs and ISAs.</t>
  </si>
  <si>
    <t xml:space="preserve">Maternity / parental leave reduction in MM's take-home pay in 2027 (2026 £)</t>
  </si>
  <si>
    <t xml:space="preserve">NOT SUPPLIED — set to zero. UK statutory maternity pay would cut a £170k salary sharply for up to a year; enter a figure here to see the impact.</t>
  </si>
  <si>
    <t xml:space="preserve">TIMELINE AND INCOME</t>
  </si>
  <si>
    <t xml:space="preserve">Less: maternity / parental leave income reduction</t>
  </si>
  <si>
    <t xml:space="preserve">SAVINGS CONTRIBUTIONS (maxed out, three Junior ISAs)</t>
  </si>
  <si>
    <t xml:space="preserve">SIPP contributions (both)</t>
  </si>
  <si>
    <t xml:space="preserve">ISA contributions (both)</t>
  </si>
  <si>
    <t xml:space="preserve">Junior ISA contributions (EM + Child 3)</t>
  </si>
  <si>
    <t xml:space="preserve">HOUSEHOLD EXPENSES WITH THREE CHILDREN</t>
  </si>
  <si>
    <t xml:space="preserve">Base-case household expenses (two children)</t>
  </si>
  <si>
    <t xml:space="preserve">Add: Child 3 nursery fees</t>
  </si>
  <si>
    <t xml:space="preserve">Add: extra general family spending for Child 3</t>
  </si>
  <si>
    <t xml:space="preserve">Add: Child 3 university, net of their Junior ISA</t>
  </si>
  <si>
    <t xml:space="preserve">TOTAL HOUSEHOLD EXPENSES (THREE CHILDREN)</t>
  </si>
  <si>
    <t xml:space="preserve">Memo: the three children's Junior ISA assets</t>
  </si>
  <si>
    <t xml:space="preserve">WHEN CAN DM STOP WORKING WITH THREE CHILDREN?  (same three tests)</t>
  </si>
  <si>
    <t xml:space="preserve">Coverage ratio (MM alone ÷ three-child expenses)</t>
  </si>
  <si>
    <t xml:space="preserve">Liquidity required (2 years of spending + business capital)</t>
  </si>
  <si>
    <t xml:space="preserve">Pension pot projected to DM at 57, no further contributions</t>
  </si>
  <si>
    <t xml:space="preserve">Required pot (25x adult-only spending, grossed up for tax)</t>
  </si>
  <si>
    <t xml:space="preserve">NOTE — as in the base case, this verdict uses VM's Junior ISA unfunded, so 2040 and 2041 fail Test 1 and the sustained date shows as 2042.</t>
  </si>
  <si>
    <t xml:space="preserve">With £1,500 a year into VM's Junior ISA (Assumptions C80/C81/C82 = 1500/2026/2038) the sustained date becomes 2034 here too — a third child does not delay DM by a single year.</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</si>
</sst>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0\x"/>
    <numFmt numFmtId="168" formatCode="#,##0;\(#,##0\);\-"/>
    <numFmt numFmtId="169" formatCode="0.0%;\(0.0%\);\-"/>
    <numFmt numFmtId="170" formatCode="0.000"/>
    <numFmt numFmtId="171" formatCode="\£#,##0;&quot;(£&quot;#,##0\);\-"/>
    <numFmt numFmtId="172" formatCode="@"/>
    <numFmt numFmtId="173" formatCode="0.0;\(0.0\);\-"/>
    <numFmt numFmtId="174" formatCode="0.00\x"/>
    <numFmt numFmtId="175" formatCode="0.0"/>
    <numFmt numFmtId="176" formatCode="0;0;\-"/>
  </numFmts>
  <fonts count="2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000000"/>
      <name val="Arial"/>
      <family val="0"/>
      <charset val="1"/>
    </font>
    <font>
      <b val="true"/>
      <sz val="12"/>
      <color rgb="FFFFFFFF"/>
      <name val="Arial"/>
      <family val="0"/>
      <charset val="1"/>
    </font>
    <font>
      <sz val="10"/>
      <name val="Arial"/>
      <family val="0"/>
      <charset val="1"/>
    </font>
    <font>
      <b val="true"/>
      <sz val="10"/>
      <color rgb="FF000000"/>
      <name val="Arial"/>
      <family val="0"/>
      <charset val="1"/>
    </font>
    <font>
      <i val="true"/>
      <sz val="10"/>
      <color rgb="FFC00000"/>
      <name val="Arial"/>
      <family val="0"/>
      <charset val="1"/>
    </font>
    <font>
      <b val="true"/>
      <sz val="10"/>
      <color rgb="FFC00000"/>
      <name val="Arial"/>
      <family val="0"/>
      <charset val="1"/>
    </font>
    <font>
      <b val="true"/>
      <i val="true"/>
      <sz val="10"/>
      <name val="Arial"/>
      <family val="0"/>
      <charset val="1"/>
    </font>
    <font>
      <b val="true"/>
      <sz val="10"/>
      <name val="Arial"/>
      <family val="0"/>
      <charset val="1"/>
    </font>
    <font>
      <sz val="10"/>
      <color rgb="FF008000"/>
      <name val="Arial"/>
      <family val="0"/>
      <charset val="1"/>
    </font>
    <font>
      <b val="true"/>
      <sz val="10"/>
      <color rgb="FF008000"/>
      <name val="Arial"/>
      <family val="0"/>
      <charset val="1"/>
    </font>
    <font>
      <b val="true"/>
      <sz val="10"/>
      <color rgb="FF006100"/>
      <name val="Arial"/>
      <family val="0"/>
      <charset val="1"/>
    </font>
    <font>
      <b val="true"/>
      <sz val="10"/>
      <color rgb="FF1F3864"/>
      <name val="Arial"/>
      <family val="0"/>
      <charset val="1"/>
    </font>
    <font>
      <i val="true"/>
      <sz val="10"/>
      <color rgb="FF000000"/>
      <name val="Arial"/>
      <family val="0"/>
      <charset val="1"/>
    </font>
    <font>
      <sz val="10"/>
      <color rgb="FF006100"/>
      <name val="Arial"/>
      <family val="0"/>
      <charset val="1"/>
    </font>
    <font>
      <sz val="10"/>
      <color rgb="FFC00000"/>
      <name val="Arial"/>
      <family val="0"/>
      <charset val="1"/>
    </font>
    <font>
      <b val="true"/>
      <sz val="14"/>
      <color rgb="FF1F3864"/>
      <name val="Arial"/>
      <family val="0"/>
      <charset val="1"/>
    </font>
    <font>
      <i val="true"/>
      <sz val="9"/>
      <name val="Arial"/>
      <family val="0"/>
      <charset val="1"/>
    </font>
    <font>
      <b val="true"/>
      <sz val="11"/>
      <color rgb="FFFFFFFF"/>
      <name val="Arial"/>
      <family val="0"/>
      <charset val="1"/>
    </font>
    <font>
      <i val="true"/>
      <sz val="9"/>
      <color rgb="FF595959"/>
      <name val="Arial"/>
      <family val="0"/>
      <charset val="1"/>
    </font>
    <font>
      <sz val="10"/>
      <color rgb="FF0000FF"/>
      <name val="Arial"/>
      <family val="0"/>
      <charset val="1"/>
    </font>
    <font>
      <b val="true"/>
      <sz val="10"/>
      <color rgb="FF0000FF"/>
      <name val="Arial"/>
      <family val="0"/>
      <charset val="1"/>
    </font>
    <font>
      <i val="true"/>
      <sz val="9"/>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C6EFCE"/>
        <bgColor rgb="FFD9E2F3"/>
      </patternFill>
    </fill>
    <fill>
      <patternFill patternType="solid">
        <fgColor rgb="FFFFFF00"/>
        <bgColor rgb="FFFFFF00"/>
      </patternFill>
    </fill>
    <fill>
      <patternFill patternType="solid">
        <fgColor rgb="FFD9E2F3"/>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1"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7" fontId="14" fillId="3"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9" fontId="24" fillId="4"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69" fontId="24"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bottom" textRotation="0" wrapText="false" indent="0" shrinkToFit="false"/>
      <protection locked="true" hidden="false"/>
    </xf>
    <xf numFmtId="171" fontId="24" fillId="0" borderId="0" xfId="0" applyFont="true" applyBorder="false" applyAlignment="true" applyProtection="false">
      <alignment horizontal="general" vertical="bottom" textRotation="0" wrapText="false" indent="0" shrinkToFit="false"/>
      <protection locked="true" hidden="false"/>
    </xf>
    <xf numFmtId="168" fontId="24"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3" fontId="24"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74" fontId="24" fillId="4" borderId="0" xfId="0" applyFont="true" applyBorder="false" applyAlignment="true" applyProtection="false">
      <alignment horizontal="general" vertical="bottom" textRotation="0" wrapText="false" indent="0" shrinkToFit="false"/>
      <protection locked="true" hidden="false"/>
    </xf>
    <xf numFmtId="168" fontId="24" fillId="4" borderId="0" xfId="0" applyFont="true" applyBorder="false" applyAlignment="true" applyProtection="false">
      <alignment horizontal="general" vertical="bottom" textRotation="0" wrapText="false" indent="0" shrinkToFit="false"/>
      <protection locked="true" hidden="false"/>
    </xf>
    <xf numFmtId="171" fontId="24" fillId="4"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8" fontId="13"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1" shrinkToFit="false"/>
      <protection locked="true" hidden="false"/>
    </xf>
    <xf numFmtId="171" fontId="8" fillId="6" borderId="0" xfId="0" applyFont="true" applyBorder="false" applyAlignment="true" applyProtection="false">
      <alignment horizontal="general" vertical="bottom" textRotation="0" wrapText="false" indent="0" shrinkToFit="false"/>
      <protection locked="true" hidden="false"/>
    </xf>
    <xf numFmtId="171" fontId="13" fillId="0" borderId="0" xfId="0" applyFont="true" applyBorder="false" applyAlignment="true" applyProtection="false">
      <alignment horizontal="general" vertical="bottom" textRotation="0" wrapText="fals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74" fontId="13" fillId="0" borderId="0" xfId="0" applyFont="true" applyBorder="false" applyAlignment="true" applyProtection="false">
      <alignment horizontal="general" vertical="bottom" textRotation="0" wrapText="false" indent="0" shrinkToFit="false"/>
      <protection locked="true" hidden="false"/>
    </xf>
    <xf numFmtId="176" fontId="8" fillId="0" borderId="0" xfId="0" applyFont="true" applyBorder="false" applyAlignment="true" applyProtection="false">
      <alignment horizontal="general" vertical="bottom" textRotation="0" wrapText="false" indent="0" shrinkToFit="false"/>
      <protection locked="true" hidden="false"/>
    </xf>
    <xf numFmtId="176"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25" fillId="4" borderId="0" xfId="0" applyFont="true" applyBorder="false" applyAlignment="true" applyProtection="false">
      <alignment horizontal="general" vertical="bottom" textRotation="0" wrapText="false" indent="0" shrinkToFit="false"/>
      <protection locked="true" hidden="false"/>
    </xf>
    <xf numFmtId="171" fontId="25" fillId="4" borderId="0" xfId="0" applyFont="true" applyBorder="false" applyAlignment="true" applyProtection="false">
      <alignment horizontal="general" vertical="bottom" textRotation="0" wrapText="false" indent="0" shrinkToFit="false"/>
      <protection locked="true" hidden="false"/>
    </xf>
    <xf numFmtId="176" fontId="25" fillId="4"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
    <col collapsed="false" customWidth="true" hidden="false" outlineLevel="0" max="3" min="3" style="0" width="112"/>
    <col collapsed="false" customWidth="true" hidden="false" outlineLevel="0" max="8" min="4" style="0" width="17"/>
  </cols>
  <sheetData>
    <row r="1" customFormat="false" ht="19.7" hidden="false" customHeight="false" outlineLevel="0" collapsed="false">
      <c r="C1" s="1" t="s">
        <v>0</v>
      </c>
    </row>
    <row r="3" customFormat="false" ht="15" hidden="false" customHeight="false" outlineLevel="0" collapsed="false">
      <c r="C3" s="2" t="s">
        <v>1</v>
      </c>
    </row>
    <row r="5" customFormat="false" ht="19.5" hidden="false" customHeight="true" outlineLevel="0" collapsed="false">
      <c r="A5" s="3"/>
      <c r="B5" s="3"/>
      <c r="C5" s="4" t="s">
        <v>2</v>
      </c>
      <c r="D5" s="3"/>
      <c r="E5" s="3"/>
      <c r="F5" s="3"/>
      <c r="G5" s="3"/>
      <c r="H5" s="3"/>
    </row>
    <row r="6" customFormat="false" ht="15" hidden="false" customHeight="false" outlineLevel="0" collapsed="false">
      <c r="C6" s="2" t="s">
        <v>3</v>
      </c>
    </row>
    <row r="7" customFormat="false" ht="15" hidden="false" customHeight="false" outlineLevel="0" collapsed="false">
      <c r="C7" s="2" t="s">
        <v>4</v>
      </c>
    </row>
    <row r="8" customFormat="false" ht="15" hidden="false" customHeight="false" outlineLevel="0" collapsed="false">
      <c r="C8" s="2" t="s">
        <v>5</v>
      </c>
    </row>
    <row r="10" customFormat="false" ht="19.5" hidden="false" customHeight="true" outlineLevel="0" collapsed="false">
      <c r="A10" s="3"/>
      <c r="B10" s="3"/>
      <c r="C10" s="4" t="s">
        <v>6</v>
      </c>
      <c r="D10" s="3"/>
      <c r="E10" s="3"/>
      <c r="F10" s="3"/>
      <c r="G10" s="3"/>
      <c r="H10" s="3"/>
    </row>
    <row r="11" customFormat="false" ht="15" hidden="false" customHeight="false" outlineLevel="0" collapsed="false">
      <c r="C11" s="5" t="s">
        <v>7</v>
      </c>
    </row>
    <row r="12" customFormat="false" ht="15" hidden="false" customHeight="false" outlineLevel="0" collapsed="false">
      <c r="C12" s="5" t="s">
        <v>8</v>
      </c>
    </row>
    <row r="13" customFormat="false" ht="15" hidden="false" customHeight="false" outlineLevel="0" collapsed="false">
      <c r="C13" s="5" t="s">
        <v>9</v>
      </c>
    </row>
    <row r="14" customFormat="false" ht="15" hidden="false" customHeight="false" outlineLevel="0" collapsed="false">
      <c r="C14" s="5" t="s">
        <v>10</v>
      </c>
    </row>
    <row r="15" customFormat="false" ht="15" hidden="false" customHeight="false" outlineLevel="0" collapsed="false">
      <c r="C15" s="5" t="s">
        <v>11</v>
      </c>
    </row>
    <row r="16" customFormat="false" ht="15" hidden="false" customHeight="false" outlineLevel="0" collapsed="false">
      <c r="C16" s="5" t="s">
        <v>12</v>
      </c>
    </row>
    <row r="17" customFormat="false" ht="15" hidden="false" customHeight="false" outlineLevel="0" collapsed="false">
      <c r="C17" s="5" t="s">
        <v>13</v>
      </c>
    </row>
    <row r="18" customFormat="false" ht="15" hidden="false" customHeight="false" outlineLevel="0" collapsed="false">
      <c r="C18" s="5" t="s">
        <v>14</v>
      </c>
    </row>
    <row r="19" customFormat="false" ht="15" hidden="false" customHeight="false" outlineLevel="0" collapsed="false">
      <c r="C19" s="5" t="s">
        <v>15</v>
      </c>
    </row>
    <row r="20" customFormat="false" ht="15" hidden="false" customHeight="false" outlineLevel="0" collapsed="false">
      <c r="C20" s="5" t="s">
        <v>16</v>
      </c>
    </row>
    <row r="21" customFormat="false" ht="15" hidden="false" customHeight="false" outlineLevel="0" collapsed="false">
      <c r="C21" s="5" t="s">
        <v>17</v>
      </c>
    </row>
    <row r="23" customFormat="false" ht="19.5" hidden="false" customHeight="true" outlineLevel="0" collapsed="false">
      <c r="A23" s="3"/>
      <c r="B23" s="3"/>
      <c r="C23" s="4" t="s">
        <v>18</v>
      </c>
      <c r="D23" s="3"/>
      <c r="E23" s="3"/>
      <c r="F23" s="3"/>
      <c r="G23" s="3"/>
      <c r="H23" s="3"/>
    </row>
    <row r="24" customFormat="false" ht="15" hidden="false" customHeight="false" outlineLevel="0" collapsed="false">
      <c r="C24" s="2" t="s">
        <v>19</v>
      </c>
    </row>
    <row r="25" customFormat="false" ht="15" hidden="false" customHeight="false" outlineLevel="0" collapsed="false">
      <c r="C25" s="2" t="s">
        <v>20</v>
      </c>
    </row>
    <row r="26" customFormat="false" ht="15" hidden="false" customHeight="false" outlineLevel="0" collapsed="false">
      <c r="C26" s="2" t="s">
        <v>21</v>
      </c>
    </row>
    <row r="27" customFormat="false" ht="15" hidden="false" customHeight="false" outlineLevel="0" collapsed="false">
      <c r="C27" s="2" t="s">
        <v>22</v>
      </c>
    </row>
    <row r="29" customFormat="false" ht="19.5" hidden="false" customHeight="true" outlineLevel="0" collapsed="false">
      <c r="A29" s="3"/>
      <c r="B29" s="3"/>
      <c r="C29" s="4" t="s">
        <v>23</v>
      </c>
      <c r="D29" s="3"/>
      <c r="E29" s="3"/>
      <c r="F29" s="3"/>
      <c r="G29" s="3"/>
      <c r="H29" s="3"/>
    </row>
    <row r="30" customFormat="false" ht="15" hidden="false" customHeight="false" outlineLevel="0" collapsed="false">
      <c r="C30" s="2" t="s">
        <v>24</v>
      </c>
    </row>
    <row r="31" customFormat="false" ht="15" hidden="false" customHeight="false" outlineLevel="0" collapsed="false">
      <c r="C31" s="2" t="s">
        <v>25</v>
      </c>
    </row>
    <row r="32" customFormat="false" ht="15" hidden="false" customHeight="false" outlineLevel="0" collapsed="false">
      <c r="C32" s="2" t="s">
        <v>26</v>
      </c>
    </row>
    <row r="33" customFormat="false" ht="15" hidden="false" customHeight="false" outlineLevel="0" collapsed="false">
      <c r="C33" s="2" t="s">
        <v>27</v>
      </c>
    </row>
    <row r="34" customFormat="false" ht="15" hidden="false" customHeight="false" outlineLevel="0" collapsed="false">
      <c r="C34" s="2" t="s">
        <v>28</v>
      </c>
    </row>
    <row r="35" customFormat="false" ht="15" hidden="false" customHeight="false" outlineLevel="0" collapsed="false">
      <c r="C35" s="2" t="s">
        <v>29</v>
      </c>
    </row>
    <row r="36" customFormat="false" ht="15" hidden="false" customHeight="false" outlineLevel="0" collapsed="false">
      <c r="C36" s="2" t="s">
        <v>30</v>
      </c>
    </row>
    <row r="38" customFormat="false" ht="19.5" hidden="false" customHeight="true" outlineLevel="0" collapsed="false">
      <c r="A38" s="3"/>
      <c r="B38" s="3"/>
      <c r="C38" s="4" t="s">
        <v>31</v>
      </c>
      <c r="D38" s="3"/>
      <c r="E38" s="3"/>
      <c r="F38" s="3"/>
      <c r="G38" s="3"/>
      <c r="H38" s="3"/>
    </row>
    <row r="39" customFormat="false" ht="15" hidden="false" customHeight="false" outlineLevel="0" collapsed="false">
      <c r="C39" s="2" t="s">
        <v>32</v>
      </c>
    </row>
    <row r="40" customFormat="false" ht="15" hidden="false" customHeight="false" outlineLevel="0" collapsed="false">
      <c r="C40" s="2" t="s">
        <v>33</v>
      </c>
    </row>
    <row r="41" customFormat="false" ht="15" hidden="false" customHeight="false" outlineLevel="0" collapsed="false">
      <c r="C41" s="2" t="s">
        <v>34</v>
      </c>
    </row>
    <row r="42" customFormat="false" ht="15" hidden="false" customHeight="false" outlineLevel="0" collapsed="false">
      <c r="C42" s="2" t="s">
        <v>35</v>
      </c>
    </row>
    <row r="43" customFormat="false" ht="15" hidden="false" customHeight="false" outlineLevel="0" collapsed="false">
      <c r="C43" s="2" t="s">
        <v>36</v>
      </c>
    </row>
    <row r="44" customFormat="false" ht="15" hidden="false" customHeight="false" outlineLevel="0" collapsed="false">
      <c r="C44" s="2" t="s">
        <v>37</v>
      </c>
    </row>
    <row r="45" customFormat="false" ht="15" hidden="false" customHeight="false" outlineLevel="0" collapsed="false">
      <c r="C45" s="2" t="s">
        <v>38</v>
      </c>
    </row>
    <row r="46" customFormat="false" ht="15" hidden="false" customHeight="false" outlineLevel="0" collapsed="false">
      <c r="C46" s="2" t="s">
        <v>39</v>
      </c>
    </row>
    <row r="48" customFormat="false" ht="19.5" hidden="false" customHeight="true" outlineLevel="0" collapsed="false">
      <c r="A48" s="3"/>
      <c r="B48" s="3"/>
      <c r="C48" s="4" t="s">
        <v>40</v>
      </c>
      <c r="D48" s="3"/>
      <c r="E48" s="3"/>
      <c r="F48" s="3"/>
      <c r="G48" s="3"/>
      <c r="H48" s="3"/>
    </row>
    <row r="49" customFormat="false" ht="15" hidden="false" customHeight="false" outlineLevel="0" collapsed="false">
      <c r="C49" s="6" t="s">
        <v>41</v>
      </c>
    </row>
    <row r="50" customFormat="false" ht="15" hidden="false" customHeight="false" outlineLevel="0" collapsed="false">
      <c r="C50" s="2" t="s">
        <v>42</v>
      </c>
    </row>
    <row r="52" customFormat="false" ht="15" hidden="false" customHeight="false" outlineLevel="0" collapsed="false">
      <c r="C52" s="7"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
    <col collapsed="false" customWidth="true" hidden="false" outlineLevel="0" max="3" min="3" style="0" width="112"/>
    <col collapsed="false" customWidth="true" hidden="false" outlineLevel="0" max="8" min="4" style="0" width="17"/>
  </cols>
  <sheetData>
    <row r="1" customFormat="false" ht="19.7" hidden="false" customHeight="false" outlineLevel="0" collapsed="false">
      <c r="C1" s="1" t="s">
        <v>44</v>
      </c>
    </row>
    <row r="3" customFormat="false" ht="19.5" hidden="false" customHeight="true" outlineLevel="0" collapsed="false">
      <c r="A3" s="3"/>
      <c r="B3" s="3"/>
      <c r="C3" s="4" t="s">
        <v>45</v>
      </c>
      <c r="D3" s="3"/>
      <c r="E3" s="3"/>
      <c r="F3" s="3"/>
      <c r="G3" s="3"/>
      <c r="H3" s="3"/>
    </row>
    <row r="4" customFormat="false" ht="15" hidden="false" customHeight="false" outlineLevel="0" collapsed="false">
      <c r="C4" s="6" t="s">
        <v>46</v>
      </c>
    </row>
    <row r="5" customFormat="false" ht="15" hidden="false" customHeight="false" outlineLevel="0" collapsed="false">
      <c r="C5" s="8" t="s">
        <v>47</v>
      </c>
    </row>
    <row r="7" customFormat="false" ht="15" hidden="false" customHeight="false" outlineLevel="0" collapsed="false">
      <c r="C7" s="6" t="s">
        <v>48</v>
      </c>
    </row>
    <row r="8" customFormat="false" ht="15" hidden="false" customHeight="false" outlineLevel="0" collapsed="false">
      <c r="C8" s="8" t="s">
        <v>49</v>
      </c>
    </row>
    <row r="10" customFormat="false" ht="15" hidden="false" customHeight="false" outlineLevel="0" collapsed="false">
      <c r="C10" s="6" t="s">
        <v>50</v>
      </c>
    </row>
    <row r="11" customFormat="false" ht="15" hidden="false" customHeight="false" outlineLevel="0" collapsed="false">
      <c r="C11" s="8" t="s">
        <v>51</v>
      </c>
    </row>
    <row r="13" customFormat="false" ht="15" hidden="false" customHeight="false" outlineLevel="0" collapsed="false">
      <c r="C13" s="6" t="s">
        <v>52</v>
      </c>
    </row>
    <row r="14" customFormat="false" ht="15" hidden="false" customHeight="false" outlineLevel="0" collapsed="false">
      <c r="C14" s="8" t="s">
        <v>53</v>
      </c>
    </row>
    <row r="16" customFormat="false" ht="19.5" hidden="false" customHeight="true" outlineLevel="0" collapsed="false">
      <c r="A16" s="3"/>
      <c r="B16" s="3"/>
      <c r="C16" s="4" t="s">
        <v>54</v>
      </c>
      <c r="D16" s="3"/>
      <c r="E16" s="3"/>
      <c r="F16" s="3"/>
      <c r="G16" s="3"/>
      <c r="H16" s="3"/>
    </row>
    <row r="17" customFormat="false" ht="15" hidden="false" customHeight="false" outlineLevel="0" collapsed="false">
      <c r="C17" s="6" t="s">
        <v>55</v>
      </c>
    </row>
    <row r="18" customFormat="false" ht="15" hidden="false" customHeight="false" outlineLevel="0" collapsed="false">
      <c r="C18" s="8" t="s">
        <v>56</v>
      </c>
    </row>
    <row r="19" customFormat="false" ht="15" hidden="false" customHeight="false" outlineLevel="0" collapsed="false">
      <c r="C19" s="6" t="s">
        <v>57</v>
      </c>
    </row>
    <row r="20" customFormat="false" ht="15" hidden="false" customHeight="false" outlineLevel="0" collapsed="false">
      <c r="C20" s="8" t="s">
        <v>58</v>
      </c>
    </row>
    <row r="21" customFormat="false" ht="15" hidden="false" customHeight="false" outlineLevel="0" collapsed="false">
      <c r="C21" s="6" t="s">
        <v>59</v>
      </c>
    </row>
    <row r="22" customFormat="false" ht="15" hidden="false" customHeight="false" outlineLevel="0" collapsed="false">
      <c r="C22" s="8" t="s">
        <v>60</v>
      </c>
    </row>
    <row r="24" customFormat="false" ht="15" hidden="false" customHeight="false" outlineLevel="0" collapsed="false">
      <c r="C24" s="9" t="s">
        <v>61</v>
      </c>
    </row>
    <row r="26" customFormat="false" ht="19.5" hidden="false" customHeight="true" outlineLevel="0" collapsed="false">
      <c r="A26" s="3"/>
      <c r="B26" s="3"/>
      <c r="C26" s="4" t="s">
        <v>62</v>
      </c>
      <c r="D26" s="3"/>
      <c r="E26" s="3"/>
      <c r="F26" s="3"/>
      <c r="G26" s="3"/>
      <c r="H26" s="3"/>
    </row>
    <row r="27" customFormat="false" ht="15" hidden="false" customHeight="false" outlineLevel="0" collapsed="false">
      <c r="C27" s="10" t="s">
        <v>63</v>
      </c>
      <c r="D27" s="11" t="n">
        <v>2026</v>
      </c>
      <c r="E27" s="11" t="n">
        <v>2033</v>
      </c>
      <c r="F27" s="11" t="n">
        <v>2034</v>
      </c>
      <c r="G27" s="11" t="n">
        <v>2039</v>
      </c>
      <c r="H27" s="11" t="n">
        <v>2055</v>
      </c>
    </row>
    <row r="28" customFormat="false" ht="15" hidden="false" customHeight="false" outlineLevel="0" collapsed="false">
      <c r="C28" s="12" t="s">
        <v>64</v>
      </c>
      <c r="D28" s="13" t="n">
        <f aca="false">Household_Base!C$11</f>
        <v>246643.8</v>
      </c>
      <c r="E28" s="13" t="n">
        <f aca="false">Household_Base!J$11</f>
        <v>284700.244360606</v>
      </c>
      <c r="F28" s="13" t="n">
        <f aca="false">Household_Base!K$11</f>
        <v>290394.249247818</v>
      </c>
      <c r="G28" s="13" t="n">
        <f aca="false">Household_Base!P$11</f>
        <v>320618.715954192</v>
      </c>
      <c r="H28" s="13" t="n">
        <f aca="false">Household_Base!AF$11</f>
        <v>440140.790046422</v>
      </c>
    </row>
    <row r="29" customFormat="false" ht="15" hidden="false" customHeight="false" outlineLevel="0" collapsed="false">
      <c r="C29" s="12" t="s">
        <v>65</v>
      </c>
      <c r="D29" s="13" t="n">
        <f aca="false">Household_Base!C$33</f>
        <v>125400</v>
      </c>
      <c r="E29" s="13" t="n">
        <f aca="false">Household_Base!J$33</f>
        <v>111058.163096924</v>
      </c>
      <c r="F29" s="13" t="n">
        <f aca="false">Household_Base!K$33</f>
        <v>91354.2954506957</v>
      </c>
      <c r="G29" s="13" t="n">
        <f aca="false">Household_Base!P$33</f>
        <v>100862.523896974</v>
      </c>
      <c r="H29" s="13" t="n">
        <f aca="false">Household_Base!AF$33</f>
        <v>138462.630985127</v>
      </c>
    </row>
    <row r="30" customFormat="false" ht="15" hidden="false" customHeight="false" outlineLevel="0" collapsed="false">
      <c r="C30" s="5" t="s">
        <v>66</v>
      </c>
      <c r="D30" s="13" t="n">
        <f aca="false">Household_Base!C$34</f>
        <v>125400</v>
      </c>
      <c r="E30" s="13" t="n">
        <f aca="false">Household_Base!J$34</f>
        <v>93000</v>
      </c>
      <c r="F30" s="13" t="n">
        <f aca="false">Household_Base!K$34</f>
        <v>75000</v>
      </c>
      <c r="G30" s="13" t="n">
        <f aca="false">Household_Base!P$34</f>
        <v>75000</v>
      </c>
      <c r="H30" s="13" t="n">
        <f aca="false">Household_Base!AF$34</f>
        <v>75000</v>
      </c>
    </row>
    <row r="31" customFormat="false" ht="15" hidden="false" customHeight="false" outlineLevel="0" collapsed="false">
      <c r="C31" s="12" t="s">
        <v>67</v>
      </c>
      <c r="D31" s="13" t="n">
        <f aca="false">Household_Base!C$38</f>
        <v>-47756.2</v>
      </c>
      <c r="E31" s="13" t="n">
        <f aca="false">Household_Base!J$38</f>
        <v>-5151.19873631846</v>
      </c>
      <c r="F31" s="13" t="n">
        <f aca="false">Household_Base!K$38</f>
        <v>16850.8081971222</v>
      </c>
      <c r="G31" s="13" t="n">
        <f aca="false">Household_Base!P$38</f>
        <v>19541.3810776478</v>
      </c>
      <c r="H31" s="13" t="n">
        <f aca="false">Household_Base!AF$38</f>
        <v>39181.1999469386</v>
      </c>
    </row>
    <row r="32" customFormat="false" ht="15" hidden="false" customHeight="false" outlineLevel="0" collapsed="false">
      <c r="C32" s="12" t="s">
        <v>68</v>
      </c>
      <c r="D32" s="13" t="n">
        <f aca="false">Household_Base!C$57</f>
        <v>278243.8</v>
      </c>
      <c r="E32" s="13" t="n">
        <f aca="false">Household_Base!J$57</f>
        <v>756775.81156524</v>
      </c>
      <c r="F32" s="13" t="n">
        <f aca="false">Household_Base!K$57</f>
        <v>892601.487318887</v>
      </c>
      <c r="G32" s="13" t="n">
        <f aca="false">Household_Base!P$57</f>
        <v>1824075.56780042</v>
      </c>
      <c r="H32" s="13" t="n">
        <f aca="false">Household_Base!AF$57</f>
        <v>11057190.4562291</v>
      </c>
    </row>
    <row r="33" customFormat="false" ht="15" hidden="false" customHeight="false" outlineLevel="0" collapsed="false">
      <c r="C33" s="12" t="s">
        <v>69</v>
      </c>
      <c r="D33" s="13" t="n">
        <f aca="false">Household_Base!C$54</f>
        <v>1484000</v>
      </c>
      <c r="E33" s="13" t="n">
        <f aca="false">Household_Base!J$54</f>
        <v>4045938.4564</v>
      </c>
      <c r="F33" s="13" t="n">
        <f aca="false">Household_Base!K$54</f>
        <v>4580424.16124</v>
      </c>
      <c r="G33" s="13" t="n">
        <f aca="false">Household_Base!P$54</f>
        <v>8215527.04746895</v>
      </c>
      <c r="H33" s="13" t="n">
        <f aca="false">Household_Base!AF$54</f>
        <v>43641867.32587</v>
      </c>
    </row>
    <row r="34" customFormat="false" ht="15" hidden="false" customHeight="false" outlineLevel="0" collapsed="false">
      <c r="C34" s="12" t="s">
        <v>70</v>
      </c>
      <c r="D34" s="13" t="n">
        <f aca="false">Household_Base!C$55</f>
        <v>1762243.8</v>
      </c>
      <c r="E34" s="13" t="n">
        <f aca="false">Household_Base!J$55</f>
        <v>4802714.26796524</v>
      </c>
      <c r="F34" s="13" t="n">
        <f aca="false">Household_Base!K$55</f>
        <v>5473025.64855889</v>
      </c>
      <c r="G34" s="13" t="n">
        <f aca="false">Household_Base!P$55</f>
        <v>10039602.6152694</v>
      </c>
      <c r="H34" s="13" t="n">
        <f aca="false">Household_Base!AF$55</f>
        <v>54699057.7820991</v>
      </c>
    </row>
    <row r="35" customFormat="false" ht="15" hidden="false" customHeight="false" outlineLevel="0" collapsed="false">
      <c r="C35" s="5" t="s">
        <v>71</v>
      </c>
      <c r="D35" s="13" t="n">
        <f aca="false">Household_Base!C$56</f>
        <v>1762243.8</v>
      </c>
      <c r="E35" s="13" t="n">
        <f aca="false">Household_Base!J$56</f>
        <v>4021788.35364816</v>
      </c>
      <c r="F35" s="13" t="n">
        <f aca="false">Household_Base!K$56</f>
        <v>4493241.63266579</v>
      </c>
      <c r="G35" s="13" t="n">
        <f aca="false">Household_Base!P$56</f>
        <v>7465311.86265299</v>
      </c>
      <c r="H35" s="13" t="n">
        <f aca="false">Household_Base!AF$56</f>
        <v>29628422.5171058</v>
      </c>
    </row>
    <row r="36" customFormat="false" ht="15" hidden="false" customHeight="false" outlineLevel="0" collapsed="false">
      <c r="C36" s="12" t="s">
        <v>72</v>
      </c>
      <c r="D36" s="14" t="n">
        <f aca="false">Analysis_DM_Exit!C$12</f>
        <v>0.812491228070175</v>
      </c>
      <c r="E36" s="14" t="n">
        <f aca="false">Analysis_DM_Exit!J$12</f>
        <v>1.08144127102802</v>
      </c>
      <c r="F36" s="14" t="n">
        <f aca="false">Analysis_DM_Exit!K$12</f>
        <v>1.34098717607475</v>
      </c>
      <c r="G36" s="14" t="n">
        <f aca="false">Analysis_DM_Exit!P$12</f>
        <v>1.34098717607475</v>
      </c>
      <c r="H36" s="14" t="n">
        <f aca="false">Analysis_DM_Exit!AF$12</f>
        <v>1.34098717607475</v>
      </c>
    </row>
    <row r="38" customFormat="false" ht="19.5" hidden="false" customHeight="true" outlineLevel="0" collapsed="false">
      <c r="A38" s="3"/>
      <c r="B38" s="3"/>
      <c r="C38" s="4" t="s">
        <v>73</v>
      </c>
      <c r="D38" s="3"/>
      <c r="E38" s="3"/>
      <c r="F38" s="3"/>
      <c r="G38" s="3"/>
      <c r="H38" s="3"/>
    </row>
    <row r="39" customFormat="false" ht="15" hidden="false" customHeight="false" outlineLevel="0" collapsed="false">
      <c r="C39" s="2" t="s">
        <v>74</v>
      </c>
    </row>
    <row r="40" customFormat="false" ht="15" hidden="false" customHeight="false" outlineLevel="0" collapsed="false">
      <c r="C40" s="2" t="s">
        <v>75</v>
      </c>
    </row>
    <row r="41" customFormat="false" ht="15" hidden="false" customHeight="false" outlineLevel="0" collapsed="false">
      <c r="C41" s="6" t="s">
        <v>76</v>
      </c>
    </row>
    <row r="43" customFormat="false" ht="15" hidden="false" customHeight="false" outlineLevel="0" collapsed="false">
      <c r="C43" s="2" t="s">
        <v>77</v>
      </c>
    </row>
    <row r="45" customFormat="false" ht="15" hidden="false" customHeight="false" outlineLevel="0" collapsed="false">
      <c r="C45" s="6" t="s">
        <v>78</v>
      </c>
    </row>
    <row r="46" customFormat="false" ht="15" hidden="false" customHeight="false" outlineLevel="0" collapsed="false">
      <c r="C46" s="2" t="s">
        <v>79</v>
      </c>
    </row>
    <row r="48" customFormat="false" ht="19.5" hidden="false" customHeight="true" outlineLevel="0" collapsed="false">
      <c r="A48" s="3"/>
      <c r="B48" s="3"/>
      <c r="C48" s="4" t="s">
        <v>80</v>
      </c>
      <c r="D48" s="3"/>
      <c r="E48" s="3"/>
      <c r="F48" s="3"/>
      <c r="G48" s="3"/>
      <c r="H48" s="3"/>
    </row>
    <row r="49" customFormat="false" ht="15" hidden="false" customHeight="false" outlineLevel="0" collapsed="false">
      <c r="C49" s="6" t="s">
        <v>81</v>
      </c>
    </row>
    <row r="50" customFormat="false" ht="15" hidden="false" customHeight="false" outlineLevel="0" collapsed="false">
      <c r="C50" s="2" t="s">
        <v>82</v>
      </c>
    </row>
    <row r="51" customFormat="false" ht="15" hidden="false" customHeight="false" outlineLevel="0" collapsed="false">
      <c r="C51" s="2" t="s">
        <v>83</v>
      </c>
    </row>
    <row r="52" customFormat="false" ht="15" hidden="false" customHeight="false" outlineLevel="0" collapsed="false">
      <c r="C52" s="9" t="s">
        <v>84</v>
      </c>
    </row>
    <row r="54" customFormat="false" ht="15" hidden="false" customHeight="false" outlineLevel="0" collapsed="false">
      <c r="C54" s="15" t="s">
        <v>85</v>
      </c>
    </row>
    <row r="55" customFormat="false" ht="15" hidden="false" customHeight="false" outlineLevel="0" collapsed="false">
      <c r="C55" s="2" t="s">
        <v>86</v>
      </c>
    </row>
    <row r="57" customFormat="false" ht="15" hidden="false" customHeight="false" outlineLevel="0" collapsed="false">
      <c r="C57" s="16" t="s">
        <v>87</v>
      </c>
    </row>
    <row r="58" customFormat="false" ht="15" hidden="false" customHeight="false" outlineLevel="0" collapsed="false">
      <c r="C58" s="8" t="s">
        <v>88</v>
      </c>
    </row>
    <row r="59" customFormat="false" ht="15" hidden="false" customHeight="false" outlineLevel="0" collapsed="false">
      <c r="C59" s="8" t="s">
        <v>89</v>
      </c>
    </row>
    <row r="60" customFormat="false" ht="15" hidden="false" customHeight="false" outlineLevel="0" collapsed="false">
      <c r="C60" s="8" t="s">
        <v>90</v>
      </c>
    </row>
    <row r="61" customFormat="false" ht="15" hidden="false" customHeight="false" outlineLevel="0" collapsed="false">
      <c r="C61" s="8" t="s">
        <v>91</v>
      </c>
    </row>
    <row r="62" customFormat="false" ht="15" hidden="false" customHeight="false" outlineLevel="0" collapsed="false">
      <c r="C62" s="8" t="s">
        <v>92</v>
      </c>
    </row>
    <row r="64" customFormat="false" ht="19.5" hidden="false" customHeight="true" outlineLevel="0" collapsed="false">
      <c r="A64" s="3"/>
      <c r="B64" s="3"/>
      <c r="C64" s="4" t="s">
        <v>93</v>
      </c>
      <c r="D64" s="3"/>
      <c r="E64" s="3"/>
      <c r="F64" s="3"/>
      <c r="G64" s="3"/>
      <c r="H64" s="3"/>
    </row>
    <row r="65" customFormat="false" ht="15" hidden="false" customHeight="false" outlineLevel="0" collapsed="false">
      <c r="C65" s="6" t="s">
        <v>94</v>
      </c>
    </row>
    <row r="66" customFormat="false" ht="15" hidden="false" customHeight="false" outlineLevel="0" collapsed="false">
      <c r="C66" s="8" t="s">
        <v>95</v>
      </c>
    </row>
    <row r="67" customFormat="false" ht="15" hidden="false" customHeight="false" outlineLevel="0" collapsed="false">
      <c r="C67" s="8" t="s">
        <v>96</v>
      </c>
    </row>
    <row r="68" customFormat="false" ht="15" hidden="false" customHeight="false" outlineLevel="0" collapsed="false">
      <c r="C68" s="8" t="s">
        <v>97</v>
      </c>
    </row>
    <row r="69" customFormat="false" ht="15" hidden="false" customHeight="false" outlineLevel="0" collapsed="false">
      <c r="C69" s="8" t="s">
        <v>98</v>
      </c>
    </row>
    <row r="71" customFormat="false" ht="15" hidden="false" customHeight="false" outlineLevel="0" collapsed="false">
      <c r="C71" s="6" t="s">
        <v>99</v>
      </c>
    </row>
    <row r="72" customFormat="false" ht="15" hidden="false" customHeight="false" outlineLevel="0" collapsed="false">
      <c r="C72" s="8" t="s">
        <v>100</v>
      </c>
    </row>
    <row r="73" customFormat="false" ht="15" hidden="false" customHeight="false" outlineLevel="0" collapsed="false">
      <c r="C73" s="8" t="s">
        <v>101</v>
      </c>
    </row>
    <row r="75" customFormat="false" ht="15" hidden="false" customHeight="false" outlineLevel="0" collapsed="false">
      <c r="C75" s="15" t="s">
        <v>102</v>
      </c>
    </row>
    <row r="77" customFormat="false" ht="15" hidden="false" customHeight="false" outlineLevel="0" collapsed="false">
      <c r="C77" s="17" t="s">
        <v>103</v>
      </c>
    </row>
    <row r="79" customFormat="false" ht="19.5" hidden="false" customHeight="true" outlineLevel="0" collapsed="false">
      <c r="A79" s="3"/>
      <c r="B79" s="3"/>
      <c r="C79" s="4" t="s">
        <v>104</v>
      </c>
      <c r="D79" s="3"/>
      <c r="E79" s="3"/>
      <c r="F79" s="3"/>
      <c r="G79" s="3"/>
      <c r="H79" s="3"/>
    </row>
    <row r="80" customFormat="false" ht="15" hidden="false" customHeight="false" outlineLevel="0" collapsed="false">
      <c r="C80" s="18" t="s">
        <v>105</v>
      </c>
    </row>
    <row r="81" customFormat="false" ht="15" hidden="false" customHeight="false" outlineLevel="0" collapsed="false">
      <c r="C81" s="19" t="s">
        <v>106</v>
      </c>
    </row>
    <row r="82" customFormat="false" ht="15" hidden="false" customHeight="false" outlineLevel="0" collapsed="false">
      <c r="C82" s="19" t="s">
        <v>107</v>
      </c>
    </row>
    <row r="83" customFormat="false" ht="15" hidden="false" customHeight="false" outlineLevel="0" collapsed="false">
      <c r="C83" s="18" t="s">
        <v>108</v>
      </c>
    </row>
    <row r="84" customFormat="false" ht="15" hidden="false" customHeight="false" outlineLevel="0" collapsed="false">
      <c r="C84" s="2" t="s">
        <v>109</v>
      </c>
    </row>
    <row r="86" customFormat="false" ht="19.5" hidden="false" customHeight="true" outlineLevel="0" collapsed="false">
      <c r="A86" s="3"/>
      <c r="B86" s="3"/>
      <c r="C86" s="4" t="s">
        <v>110</v>
      </c>
      <c r="D86" s="3"/>
      <c r="E86" s="3"/>
      <c r="F86" s="3"/>
      <c r="G86" s="3"/>
      <c r="H86" s="3"/>
    </row>
    <row r="87" customFormat="false" ht="15" hidden="false" customHeight="false" outlineLevel="0" collapsed="false">
      <c r="C87" s="2" t="s">
        <v>111</v>
      </c>
    </row>
    <row r="88" customFormat="false" ht="15" hidden="false" customHeight="false" outlineLevel="0" collapsed="false">
      <c r="C88" s="2" t="s">
        <v>112</v>
      </c>
    </row>
    <row r="89" customFormat="false" ht="15" hidden="false" customHeight="false" outlineLevel="0" collapsed="false">
      <c r="C89" s="2" t="s">
        <v>113</v>
      </c>
    </row>
    <row r="90" customFormat="false" ht="15" hidden="false" customHeight="false" outlineLevel="0" collapsed="false">
      <c r="C90" s="2" t="s">
        <v>114</v>
      </c>
    </row>
    <row r="91" customFormat="false" ht="15" hidden="false" customHeight="false" outlineLevel="0" collapsed="false">
      <c r="C91" s="2" t="s">
        <v>115</v>
      </c>
    </row>
    <row r="92" customFormat="false" ht="15" hidden="false" customHeight="false" outlineLevel="0" collapsed="false">
      <c r="C92" s="2" t="s">
        <v>116</v>
      </c>
    </row>
    <row r="93" customFormat="false" ht="15" hidden="false" customHeight="false" outlineLevel="0" collapsed="false">
      <c r="C93" s="2" t="s">
        <v>117</v>
      </c>
    </row>
    <row r="95" customFormat="false" ht="15" hidden="false" customHeight="false" outlineLevel="0" collapsed="false">
      <c r="C95" s="7" t="s">
        <v>118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52"/>
    <col collapsed="false" customWidth="true" hidden="false" outlineLevel="0" max="32" min="3" style="20" width="11"/>
  </cols>
  <sheetData>
    <row r="1" customFormat="false" ht="17.25" hidden="false" customHeight="true" outlineLevel="0" collapsed="false">
      <c r="A1" s="21" t="s">
        <v>119</v>
      </c>
    </row>
    <row r="2" customFormat="false" ht="15" hidden="false" customHeight="true" outlineLevel="0" collapsed="false">
      <c r="A2" s="22" t="s">
        <v>120</v>
      </c>
    </row>
    <row r="3" customFormat="false" ht="15" hidden="false" customHeight="true" outlineLevel="0" collapsed="false">
      <c r="A3" s="22" t="s">
        <v>121</v>
      </c>
    </row>
    <row r="5" customFormat="false" ht="15" hidden="false" customHeight="true" outlineLevel="0" collapsed="false">
      <c r="A5" s="23" t="s">
        <v>122</v>
      </c>
      <c r="B5" s="23"/>
      <c r="C5" s="23"/>
      <c r="D5" s="23"/>
      <c r="E5" s="23"/>
      <c r="F5" s="23"/>
      <c r="G5" s="23"/>
      <c r="H5" s="23"/>
      <c r="I5" s="23"/>
      <c r="J5" s="23"/>
      <c r="K5" s="23"/>
      <c r="L5" s="23"/>
      <c r="M5" s="23"/>
      <c r="N5" s="23"/>
      <c r="O5" s="23"/>
      <c r="P5" s="23"/>
      <c r="Q5" s="23"/>
      <c r="R5" s="23"/>
      <c r="S5" s="23"/>
      <c r="T5" s="23"/>
      <c r="U5" s="23"/>
      <c r="V5" s="23"/>
      <c r="W5" s="23"/>
      <c r="X5" s="23"/>
      <c r="Y5" s="23"/>
      <c r="Z5" s="23"/>
      <c r="AA5" s="23"/>
      <c r="AB5" s="23"/>
      <c r="AC5" s="23"/>
      <c r="AD5" s="23"/>
      <c r="AE5" s="23"/>
      <c r="AF5" s="23"/>
    </row>
    <row r="6" customFormat="false" ht="15" hidden="false" customHeight="true" outlineLevel="0" collapsed="false">
      <c r="B6" s="24" t="s">
        <v>123</v>
      </c>
      <c r="C6" s="25" t="n">
        <v>2026</v>
      </c>
      <c r="D6" s="25" t="n">
        <v>2027</v>
      </c>
      <c r="E6" s="25" t="n">
        <v>2028</v>
      </c>
      <c r="F6" s="25" t="n">
        <v>2029</v>
      </c>
      <c r="G6" s="25" t="n">
        <v>2030</v>
      </c>
      <c r="H6" s="25" t="n">
        <v>2031</v>
      </c>
      <c r="I6" s="25" t="n">
        <v>2032</v>
      </c>
      <c r="J6" s="25" t="n">
        <v>2033</v>
      </c>
      <c r="K6" s="25" t="n">
        <v>2034</v>
      </c>
      <c r="L6" s="25" t="n">
        <v>2035</v>
      </c>
      <c r="M6" s="25" t="n">
        <v>2036</v>
      </c>
      <c r="N6" s="25" t="n">
        <v>2037</v>
      </c>
      <c r="O6" s="25" t="n">
        <v>2038</v>
      </c>
      <c r="P6" s="25" t="n">
        <v>2039</v>
      </c>
      <c r="Q6" s="25" t="n">
        <v>2040</v>
      </c>
      <c r="R6" s="25" t="n">
        <v>2041</v>
      </c>
      <c r="S6" s="25" t="n">
        <v>2042</v>
      </c>
      <c r="T6" s="25" t="n">
        <v>2043</v>
      </c>
      <c r="U6" s="25" t="n">
        <v>2044</v>
      </c>
      <c r="V6" s="25" t="n">
        <v>2045</v>
      </c>
      <c r="W6" s="25" t="n">
        <v>2046</v>
      </c>
      <c r="X6" s="25" t="n">
        <v>2047</v>
      </c>
      <c r="Y6" s="25" t="n">
        <v>2048</v>
      </c>
      <c r="Z6" s="25" t="n">
        <v>2049</v>
      </c>
      <c r="AA6" s="25" t="n">
        <v>2050</v>
      </c>
      <c r="AB6" s="25" t="n">
        <v>2051</v>
      </c>
      <c r="AC6" s="25" t="n">
        <v>2052</v>
      </c>
      <c r="AD6" s="25" t="n">
        <v>2053</v>
      </c>
      <c r="AE6" s="25" t="n">
        <v>2054</v>
      </c>
      <c r="AF6" s="25" t="n">
        <v>2055</v>
      </c>
    </row>
    <row r="7" customFormat="false" ht="15" hidden="false" customHeight="true" outlineLevel="0" collapsed="false">
      <c r="B7" s="26" t="s">
        <v>124</v>
      </c>
      <c r="C7" s="27" t="n">
        <v>1</v>
      </c>
      <c r="D7" s="27" t="n">
        <f aca="false">C7+1</f>
        <v>2</v>
      </c>
      <c r="E7" s="27" t="n">
        <f aca="false">D7+1</f>
        <v>3</v>
      </c>
      <c r="F7" s="27" t="n">
        <f aca="false">E7+1</f>
        <v>4</v>
      </c>
      <c r="G7" s="27" t="n">
        <f aca="false">F7+1</f>
        <v>5</v>
      </c>
      <c r="H7" s="27" t="n">
        <f aca="false">G7+1</f>
        <v>6</v>
      </c>
      <c r="I7" s="27" t="n">
        <f aca="false">H7+1</f>
        <v>7</v>
      </c>
      <c r="J7" s="27" t="n">
        <f aca="false">I7+1</f>
        <v>8</v>
      </c>
      <c r="K7" s="27" t="n">
        <f aca="false">J7+1</f>
        <v>9</v>
      </c>
      <c r="L7" s="27" t="n">
        <f aca="false">K7+1</f>
        <v>10</v>
      </c>
      <c r="M7" s="27" t="n">
        <f aca="false">L7+1</f>
        <v>11</v>
      </c>
      <c r="N7" s="27" t="n">
        <f aca="false">M7+1</f>
        <v>12</v>
      </c>
      <c r="O7" s="27" t="n">
        <f aca="false">N7+1</f>
        <v>13</v>
      </c>
      <c r="P7" s="27" t="n">
        <f aca="false">O7+1</f>
        <v>14</v>
      </c>
      <c r="Q7" s="27" t="n">
        <f aca="false">P7+1</f>
        <v>15</v>
      </c>
      <c r="R7" s="27" t="n">
        <f aca="false">Q7+1</f>
        <v>16</v>
      </c>
      <c r="S7" s="27" t="n">
        <f aca="false">R7+1</f>
        <v>17</v>
      </c>
      <c r="T7" s="27" t="n">
        <f aca="false">S7+1</f>
        <v>18</v>
      </c>
      <c r="U7" s="27" t="n">
        <f aca="false">T7+1</f>
        <v>19</v>
      </c>
      <c r="V7" s="27" t="n">
        <f aca="false">U7+1</f>
        <v>20</v>
      </c>
      <c r="W7" s="27" t="n">
        <f aca="false">V7+1</f>
        <v>21</v>
      </c>
      <c r="X7" s="27" t="n">
        <f aca="false">W7+1</f>
        <v>22</v>
      </c>
      <c r="Y7" s="27" t="n">
        <f aca="false">X7+1</f>
        <v>23</v>
      </c>
      <c r="Z7" s="27" t="n">
        <f aca="false">Y7+1</f>
        <v>24</v>
      </c>
      <c r="AA7" s="27" t="n">
        <f aca="false">Z7+1</f>
        <v>25</v>
      </c>
      <c r="AB7" s="27" t="n">
        <f aca="false">AA7+1</f>
        <v>26</v>
      </c>
      <c r="AC7" s="27" t="n">
        <f aca="false">AB7+1</f>
        <v>27</v>
      </c>
      <c r="AD7" s="27" t="n">
        <f aca="false">AC7+1</f>
        <v>28</v>
      </c>
      <c r="AE7" s="27" t="n">
        <f aca="false">AD7+1</f>
        <v>29</v>
      </c>
      <c r="AF7" s="27" t="n">
        <f aca="false">AE7+1</f>
        <v>30</v>
      </c>
    </row>
    <row r="8" customFormat="false" ht="15" hidden="false" customHeight="true" outlineLevel="0" collapsed="false">
      <c r="B8" s="28" t="s">
        <v>125</v>
      </c>
      <c r="C8" s="29" t="n">
        <v>0</v>
      </c>
      <c r="D8" s="29" t="n">
        <v>0.04</v>
      </c>
      <c r="E8" s="29" t="n">
        <v>0.04</v>
      </c>
      <c r="F8" s="29" t="n">
        <v>0.02</v>
      </c>
      <c r="G8" s="29" t="n">
        <v>0.02</v>
      </c>
      <c r="H8" s="29" t="n">
        <v>0.02</v>
      </c>
      <c r="I8" s="29" t="n">
        <v>0.02</v>
      </c>
      <c r="J8" s="29" t="n">
        <v>0.02</v>
      </c>
      <c r="K8" s="29" t="n">
        <v>0.02</v>
      </c>
      <c r="L8" s="29" t="n">
        <v>0.02</v>
      </c>
      <c r="M8" s="29" t="n">
        <v>0.02</v>
      </c>
      <c r="N8" s="29" t="n">
        <v>0.02</v>
      </c>
      <c r="O8" s="29" t="n">
        <v>0.02</v>
      </c>
      <c r="P8" s="29" t="n">
        <v>0.02</v>
      </c>
      <c r="Q8" s="29" t="n">
        <v>0.02</v>
      </c>
      <c r="R8" s="29" t="n">
        <v>0.02</v>
      </c>
      <c r="S8" s="29" t="n">
        <v>0.02</v>
      </c>
      <c r="T8" s="29" t="n">
        <v>0.02</v>
      </c>
      <c r="U8" s="29" t="n">
        <v>0.02</v>
      </c>
      <c r="V8" s="29" t="n">
        <v>0.02</v>
      </c>
      <c r="W8" s="29" t="n">
        <v>0.02</v>
      </c>
      <c r="X8" s="29" t="n">
        <v>0.02</v>
      </c>
      <c r="Y8" s="29" t="n">
        <v>0.02</v>
      </c>
      <c r="Z8" s="29" t="n">
        <v>0.02</v>
      </c>
      <c r="AA8" s="29" t="n">
        <v>0.02</v>
      </c>
      <c r="AB8" s="29" t="n">
        <v>0.02</v>
      </c>
      <c r="AC8" s="29" t="n">
        <v>0.02</v>
      </c>
      <c r="AD8" s="29" t="n">
        <v>0.02</v>
      </c>
      <c r="AE8" s="29" t="n">
        <v>0.02</v>
      </c>
      <c r="AF8" s="29" t="n">
        <v>0.02</v>
      </c>
      <c r="AI8" s="28" t="s">
        <v>126</v>
      </c>
    </row>
    <row r="9" customFormat="false" ht="15" hidden="false" customHeight="true" outlineLevel="0" collapsed="false">
      <c r="B9" s="24" t="s">
        <v>127</v>
      </c>
      <c r="C9" s="30" t="n">
        <v>1</v>
      </c>
      <c r="D9" s="30" t="n">
        <f aca="false">C9*(1+D8)</f>
        <v>1.04</v>
      </c>
      <c r="E9" s="30" t="n">
        <f aca="false">D9*(1+E8)</f>
        <v>1.0816</v>
      </c>
      <c r="F9" s="30" t="n">
        <f aca="false">E9*(1+F8)</f>
        <v>1.103232</v>
      </c>
      <c r="G9" s="30" t="n">
        <f aca="false">F9*(1+G8)</f>
        <v>1.12529664</v>
      </c>
      <c r="H9" s="30" t="n">
        <f aca="false">G9*(1+H8)</f>
        <v>1.1478025728</v>
      </c>
      <c r="I9" s="30" t="n">
        <f aca="false">H9*(1+I8)</f>
        <v>1.170758624256</v>
      </c>
      <c r="J9" s="30" t="n">
        <f aca="false">I9*(1+J8)</f>
        <v>1.19417379674112</v>
      </c>
      <c r="K9" s="30" t="n">
        <f aca="false">J9*(1+K8)</f>
        <v>1.21805727267594</v>
      </c>
      <c r="L9" s="30" t="n">
        <f aca="false">K9*(1+L8)</f>
        <v>1.24241841812946</v>
      </c>
      <c r="M9" s="30" t="n">
        <f aca="false">L9*(1+M8)</f>
        <v>1.26726678649205</v>
      </c>
      <c r="N9" s="30" t="n">
        <f aca="false">M9*(1+N8)</f>
        <v>1.29261212222189</v>
      </c>
      <c r="O9" s="30" t="n">
        <f aca="false">N9*(1+O8)</f>
        <v>1.31846436466633</v>
      </c>
      <c r="P9" s="30" t="n">
        <f aca="false">O9*(1+P8)</f>
        <v>1.34483365195966</v>
      </c>
      <c r="Q9" s="30" t="n">
        <f aca="false">P9*(1+Q8)</f>
        <v>1.37173032499885</v>
      </c>
      <c r="R9" s="30" t="n">
        <f aca="false">Q9*(1+R8)</f>
        <v>1.39916493149883</v>
      </c>
      <c r="S9" s="30" t="n">
        <f aca="false">R9*(1+S8)</f>
        <v>1.4271482301288</v>
      </c>
      <c r="T9" s="30" t="n">
        <f aca="false">S9*(1+T8)</f>
        <v>1.45569119473138</v>
      </c>
      <c r="U9" s="30" t="n">
        <f aca="false">T9*(1+U8)</f>
        <v>1.48480501862601</v>
      </c>
      <c r="V9" s="30" t="n">
        <f aca="false">U9*(1+V8)</f>
        <v>1.51450111899853</v>
      </c>
      <c r="W9" s="30" t="n">
        <f aca="false">V9*(1+W8)</f>
        <v>1.5447911413785</v>
      </c>
      <c r="X9" s="30" t="n">
        <f aca="false">W9*(1+X8)</f>
        <v>1.57568696420607</v>
      </c>
      <c r="Y9" s="30" t="n">
        <f aca="false">X9*(1+Y8)</f>
        <v>1.60720070349019</v>
      </c>
      <c r="Z9" s="30" t="n">
        <f aca="false">Y9*(1+Z8)</f>
        <v>1.63934471755999</v>
      </c>
      <c r="AA9" s="30" t="n">
        <f aca="false">Z9*(1+AA8)</f>
        <v>1.67213161191119</v>
      </c>
      <c r="AB9" s="30" t="n">
        <f aca="false">AA9*(1+AB8)</f>
        <v>1.70557424414942</v>
      </c>
      <c r="AC9" s="30" t="n">
        <f aca="false">AB9*(1+AC8)</f>
        <v>1.7396857290324</v>
      </c>
      <c r="AD9" s="30" t="n">
        <f aca="false">AC9*(1+AD8)</f>
        <v>1.77447944361305</v>
      </c>
      <c r="AE9" s="30" t="n">
        <f aca="false">AD9*(1+AE8)</f>
        <v>1.80996903248531</v>
      </c>
      <c r="AF9" s="30" t="n">
        <f aca="false">AE9*(1+AF8)</f>
        <v>1.84616841313502</v>
      </c>
    </row>
    <row r="10" customFormat="false" ht="15" hidden="false" customHeight="true" outlineLevel="0" collapsed="false">
      <c r="B10" s="26" t="s">
        <v>128</v>
      </c>
      <c r="C10" s="31" t="n">
        <v>0</v>
      </c>
      <c r="D10" s="31" t="n">
        <v>0</v>
      </c>
      <c r="E10" s="31" t="n">
        <v>0</v>
      </c>
      <c r="F10" s="31" t="n">
        <v>0</v>
      </c>
      <c r="G10" s="31" t="n">
        <v>0</v>
      </c>
      <c r="H10" s="31" t="n">
        <f aca="false">H8</f>
        <v>0.02</v>
      </c>
      <c r="I10" s="31" t="n">
        <f aca="false">I8</f>
        <v>0.02</v>
      </c>
      <c r="J10" s="31" t="n">
        <f aca="false">J8</f>
        <v>0.02</v>
      </c>
      <c r="K10" s="31" t="n">
        <f aca="false">K8</f>
        <v>0.02</v>
      </c>
      <c r="L10" s="31" t="n">
        <f aca="false">L8</f>
        <v>0.02</v>
      </c>
      <c r="M10" s="31" t="n">
        <f aca="false">M8</f>
        <v>0.02</v>
      </c>
      <c r="N10" s="31" t="n">
        <f aca="false">N8</f>
        <v>0.02</v>
      </c>
      <c r="O10" s="31" t="n">
        <f aca="false">O8</f>
        <v>0.02</v>
      </c>
      <c r="P10" s="31" t="n">
        <f aca="false">P8</f>
        <v>0.02</v>
      </c>
      <c r="Q10" s="31" t="n">
        <f aca="false">Q8</f>
        <v>0.02</v>
      </c>
      <c r="R10" s="31" t="n">
        <f aca="false">R8</f>
        <v>0.02</v>
      </c>
      <c r="S10" s="31" t="n">
        <f aca="false">S8</f>
        <v>0.02</v>
      </c>
      <c r="T10" s="31" t="n">
        <f aca="false">T8</f>
        <v>0.02</v>
      </c>
      <c r="U10" s="31" t="n">
        <f aca="false">U8</f>
        <v>0.02</v>
      </c>
      <c r="V10" s="31" t="n">
        <f aca="false">V8</f>
        <v>0.02</v>
      </c>
      <c r="W10" s="31" t="n">
        <f aca="false">W8</f>
        <v>0.02</v>
      </c>
      <c r="X10" s="31" t="n">
        <f aca="false">X8</f>
        <v>0.02</v>
      </c>
      <c r="Y10" s="31" t="n">
        <f aca="false">Y8</f>
        <v>0.02</v>
      </c>
      <c r="Z10" s="31" t="n">
        <f aca="false">Z8</f>
        <v>0.02</v>
      </c>
      <c r="AA10" s="31" t="n">
        <f aca="false">AA8</f>
        <v>0.02</v>
      </c>
      <c r="AB10" s="31" t="n">
        <f aca="false">AB8</f>
        <v>0.02</v>
      </c>
      <c r="AC10" s="31" t="n">
        <f aca="false">AC8</f>
        <v>0.02</v>
      </c>
      <c r="AD10" s="31" t="n">
        <f aca="false">AD8</f>
        <v>0.02</v>
      </c>
      <c r="AE10" s="31" t="n">
        <f aca="false">AE8</f>
        <v>0.02</v>
      </c>
      <c r="AF10" s="31" t="n">
        <f aca="false">AF8</f>
        <v>0.02</v>
      </c>
      <c r="AI10" s="28" t="s">
        <v>129</v>
      </c>
    </row>
    <row r="11" customFormat="false" ht="15" hidden="false" customHeight="true" outlineLevel="0" collapsed="false">
      <c r="B11" s="26" t="s">
        <v>130</v>
      </c>
      <c r="C11" s="32" t="n">
        <v>1</v>
      </c>
      <c r="D11" s="32" t="n">
        <f aca="false">C11*(1+D10)</f>
        <v>1</v>
      </c>
      <c r="E11" s="32" t="n">
        <f aca="false">D11*(1+E10)</f>
        <v>1</v>
      </c>
      <c r="F11" s="32" t="n">
        <f aca="false">E11*(1+F10)</f>
        <v>1</v>
      </c>
      <c r="G11" s="32" t="n">
        <f aca="false">F11*(1+G10)</f>
        <v>1</v>
      </c>
      <c r="H11" s="32" t="n">
        <f aca="false">G11*(1+H10)</f>
        <v>1.02</v>
      </c>
      <c r="I11" s="32" t="n">
        <f aca="false">H11*(1+I10)</f>
        <v>1.0404</v>
      </c>
      <c r="J11" s="32" t="n">
        <f aca="false">I11*(1+J10)</f>
        <v>1.061208</v>
      </c>
      <c r="K11" s="32" t="n">
        <f aca="false">J11*(1+K10)</f>
        <v>1.08243216</v>
      </c>
      <c r="L11" s="32" t="n">
        <f aca="false">K11*(1+L10)</f>
        <v>1.1040808032</v>
      </c>
      <c r="M11" s="32" t="n">
        <f aca="false">L11*(1+M10)</f>
        <v>1.126162419264</v>
      </c>
      <c r="N11" s="32" t="n">
        <f aca="false">M11*(1+N10)</f>
        <v>1.14868566764928</v>
      </c>
      <c r="O11" s="32" t="n">
        <f aca="false">N11*(1+O10)</f>
        <v>1.17165938100227</v>
      </c>
      <c r="P11" s="32" t="n">
        <f aca="false">O11*(1+P10)</f>
        <v>1.19509256862231</v>
      </c>
      <c r="Q11" s="32" t="n">
        <f aca="false">P11*(1+Q10)</f>
        <v>1.21899441999476</v>
      </c>
      <c r="R11" s="32" t="n">
        <f aca="false">Q11*(1+R10)</f>
        <v>1.24337430839465</v>
      </c>
      <c r="S11" s="32" t="n">
        <f aca="false">R11*(1+S10)</f>
        <v>1.26824179456255</v>
      </c>
      <c r="T11" s="32" t="n">
        <f aca="false">S11*(1+T10)</f>
        <v>1.2936066304538</v>
      </c>
      <c r="U11" s="32" t="n">
        <f aca="false">T11*(1+U10)</f>
        <v>1.31947876306287</v>
      </c>
      <c r="V11" s="32" t="n">
        <f aca="false">U11*(1+V10)</f>
        <v>1.34586833832413</v>
      </c>
      <c r="W11" s="32" t="n">
        <f aca="false">V11*(1+W10)</f>
        <v>1.37278570509061</v>
      </c>
      <c r="X11" s="32" t="n">
        <f aca="false">W11*(1+X10)</f>
        <v>1.40024141919242</v>
      </c>
      <c r="Y11" s="32" t="n">
        <f aca="false">X11*(1+Y10)</f>
        <v>1.42824624757627</v>
      </c>
      <c r="Z11" s="32" t="n">
        <f aca="false">Y11*(1+Z10)</f>
        <v>1.4568111725278</v>
      </c>
      <c r="AA11" s="32" t="n">
        <f aca="false">Z11*(1+AA10)</f>
        <v>1.48594739597836</v>
      </c>
      <c r="AB11" s="32" t="n">
        <f aca="false">AA11*(1+AB10)</f>
        <v>1.51566634389792</v>
      </c>
      <c r="AC11" s="32" t="n">
        <f aca="false">AB11*(1+AC10)</f>
        <v>1.54597967077588</v>
      </c>
      <c r="AD11" s="32" t="n">
        <f aca="false">AC11*(1+AD10)</f>
        <v>1.5768992641914</v>
      </c>
      <c r="AE11" s="32" t="n">
        <f aca="false">AD11*(1+AE10)</f>
        <v>1.60843724947523</v>
      </c>
      <c r="AF11" s="32" t="n">
        <f aca="false">AE11*(1+AF10)</f>
        <v>1.64060599446473</v>
      </c>
    </row>
    <row r="12" customFormat="false" ht="15" hidden="false" customHeight="true" outlineLevel="0" collapsed="false">
      <c r="B12" s="26" t="s">
        <v>131</v>
      </c>
      <c r="C12" s="27" t="n">
        <v>35</v>
      </c>
      <c r="D12" s="27" t="n">
        <f aca="false">C12+1</f>
        <v>36</v>
      </c>
      <c r="E12" s="27" t="n">
        <f aca="false">D12+1</f>
        <v>37</v>
      </c>
      <c r="F12" s="27" t="n">
        <f aca="false">E12+1</f>
        <v>38</v>
      </c>
      <c r="G12" s="27" t="n">
        <f aca="false">F12+1</f>
        <v>39</v>
      </c>
      <c r="H12" s="27" t="n">
        <f aca="false">G12+1</f>
        <v>40</v>
      </c>
      <c r="I12" s="27" t="n">
        <f aca="false">H12+1</f>
        <v>41</v>
      </c>
      <c r="J12" s="27" t="n">
        <f aca="false">I12+1</f>
        <v>42</v>
      </c>
      <c r="K12" s="27" t="n">
        <f aca="false">J12+1</f>
        <v>43</v>
      </c>
      <c r="L12" s="27" t="n">
        <f aca="false">K12+1</f>
        <v>44</v>
      </c>
      <c r="M12" s="27" t="n">
        <f aca="false">L12+1</f>
        <v>45</v>
      </c>
      <c r="N12" s="27" t="n">
        <f aca="false">M12+1</f>
        <v>46</v>
      </c>
      <c r="O12" s="27" t="n">
        <f aca="false">N12+1</f>
        <v>47</v>
      </c>
      <c r="P12" s="27" t="n">
        <f aca="false">O12+1</f>
        <v>48</v>
      </c>
      <c r="Q12" s="27" t="n">
        <f aca="false">P12+1</f>
        <v>49</v>
      </c>
      <c r="R12" s="27" t="n">
        <f aca="false">Q12+1</f>
        <v>50</v>
      </c>
      <c r="S12" s="27" t="n">
        <f aca="false">R12+1</f>
        <v>51</v>
      </c>
      <c r="T12" s="27" t="n">
        <f aca="false">S12+1</f>
        <v>52</v>
      </c>
      <c r="U12" s="27" t="n">
        <f aca="false">T12+1</f>
        <v>53</v>
      </c>
      <c r="V12" s="27" t="n">
        <f aca="false">U12+1</f>
        <v>54</v>
      </c>
      <c r="W12" s="27" t="n">
        <f aca="false">V12+1</f>
        <v>55</v>
      </c>
      <c r="X12" s="27" t="n">
        <f aca="false">W12+1</f>
        <v>56</v>
      </c>
      <c r="Y12" s="27" t="n">
        <f aca="false">X12+1</f>
        <v>57</v>
      </c>
      <c r="Z12" s="27" t="n">
        <f aca="false">Y12+1</f>
        <v>58</v>
      </c>
      <c r="AA12" s="27" t="n">
        <f aca="false">Z12+1</f>
        <v>59</v>
      </c>
      <c r="AB12" s="27" t="n">
        <f aca="false">AA12+1</f>
        <v>60</v>
      </c>
      <c r="AC12" s="27" t="n">
        <f aca="false">AB12+1</f>
        <v>61</v>
      </c>
      <c r="AD12" s="27" t="n">
        <f aca="false">AC12+1</f>
        <v>62</v>
      </c>
      <c r="AE12" s="27" t="n">
        <f aca="false">AD12+1</f>
        <v>63</v>
      </c>
      <c r="AF12" s="27" t="n">
        <f aca="false">AE12+1</f>
        <v>64</v>
      </c>
    </row>
    <row r="13" customFormat="false" ht="15" hidden="false" customHeight="true" outlineLevel="0" collapsed="false">
      <c r="B13" s="26" t="s">
        <v>132</v>
      </c>
      <c r="C13" s="27" t="n">
        <v>44</v>
      </c>
      <c r="D13" s="27" t="n">
        <f aca="false">C13+1</f>
        <v>45</v>
      </c>
      <c r="E13" s="27" t="n">
        <f aca="false">D13+1</f>
        <v>46</v>
      </c>
      <c r="F13" s="27" t="n">
        <f aca="false">E13+1</f>
        <v>47</v>
      </c>
      <c r="G13" s="27" t="n">
        <f aca="false">F13+1</f>
        <v>48</v>
      </c>
      <c r="H13" s="27" t="n">
        <f aca="false">G13+1</f>
        <v>49</v>
      </c>
      <c r="I13" s="27" t="n">
        <f aca="false">H13+1</f>
        <v>50</v>
      </c>
      <c r="J13" s="27" t="n">
        <f aca="false">I13+1</f>
        <v>51</v>
      </c>
      <c r="K13" s="27" t="n">
        <f aca="false">J13+1</f>
        <v>52</v>
      </c>
      <c r="L13" s="27" t="n">
        <f aca="false">K13+1</f>
        <v>53</v>
      </c>
      <c r="M13" s="27" t="n">
        <f aca="false">L13+1</f>
        <v>54</v>
      </c>
      <c r="N13" s="27" t="n">
        <f aca="false">M13+1</f>
        <v>55</v>
      </c>
      <c r="O13" s="27" t="n">
        <f aca="false">N13+1</f>
        <v>56</v>
      </c>
      <c r="P13" s="27" t="n">
        <f aca="false">O13+1</f>
        <v>57</v>
      </c>
      <c r="Q13" s="27" t="n">
        <f aca="false">P13+1</f>
        <v>58</v>
      </c>
      <c r="R13" s="27" t="n">
        <f aca="false">Q13+1</f>
        <v>59</v>
      </c>
      <c r="S13" s="27" t="n">
        <f aca="false">R13+1</f>
        <v>60</v>
      </c>
      <c r="T13" s="27" t="n">
        <f aca="false">S13+1</f>
        <v>61</v>
      </c>
      <c r="U13" s="27" t="n">
        <f aca="false">T13+1</f>
        <v>62</v>
      </c>
      <c r="V13" s="27" t="n">
        <f aca="false">U13+1</f>
        <v>63</v>
      </c>
      <c r="W13" s="27" t="n">
        <f aca="false">V13+1</f>
        <v>64</v>
      </c>
      <c r="X13" s="27" t="n">
        <f aca="false">W13+1</f>
        <v>65</v>
      </c>
      <c r="Y13" s="27" t="n">
        <f aca="false">X13+1</f>
        <v>66</v>
      </c>
      <c r="Z13" s="27" t="n">
        <f aca="false">Y13+1</f>
        <v>67</v>
      </c>
      <c r="AA13" s="27" t="n">
        <f aca="false">Z13+1</f>
        <v>68</v>
      </c>
      <c r="AB13" s="27" t="n">
        <f aca="false">AA13+1</f>
        <v>69</v>
      </c>
      <c r="AC13" s="27" t="n">
        <f aca="false">AB13+1</f>
        <v>70</v>
      </c>
      <c r="AD13" s="27" t="n">
        <f aca="false">AC13+1</f>
        <v>71</v>
      </c>
      <c r="AE13" s="27" t="n">
        <f aca="false">AD13+1</f>
        <v>72</v>
      </c>
      <c r="AF13" s="27" t="n">
        <f aca="false">AE13+1</f>
        <v>73</v>
      </c>
    </row>
    <row r="14" customFormat="false" ht="15" hidden="false" customHeight="true" outlineLevel="0" collapsed="false">
      <c r="B14" s="26" t="s">
        <v>133</v>
      </c>
      <c r="C14" s="27" t="n">
        <v>6</v>
      </c>
      <c r="D14" s="27" t="n">
        <f aca="false">C14+1</f>
        <v>7</v>
      </c>
      <c r="E14" s="27" t="n">
        <f aca="false">D14+1</f>
        <v>8</v>
      </c>
      <c r="F14" s="27" t="n">
        <f aca="false">E14+1</f>
        <v>9</v>
      </c>
      <c r="G14" s="27" t="n">
        <f aca="false">F14+1</f>
        <v>10</v>
      </c>
      <c r="H14" s="27" t="n">
        <f aca="false">G14+1</f>
        <v>11</v>
      </c>
      <c r="I14" s="27" t="n">
        <f aca="false">H14+1</f>
        <v>12</v>
      </c>
      <c r="J14" s="27" t="n">
        <f aca="false">I14+1</f>
        <v>13</v>
      </c>
      <c r="K14" s="27" t="n">
        <f aca="false">J14+1</f>
        <v>14</v>
      </c>
      <c r="L14" s="27" t="n">
        <f aca="false">K14+1</f>
        <v>15</v>
      </c>
      <c r="M14" s="27" t="n">
        <f aca="false">L14+1</f>
        <v>16</v>
      </c>
      <c r="N14" s="27" t="n">
        <f aca="false">M14+1</f>
        <v>17</v>
      </c>
      <c r="O14" s="27" t="n">
        <f aca="false">N14+1</f>
        <v>18</v>
      </c>
      <c r="P14" s="27" t="n">
        <f aca="false">O14+1</f>
        <v>19</v>
      </c>
      <c r="Q14" s="27" t="n">
        <f aca="false">P14+1</f>
        <v>20</v>
      </c>
      <c r="R14" s="27" t="n">
        <f aca="false">Q14+1</f>
        <v>21</v>
      </c>
      <c r="S14" s="27" t="n">
        <f aca="false">R14+1</f>
        <v>22</v>
      </c>
      <c r="T14" s="27" t="n">
        <f aca="false">S14+1</f>
        <v>23</v>
      </c>
      <c r="U14" s="27" t="n">
        <f aca="false">T14+1</f>
        <v>24</v>
      </c>
      <c r="V14" s="27" t="n">
        <f aca="false">U14+1</f>
        <v>25</v>
      </c>
      <c r="W14" s="27" t="n">
        <f aca="false">V14+1</f>
        <v>26</v>
      </c>
      <c r="X14" s="27" t="n">
        <f aca="false">W14+1</f>
        <v>27</v>
      </c>
      <c r="Y14" s="27" t="n">
        <f aca="false">X14+1</f>
        <v>28</v>
      </c>
      <c r="Z14" s="27" t="n">
        <f aca="false">Y14+1</f>
        <v>29</v>
      </c>
      <c r="AA14" s="27" t="n">
        <f aca="false">Z14+1</f>
        <v>30</v>
      </c>
      <c r="AB14" s="27" t="n">
        <f aca="false">AA14+1</f>
        <v>31</v>
      </c>
      <c r="AC14" s="27" t="n">
        <f aca="false">AB14+1</f>
        <v>32</v>
      </c>
      <c r="AD14" s="27" t="n">
        <f aca="false">AC14+1</f>
        <v>33</v>
      </c>
      <c r="AE14" s="27" t="n">
        <f aca="false">AD14+1</f>
        <v>34</v>
      </c>
      <c r="AF14" s="27" t="n">
        <f aca="false">AE14+1</f>
        <v>35</v>
      </c>
    </row>
    <row r="15" customFormat="false" ht="15" hidden="false" customHeight="true" outlineLevel="0" collapsed="false">
      <c r="B15" s="26" t="s">
        <v>134</v>
      </c>
      <c r="C15" s="27" t="n">
        <v>3</v>
      </c>
      <c r="D15" s="27" t="n">
        <f aca="false">C15+1</f>
        <v>4</v>
      </c>
      <c r="E15" s="27" t="n">
        <f aca="false">D15+1</f>
        <v>5</v>
      </c>
      <c r="F15" s="27" t="n">
        <f aca="false">E15+1</f>
        <v>6</v>
      </c>
      <c r="G15" s="27" t="n">
        <f aca="false">F15+1</f>
        <v>7</v>
      </c>
      <c r="H15" s="27" t="n">
        <f aca="false">G15+1</f>
        <v>8</v>
      </c>
      <c r="I15" s="27" t="n">
        <f aca="false">H15+1</f>
        <v>9</v>
      </c>
      <c r="J15" s="27" t="n">
        <f aca="false">I15+1</f>
        <v>10</v>
      </c>
      <c r="K15" s="27" t="n">
        <f aca="false">J15+1</f>
        <v>11</v>
      </c>
      <c r="L15" s="27" t="n">
        <f aca="false">K15+1</f>
        <v>12</v>
      </c>
      <c r="M15" s="27" t="n">
        <f aca="false">L15+1</f>
        <v>13</v>
      </c>
      <c r="N15" s="27" t="n">
        <f aca="false">M15+1</f>
        <v>14</v>
      </c>
      <c r="O15" s="27" t="n">
        <f aca="false">N15+1</f>
        <v>15</v>
      </c>
      <c r="P15" s="27" t="n">
        <f aca="false">O15+1</f>
        <v>16</v>
      </c>
      <c r="Q15" s="27" t="n">
        <f aca="false">P15+1</f>
        <v>17</v>
      </c>
      <c r="R15" s="27" t="n">
        <f aca="false">Q15+1</f>
        <v>18</v>
      </c>
      <c r="S15" s="27" t="n">
        <f aca="false">R15+1</f>
        <v>19</v>
      </c>
      <c r="T15" s="27" t="n">
        <f aca="false">S15+1</f>
        <v>20</v>
      </c>
      <c r="U15" s="27" t="n">
        <f aca="false">T15+1</f>
        <v>21</v>
      </c>
      <c r="V15" s="27" t="n">
        <f aca="false">U15+1</f>
        <v>22</v>
      </c>
      <c r="W15" s="27" t="n">
        <f aca="false">V15+1</f>
        <v>23</v>
      </c>
      <c r="X15" s="27" t="n">
        <f aca="false">W15+1</f>
        <v>24</v>
      </c>
      <c r="Y15" s="27" t="n">
        <f aca="false">X15+1</f>
        <v>25</v>
      </c>
      <c r="Z15" s="27" t="n">
        <f aca="false">Y15+1</f>
        <v>26</v>
      </c>
      <c r="AA15" s="27" t="n">
        <f aca="false">Z15+1</f>
        <v>27</v>
      </c>
      <c r="AB15" s="27" t="n">
        <f aca="false">AA15+1</f>
        <v>28</v>
      </c>
      <c r="AC15" s="27" t="n">
        <f aca="false">AB15+1</f>
        <v>29</v>
      </c>
      <c r="AD15" s="27" t="n">
        <f aca="false">AC15+1</f>
        <v>30</v>
      </c>
      <c r="AE15" s="27" t="n">
        <f aca="false">AD15+1</f>
        <v>31</v>
      </c>
      <c r="AF15" s="27" t="n">
        <f aca="false">AE15+1</f>
        <v>32</v>
      </c>
    </row>
    <row r="16" customFormat="false" ht="15" hidden="false" customHeight="true" outlineLevel="0" collapsed="false">
      <c r="B16" s="26" t="s">
        <v>135</v>
      </c>
      <c r="C16" s="27" t="str">
        <f aca="false">IF(C6&lt;2027,"",C6-2027)</f>
        <v/>
      </c>
      <c r="D16" s="27" t="n">
        <f aca="false">IF(D6&lt;2027,"",D6-2027)</f>
        <v>0</v>
      </c>
      <c r="E16" s="27" t="n">
        <f aca="false">IF(E6&lt;2027,"",E6-2027)</f>
        <v>1</v>
      </c>
      <c r="F16" s="27" t="n">
        <f aca="false">IF(F6&lt;2027,"",F6-2027)</f>
        <v>2</v>
      </c>
      <c r="G16" s="27" t="n">
        <f aca="false">IF(G6&lt;2027,"",G6-2027)</f>
        <v>3</v>
      </c>
      <c r="H16" s="27" t="n">
        <f aca="false">IF(H6&lt;2027,"",H6-2027)</f>
        <v>4</v>
      </c>
      <c r="I16" s="27" t="n">
        <f aca="false">IF(I6&lt;2027,"",I6-2027)</f>
        <v>5</v>
      </c>
      <c r="J16" s="27" t="n">
        <f aca="false">IF(J6&lt;2027,"",J6-2027)</f>
        <v>6</v>
      </c>
      <c r="K16" s="27" t="n">
        <f aca="false">IF(K6&lt;2027,"",K6-2027)</f>
        <v>7</v>
      </c>
      <c r="L16" s="27" t="n">
        <f aca="false">IF(L6&lt;2027,"",L6-2027)</f>
        <v>8</v>
      </c>
      <c r="M16" s="27" t="n">
        <f aca="false">IF(M6&lt;2027,"",M6-2027)</f>
        <v>9</v>
      </c>
      <c r="N16" s="27" t="n">
        <f aca="false">IF(N6&lt;2027,"",N6-2027)</f>
        <v>10</v>
      </c>
      <c r="O16" s="27" t="n">
        <f aca="false">IF(O6&lt;2027,"",O6-2027)</f>
        <v>11</v>
      </c>
      <c r="P16" s="27" t="n">
        <f aca="false">IF(P6&lt;2027,"",P6-2027)</f>
        <v>12</v>
      </c>
      <c r="Q16" s="27" t="n">
        <f aca="false">IF(Q6&lt;2027,"",Q6-2027)</f>
        <v>13</v>
      </c>
      <c r="R16" s="27" t="n">
        <f aca="false">IF(R6&lt;2027,"",R6-2027)</f>
        <v>14</v>
      </c>
      <c r="S16" s="27" t="n">
        <f aca="false">IF(S6&lt;2027,"",S6-2027)</f>
        <v>15</v>
      </c>
      <c r="T16" s="27" t="n">
        <f aca="false">IF(T6&lt;2027,"",T6-2027)</f>
        <v>16</v>
      </c>
      <c r="U16" s="27" t="n">
        <f aca="false">IF(U6&lt;2027,"",U6-2027)</f>
        <v>17</v>
      </c>
      <c r="V16" s="27" t="n">
        <f aca="false">IF(V6&lt;2027,"",V6-2027)</f>
        <v>18</v>
      </c>
      <c r="W16" s="27" t="n">
        <f aca="false">IF(W6&lt;2027,"",W6-2027)</f>
        <v>19</v>
      </c>
      <c r="X16" s="27" t="n">
        <f aca="false">IF(X6&lt;2027,"",X6-2027)</f>
        <v>20</v>
      </c>
      <c r="Y16" s="27" t="n">
        <f aca="false">IF(Y6&lt;2027,"",Y6-2027)</f>
        <v>21</v>
      </c>
      <c r="Z16" s="27" t="n">
        <f aca="false">IF(Z6&lt;2027,"",Z6-2027)</f>
        <v>22</v>
      </c>
      <c r="AA16" s="27" t="n">
        <f aca="false">IF(AA6&lt;2027,"",AA6-2027)</f>
        <v>23</v>
      </c>
      <c r="AB16" s="27" t="n">
        <f aca="false">IF(AB6&lt;2027,"",AB6-2027)</f>
        <v>24</v>
      </c>
      <c r="AC16" s="27" t="n">
        <f aca="false">IF(AC6&lt;2027,"",AC6-2027)</f>
        <v>25</v>
      </c>
      <c r="AD16" s="27" t="n">
        <f aca="false">IF(AD6&lt;2027,"",AD6-2027)</f>
        <v>26</v>
      </c>
      <c r="AE16" s="27" t="n">
        <f aca="false">IF(AE6&lt;2027,"",AE6-2027)</f>
        <v>27</v>
      </c>
      <c r="AF16" s="27" t="n">
        <f aca="false">IF(AF6&lt;2027,"",AF6-2027)</f>
        <v>28</v>
      </c>
    </row>
    <row r="18" customFormat="false" ht="15" hidden="false" customHeight="true" outlineLevel="0" collapsed="false">
      <c r="A18" s="23" t="s">
        <v>136</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row>
    <row r="19" customFormat="false" ht="15" hidden="false" customHeight="true" outlineLevel="0" collapsed="false">
      <c r="C19" s="33" t="s">
        <v>137</v>
      </c>
      <c r="D19" s="33" t="s">
        <v>138</v>
      </c>
      <c r="E19" s="33" t="s">
        <v>139</v>
      </c>
    </row>
    <row r="20" customFormat="false" ht="15" hidden="false" customHeight="true" outlineLevel="0" collapsed="false">
      <c r="B20" s="26" t="s">
        <v>140</v>
      </c>
      <c r="C20" s="34" t="n">
        <v>170000</v>
      </c>
      <c r="D20" s="34" t="n">
        <v>190000</v>
      </c>
      <c r="E20" s="28" t="s">
        <v>141</v>
      </c>
    </row>
    <row r="21" customFormat="false" ht="15" hidden="false" customHeight="true" outlineLevel="0" collapsed="false">
      <c r="B21" s="26" t="s">
        <v>142</v>
      </c>
      <c r="C21" s="35" t="n">
        <v>35</v>
      </c>
      <c r="D21" s="35" t="n">
        <v>44</v>
      </c>
      <c r="E21" s="28" t="s">
        <v>141</v>
      </c>
    </row>
    <row r="22" customFormat="false" ht="15" hidden="false" customHeight="true" outlineLevel="0" collapsed="false">
      <c r="B22" s="26" t="s">
        <v>143</v>
      </c>
      <c r="C22" s="34" t="n">
        <v>80000</v>
      </c>
      <c r="D22" s="34" t="n">
        <v>180000</v>
      </c>
      <c r="E22" s="28" t="s">
        <v>141</v>
      </c>
    </row>
    <row r="23" customFormat="false" ht="15" hidden="false" customHeight="true" outlineLevel="0" collapsed="false">
      <c r="B23" s="26" t="s">
        <v>144</v>
      </c>
      <c r="C23" s="34" t="n">
        <v>480000</v>
      </c>
      <c r="D23" s="34" t="n">
        <v>760000</v>
      </c>
      <c r="E23" s="28" t="s">
        <v>141</v>
      </c>
    </row>
    <row r="24" customFormat="false" ht="15" hidden="false" customHeight="true" outlineLevel="0" collapsed="false">
      <c r="B24" s="26" t="s">
        <v>145</v>
      </c>
      <c r="C24" s="34" t="n">
        <v>1000</v>
      </c>
      <c r="D24" s="34" t="n">
        <v>800</v>
      </c>
      <c r="E24" s="28" t="s">
        <v>141</v>
      </c>
    </row>
    <row r="26" customFormat="false" ht="15" hidden="false" customHeight="true" outlineLevel="0" collapsed="false">
      <c r="A26" s="23" t="s">
        <v>146</v>
      </c>
      <c r="B26" s="23"/>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row>
    <row r="27" customFormat="false" ht="15" hidden="false" customHeight="true" outlineLevel="0" collapsed="false">
      <c r="B27" s="26" t="s">
        <v>147</v>
      </c>
      <c r="C27" s="29" t="n">
        <v>0.1</v>
      </c>
      <c r="E27" s="28" t="s">
        <v>148</v>
      </c>
    </row>
    <row r="28" customFormat="false" ht="15" hidden="false" customHeight="true" outlineLevel="0" collapsed="false">
      <c r="B28" s="26" t="s">
        <v>149</v>
      </c>
      <c r="C28" s="29" t="n">
        <v>0.085</v>
      </c>
      <c r="E28" s="28" t="s">
        <v>150</v>
      </c>
    </row>
    <row r="29" customFormat="false" ht="15" hidden="false" customHeight="true" outlineLevel="0" collapsed="false">
      <c r="B29" s="26" t="s">
        <v>151</v>
      </c>
      <c r="C29" s="36" t="n">
        <f aca="false">(1+$C$27)/(1+$F$8)-1</f>
        <v>0.0784313725490198</v>
      </c>
    </row>
    <row r="31" customFormat="false" ht="15" hidden="false" customHeight="true" outlineLevel="0" collapsed="false">
      <c r="A31" s="23" t="s">
        <v>152</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row>
    <row r="32" customFormat="false" ht="15" hidden="false" customHeight="true" outlineLevel="0" collapsed="false">
      <c r="B32" s="26" t="s">
        <v>153</v>
      </c>
      <c r="C32" s="34" t="n">
        <v>60000</v>
      </c>
      <c r="E32" s="28" t="s">
        <v>154</v>
      </c>
    </row>
    <row r="33" customFormat="false" ht="15" hidden="false" customHeight="true" outlineLevel="0" collapsed="false">
      <c r="B33" s="26" t="s">
        <v>155</v>
      </c>
      <c r="C33" s="34" t="n">
        <v>20000</v>
      </c>
      <c r="E33" s="28" t="s">
        <v>156</v>
      </c>
    </row>
    <row r="34" customFormat="false" ht="15" hidden="false" customHeight="true" outlineLevel="0" collapsed="false">
      <c r="B34" s="26" t="s">
        <v>157</v>
      </c>
      <c r="C34" s="34" t="n">
        <v>9000</v>
      </c>
      <c r="E34" s="28" t="s">
        <v>158</v>
      </c>
    </row>
    <row r="35" customFormat="false" ht="15" hidden="false" customHeight="true" outlineLevel="0" collapsed="false">
      <c r="B35" s="26" t="s">
        <v>159</v>
      </c>
      <c r="C35" s="34" t="n">
        <v>260000</v>
      </c>
      <c r="E35" s="28" t="s">
        <v>160</v>
      </c>
    </row>
    <row r="36" customFormat="false" ht="15" hidden="false" customHeight="true" outlineLevel="0" collapsed="false">
      <c r="B36" s="26" t="s">
        <v>161</v>
      </c>
      <c r="C36" s="34" t="n">
        <v>10000</v>
      </c>
      <c r="E36" s="28" t="s">
        <v>162</v>
      </c>
    </row>
    <row r="38" customFormat="false" ht="15" hidden="false" customHeight="true" outlineLevel="0" collapsed="false">
      <c r="A38" s="23" t="s">
        <v>163</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row>
    <row r="39" customFormat="false" ht="15" hidden="false" customHeight="true" outlineLevel="0" collapsed="false">
      <c r="B39" s="26" t="s">
        <v>164</v>
      </c>
      <c r="C39" s="34" t="n">
        <v>12570</v>
      </c>
      <c r="E39" s="28" t="s">
        <v>165</v>
      </c>
    </row>
    <row r="40" customFormat="false" ht="15" hidden="false" customHeight="true" outlineLevel="0" collapsed="false">
      <c r="B40" s="26" t="s">
        <v>166</v>
      </c>
      <c r="C40" s="34" t="n">
        <v>100000</v>
      </c>
    </row>
    <row r="41" customFormat="false" ht="15" hidden="false" customHeight="true" outlineLevel="0" collapsed="false">
      <c r="B41" s="26" t="s">
        <v>167</v>
      </c>
      <c r="C41" s="34" t="n">
        <v>37700</v>
      </c>
    </row>
    <row r="42" customFormat="false" ht="15" hidden="false" customHeight="true" outlineLevel="0" collapsed="false">
      <c r="B42" s="26" t="s">
        <v>168</v>
      </c>
      <c r="C42" s="34" t="n">
        <v>125140</v>
      </c>
    </row>
    <row r="43" customFormat="false" ht="15" hidden="false" customHeight="true" outlineLevel="0" collapsed="false">
      <c r="B43" s="26" t="s">
        <v>169</v>
      </c>
      <c r="C43" s="31" t="n">
        <v>0.2</v>
      </c>
    </row>
    <row r="44" customFormat="false" ht="15" hidden="false" customHeight="true" outlineLevel="0" collapsed="false">
      <c r="B44" s="26" t="s">
        <v>170</v>
      </c>
      <c r="C44" s="31" t="n">
        <v>0.4</v>
      </c>
    </row>
    <row r="45" customFormat="false" ht="15" hidden="false" customHeight="true" outlineLevel="0" collapsed="false">
      <c r="B45" s="26" t="s">
        <v>171</v>
      </c>
      <c r="C45" s="31" t="n">
        <v>0.45</v>
      </c>
    </row>
    <row r="46" customFormat="false" ht="15" hidden="false" customHeight="true" outlineLevel="0" collapsed="false">
      <c r="B46" s="26" t="s">
        <v>172</v>
      </c>
      <c r="C46" s="34" t="n">
        <v>12570</v>
      </c>
    </row>
    <row r="47" customFormat="false" ht="15" hidden="false" customHeight="true" outlineLevel="0" collapsed="false">
      <c r="B47" s="26" t="s">
        <v>173</v>
      </c>
      <c r="C47" s="34" t="n">
        <v>50270</v>
      </c>
    </row>
    <row r="48" customFormat="false" ht="15" hidden="false" customHeight="true" outlineLevel="0" collapsed="false">
      <c r="B48" s="26" t="s">
        <v>174</v>
      </c>
      <c r="C48" s="31" t="n">
        <v>0.08</v>
      </c>
    </row>
    <row r="49" customFormat="false" ht="15" hidden="false" customHeight="true" outlineLevel="0" collapsed="false">
      <c r="B49" s="26" t="s">
        <v>175</v>
      </c>
      <c r="C49" s="31" t="n">
        <v>0.02</v>
      </c>
    </row>
    <row r="51" customFormat="false" ht="15" hidden="false" customHeight="true" outlineLevel="0" collapsed="false">
      <c r="A51" s="23" t="s">
        <v>176</v>
      </c>
      <c r="B51" s="23"/>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row>
    <row r="52" customFormat="false" ht="15" hidden="false" customHeight="true" outlineLevel="0" collapsed="false">
      <c r="B52" s="26" t="s">
        <v>177</v>
      </c>
      <c r="C52" s="34" t="n">
        <v>1950</v>
      </c>
      <c r="E52" s="28" t="s">
        <v>141</v>
      </c>
    </row>
    <row r="53" customFormat="false" ht="15" hidden="false" customHeight="true" outlineLevel="0" collapsed="false">
      <c r="B53" s="26" t="s">
        <v>178</v>
      </c>
      <c r="C53" s="37" t="n">
        <v>2055</v>
      </c>
      <c r="E53" s="28" t="s">
        <v>179</v>
      </c>
    </row>
    <row r="54" customFormat="false" ht="15" hidden="false" customHeight="true" outlineLevel="0" collapsed="false">
      <c r="B54" s="26" t="s">
        <v>180</v>
      </c>
      <c r="C54" s="34" t="n">
        <v>2000</v>
      </c>
      <c r="E54" s="28" t="s">
        <v>181</v>
      </c>
    </row>
    <row r="55" customFormat="false" ht="15" hidden="false" customHeight="true" outlineLevel="0" collapsed="false">
      <c r="B55" s="26" t="s">
        <v>182</v>
      </c>
      <c r="C55" s="34" t="n">
        <v>1500</v>
      </c>
      <c r="E55" s="28" t="s">
        <v>141</v>
      </c>
    </row>
    <row r="56" customFormat="false" ht="15" hidden="false" customHeight="true" outlineLevel="0" collapsed="false">
      <c r="B56" s="26" t="s">
        <v>183</v>
      </c>
      <c r="C56" s="37" t="n">
        <v>2033</v>
      </c>
      <c r="E56" s="28" t="s">
        <v>184</v>
      </c>
    </row>
    <row r="57" customFormat="false" ht="15" hidden="false" customHeight="true" outlineLevel="0" collapsed="false">
      <c r="B57" s="26" t="s">
        <v>185</v>
      </c>
      <c r="C57" s="34" t="n">
        <v>2700</v>
      </c>
      <c r="E57" s="28" t="s">
        <v>186</v>
      </c>
    </row>
    <row r="58" customFormat="false" ht="15" hidden="false" customHeight="true" outlineLevel="0" collapsed="false">
      <c r="B58" s="26" t="s">
        <v>187</v>
      </c>
      <c r="C58" s="34" t="n">
        <v>3000</v>
      </c>
      <c r="E58" s="28" t="s">
        <v>188</v>
      </c>
    </row>
    <row r="59" customFormat="false" ht="15" hidden="false" customHeight="true" outlineLevel="0" collapsed="false">
      <c r="B59" s="26" t="s">
        <v>189</v>
      </c>
      <c r="C59" s="34" t="n">
        <v>1000</v>
      </c>
      <c r="E59" s="28" t="s">
        <v>188</v>
      </c>
    </row>
    <row r="60" customFormat="false" ht="15" hidden="false" customHeight="true" outlineLevel="0" collapsed="false">
      <c r="B60" s="26" t="s">
        <v>190</v>
      </c>
      <c r="C60" s="34" t="n">
        <v>2000</v>
      </c>
      <c r="E60" s="28" t="s">
        <v>188</v>
      </c>
    </row>
    <row r="61" customFormat="false" ht="15" hidden="false" customHeight="true" outlineLevel="0" collapsed="false">
      <c r="B61" s="26" t="s">
        <v>191</v>
      </c>
      <c r="C61" s="34" t="n">
        <v>500</v>
      </c>
      <c r="E61" s="28" t="s">
        <v>192</v>
      </c>
    </row>
    <row r="63" customFormat="false" ht="15" hidden="false" customHeight="true" outlineLevel="0" collapsed="false">
      <c r="A63" s="23" t="s">
        <v>193</v>
      </c>
      <c r="B63" s="23"/>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row>
    <row r="64" customFormat="false" ht="15" hidden="false" customHeight="true" outlineLevel="0" collapsed="false">
      <c r="B64" s="26" t="s">
        <v>194</v>
      </c>
      <c r="C64" s="34" t="n">
        <v>9790</v>
      </c>
      <c r="E64" s="28" t="s">
        <v>195</v>
      </c>
    </row>
    <row r="65" customFormat="false" ht="15" hidden="false" customHeight="true" outlineLevel="0" collapsed="false">
      <c r="B65" s="26" t="s">
        <v>196</v>
      </c>
      <c r="C65" s="34" t="n">
        <v>15660</v>
      </c>
      <c r="E65" s="28" t="s">
        <v>197</v>
      </c>
    </row>
    <row r="66" customFormat="false" ht="15" hidden="false" customHeight="true" outlineLevel="0" collapsed="false">
      <c r="B66" s="26" t="s">
        <v>198</v>
      </c>
      <c r="C66" s="35" t="n">
        <v>3</v>
      </c>
      <c r="E66" s="28" t="s">
        <v>199</v>
      </c>
    </row>
    <row r="68" customFormat="false" ht="15" hidden="false" customHeight="true" outlineLevel="0" collapsed="false">
      <c r="A68" s="23" t="s">
        <v>200</v>
      </c>
      <c r="B68" s="23"/>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row>
    <row r="69" customFormat="false" ht="15" hidden="false" customHeight="true" outlineLevel="0" collapsed="false">
      <c r="C69" s="33" t="s">
        <v>201</v>
      </c>
      <c r="D69" s="33" t="s">
        <v>202</v>
      </c>
      <c r="E69" s="33" t="s">
        <v>203</v>
      </c>
      <c r="F69" s="33" t="s">
        <v>204</v>
      </c>
    </row>
    <row r="70" customFormat="false" ht="15" hidden="false" customHeight="true" outlineLevel="0" collapsed="false">
      <c r="B70" s="26" t="s">
        <v>205</v>
      </c>
      <c r="C70" s="38" t="s">
        <v>206</v>
      </c>
      <c r="D70" s="38" t="s">
        <v>207</v>
      </c>
      <c r="E70" s="38" t="s">
        <v>208</v>
      </c>
      <c r="F70" s="28" t="s">
        <v>209</v>
      </c>
    </row>
    <row r="71" customFormat="false" ht="15" hidden="false" customHeight="true" outlineLevel="0" collapsed="false">
      <c r="B71" s="26" t="s">
        <v>210</v>
      </c>
      <c r="C71" s="37" t="n">
        <v>2025</v>
      </c>
      <c r="D71" s="37" t="n">
        <v>2028</v>
      </c>
      <c r="E71" s="37" t="n">
        <v>2031</v>
      </c>
      <c r="F71" s="28" t="s">
        <v>211</v>
      </c>
    </row>
    <row r="72" customFormat="false" ht="15" hidden="false" customHeight="true" outlineLevel="0" collapsed="false">
      <c r="B72" s="26" t="s">
        <v>212</v>
      </c>
      <c r="C72" s="37" t="n">
        <v>0</v>
      </c>
      <c r="D72" s="37" t="n">
        <v>2026</v>
      </c>
      <c r="E72" s="37" t="n">
        <v>2028</v>
      </c>
      <c r="F72" s="28" t="s">
        <v>213</v>
      </c>
    </row>
    <row r="73" customFormat="false" ht="15" hidden="false" customHeight="true" outlineLevel="0" collapsed="false">
      <c r="B73" s="26" t="s">
        <v>214</v>
      </c>
      <c r="C73" s="39" t="n">
        <v>0</v>
      </c>
      <c r="D73" s="39" t="n">
        <v>12</v>
      </c>
      <c r="E73" s="39" t="n">
        <v>4</v>
      </c>
      <c r="F73" s="28" t="s">
        <v>215</v>
      </c>
    </row>
    <row r="74" customFormat="false" ht="15" hidden="false" customHeight="true" outlineLevel="0" collapsed="false">
      <c r="B74" s="26" t="s">
        <v>216</v>
      </c>
      <c r="C74" s="37" t="n">
        <v>0</v>
      </c>
      <c r="D74" s="37" t="n">
        <v>2028</v>
      </c>
      <c r="E74" s="37" t="n">
        <v>2031</v>
      </c>
      <c r="F74" s="28" t="s">
        <v>217</v>
      </c>
    </row>
    <row r="75" customFormat="false" ht="15" hidden="false" customHeight="true" outlineLevel="0" collapsed="false">
      <c r="B75" s="26" t="s">
        <v>218</v>
      </c>
      <c r="C75" s="39" t="n">
        <v>0</v>
      </c>
      <c r="D75" s="39" t="n">
        <v>8</v>
      </c>
      <c r="E75" s="39" t="n">
        <v>8</v>
      </c>
      <c r="F75" s="28" t="s">
        <v>219</v>
      </c>
    </row>
    <row r="76" customFormat="false" ht="15" hidden="false" customHeight="true" outlineLevel="0" collapsed="false">
      <c r="B76" s="26" t="s">
        <v>220</v>
      </c>
      <c r="C76" s="37" t="n">
        <v>2038</v>
      </c>
      <c r="D76" s="37" t="n">
        <v>2042</v>
      </c>
      <c r="E76" s="37" t="n">
        <v>2045</v>
      </c>
      <c r="F76" s="28" t="s">
        <v>221</v>
      </c>
    </row>
    <row r="77" customFormat="false" ht="15" hidden="false" customHeight="true" outlineLevel="0" collapsed="false">
      <c r="B77" s="26" t="s">
        <v>222</v>
      </c>
      <c r="C77" s="37" t="n">
        <v>2039</v>
      </c>
      <c r="D77" s="37" t="n">
        <v>2042</v>
      </c>
      <c r="E77" s="37" t="n">
        <v>2045</v>
      </c>
      <c r="F77" s="28" t="s">
        <v>223</v>
      </c>
    </row>
    <row r="78" customFormat="false" ht="15" hidden="false" customHeight="true" outlineLevel="0" collapsed="false">
      <c r="B78" s="26" t="s">
        <v>224</v>
      </c>
      <c r="C78" s="37" t="n">
        <v>2041</v>
      </c>
      <c r="D78" s="37" t="n">
        <v>2044</v>
      </c>
      <c r="E78" s="37" t="n">
        <v>2047</v>
      </c>
      <c r="F78" s="28" t="s">
        <v>225</v>
      </c>
    </row>
    <row r="79" customFormat="false" ht="15" hidden="false" customHeight="true" outlineLevel="0" collapsed="false">
      <c r="B79" s="26" t="s">
        <v>226</v>
      </c>
      <c r="C79" s="34" t="n">
        <v>15000</v>
      </c>
      <c r="D79" s="34" t="n">
        <v>0</v>
      </c>
      <c r="E79" s="34" t="n">
        <v>0</v>
      </c>
      <c r="F79" s="28" t="s">
        <v>227</v>
      </c>
    </row>
    <row r="80" customFormat="false" ht="15" hidden="false" customHeight="true" outlineLevel="0" collapsed="false">
      <c r="B80" s="26" t="s">
        <v>228</v>
      </c>
      <c r="C80" s="34" t="n">
        <v>0</v>
      </c>
      <c r="D80" s="34" t="n">
        <v>9000</v>
      </c>
      <c r="E80" s="34" t="n">
        <v>9000</v>
      </c>
      <c r="F80" s="28" t="s">
        <v>229</v>
      </c>
    </row>
    <row r="81" customFormat="false" ht="15" hidden="false" customHeight="true" outlineLevel="0" collapsed="false">
      <c r="B81" s="26" t="s">
        <v>230</v>
      </c>
      <c r="C81" s="37" t="n">
        <v>0</v>
      </c>
      <c r="D81" s="37" t="n">
        <v>2026</v>
      </c>
      <c r="E81" s="37" t="n">
        <v>2028</v>
      </c>
      <c r="F81" s="28" t="s">
        <v>231</v>
      </c>
    </row>
    <row r="82" customFormat="false" ht="15" hidden="false" customHeight="true" outlineLevel="0" collapsed="false">
      <c r="B82" s="26" t="s">
        <v>232</v>
      </c>
      <c r="C82" s="37" t="n">
        <v>0</v>
      </c>
      <c r="D82" s="37" t="n">
        <v>2041</v>
      </c>
      <c r="E82" s="37" t="n">
        <v>2044</v>
      </c>
      <c r="F82" s="28" t="s">
        <v>233</v>
      </c>
    </row>
    <row r="83" customFormat="false" ht="15" hidden="false" customHeight="true" outlineLevel="0" collapsed="false">
      <c r="B83" s="26" t="s">
        <v>234</v>
      </c>
      <c r="C83" s="37" t="n">
        <v>0</v>
      </c>
      <c r="D83" s="37" t="n">
        <v>0</v>
      </c>
      <c r="E83" s="37" t="n">
        <v>2027</v>
      </c>
      <c r="F83" s="28" t="s">
        <v>235</v>
      </c>
    </row>
    <row r="84" customFormat="false" ht="15" hidden="false" customHeight="true" outlineLevel="0" collapsed="false">
      <c r="B84" s="26" t="s">
        <v>236</v>
      </c>
      <c r="C84" s="39" t="n">
        <v>0</v>
      </c>
      <c r="D84" s="39" t="n">
        <v>0</v>
      </c>
      <c r="E84" s="39" t="n">
        <v>6</v>
      </c>
      <c r="F84" s="28" t="s">
        <v>237</v>
      </c>
    </row>
    <row r="86" customFormat="false" ht="15" hidden="false" customHeight="true" outlineLevel="0" collapsed="false">
      <c r="A86" s="23" t="s">
        <v>238</v>
      </c>
      <c r="B86" s="23"/>
      <c r="C86" s="23"/>
      <c r="D86" s="23"/>
      <c r="E86" s="23"/>
      <c r="F86" s="23"/>
      <c r="G86" s="23"/>
      <c r="H86" s="23"/>
      <c r="I86" s="23"/>
      <c r="J86" s="23"/>
      <c r="K86" s="23"/>
      <c r="L86" s="23"/>
      <c r="M86" s="23"/>
      <c r="N86" s="23"/>
      <c r="O86" s="23"/>
      <c r="P86" s="23"/>
      <c r="Q86" s="23"/>
      <c r="R86" s="23"/>
      <c r="S86" s="23"/>
      <c r="T86" s="23"/>
      <c r="U86" s="23"/>
      <c r="V86" s="23"/>
      <c r="W86" s="23"/>
      <c r="X86" s="23"/>
      <c r="Y86" s="23"/>
      <c r="Z86" s="23"/>
      <c r="AA86" s="23"/>
      <c r="AB86" s="23"/>
      <c r="AC86" s="23"/>
      <c r="AD86" s="23"/>
      <c r="AE86" s="23"/>
      <c r="AF86" s="23"/>
    </row>
    <row r="87" customFormat="false" ht="15" hidden="false" customHeight="true" outlineLevel="0" collapsed="false">
      <c r="B87" s="26" t="s">
        <v>239</v>
      </c>
      <c r="C87" s="35" t="n">
        <v>57</v>
      </c>
      <c r="E87" s="28" t="s">
        <v>240</v>
      </c>
    </row>
    <row r="88" customFormat="false" ht="15" hidden="false" customHeight="true" outlineLevel="0" collapsed="false">
      <c r="B88" s="26" t="s">
        <v>241</v>
      </c>
      <c r="C88" s="40" t="n">
        <f aca="false">$C$6+($C$87-$D$21)</f>
        <v>2039</v>
      </c>
      <c r="E88" s="28" t="s">
        <v>242</v>
      </c>
    </row>
    <row r="89" customFormat="false" ht="15" hidden="false" customHeight="true" outlineLevel="0" collapsed="false">
      <c r="B89" s="26" t="s">
        <v>243</v>
      </c>
      <c r="C89" s="40" t="n">
        <f aca="false">$C$6+($C$87-$C$21)</f>
        <v>2048</v>
      </c>
      <c r="E89" s="28" t="s">
        <v>242</v>
      </c>
    </row>
    <row r="90" customFormat="false" ht="15" hidden="false" customHeight="true" outlineLevel="0" collapsed="false">
      <c r="B90" s="26" t="s">
        <v>244</v>
      </c>
      <c r="C90" s="41" t="n">
        <v>1.2</v>
      </c>
      <c r="E90" s="28" t="s">
        <v>245</v>
      </c>
    </row>
    <row r="91" customFormat="false" ht="15" hidden="false" customHeight="true" outlineLevel="0" collapsed="false">
      <c r="B91" s="26" t="s">
        <v>246</v>
      </c>
      <c r="C91" s="42" t="n">
        <v>24</v>
      </c>
      <c r="E91" s="28" t="s">
        <v>247</v>
      </c>
    </row>
    <row r="92" customFormat="false" ht="15" hidden="false" customHeight="true" outlineLevel="0" collapsed="false">
      <c r="B92" s="26" t="s">
        <v>248</v>
      </c>
      <c r="C92" s="43" t="n">
        <v>100000</v>
      </c>
      <c r="E92" s="28" t="s">
        <v>249</v>
      </c>
    </row>
    <row r="93" customFormat="false" ht="15" hidden="false" customHeight="true" outlineLevel="0" collapsed="false">
      <c r="B93" s="26" t="s">
        <v>250</v>
      </c>
      <c r="C93" s="29" t="n">
        <v>0.04</v>
      </c>
      <c r="E93" s="28" t="s">
        <v>251</v>
      </c>
    </row>
    <row r="94" customFormat="false" ht="15" hidden="false" customHeight="true" outlineLevel="0" collapsed="false">
      <c r="B94" s="26" t="s">
        <v>252</v>
      </c>
      <c r="C94" s="29" t="n">
        <v>0.25</v>
      </c>
      <c r="E94" s="28" t="s">
        <v>253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48"/>
    <col collapsed="false" customWidth="true" hidden="false" outlineLevel="0" max="32" min="3" style="20" width="13"/>
  </cols>
  <sheetData>
    <row r="1" customFormat="false" ht="17.25" hidden="false" customHeight="true" outlineLevel="0" collapsed="false">
      <c r="A1" s="21" t="s">
        <v>254</v>
      </c>
    </row>
    <row r="2" customFormat="false" ht="15" hidden="false" customHeight="true" outlineLevel="0" collapsed="false">
      <c r="A2" s="22" t="s">
        <v>255</v>
      </c>
    </row>
    <row r="4" customFormat="false" ht="15" hidden="false" customHeight="true" outlineLevel="0" collapsed="false">
      <c r="A4" s="23" t="s">
        <v>256</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row>
    <row r="5" customFormat="false" ht="15" hidden="false" customHeight="true" outlineLevel="0" collapsed="false">
      <c r="B5" s="24" t="s">
        <v>123</v>
      </c>
      <c r="C5" s="25" t="n">
        <v>2026</v>
      </c>
      <c r="D5" s="25" t="n">
        <v>2027</v>
      </c>
      <c r="E5" s="25" t="n">
        <v>2028</v>
      </c>
      <c r="F5" s="25" t="n">
        <v>2029</v>
      </c>
      <c r="G5" s="25" t="n">
        <v>2030</v>
      </c>
      <c r="H5" s="25" t="n">
        <v>2031</v>
      </c>
      <c r="I5" s="25" t="n">
        <v>2032</v>
      </c>
      <c r="J5" s="25" t="n">
        <v>2033</v>
      </c>
      <c r="K5" s="25" t="n">
        <v>2034</v>
      </c>
      <c r="L5" s="25" t="n">
        <v>2035</v>
      </c>
      <c r="M5" s="25" t="n">
        <v>2036</v>
      </c>
      <c r="N5" s="25" t="n">
        <v>2037</v>
      </c>
      <c r="O5" s="25" t="n">
        <v>2038</v>
      </c>
      <c r="P5" s="25" t="n">
        <v>2039</v>
      </c>
      <c r="Q5" s="25" t="n">
        <v>2040</v>
      </c>
      <c r="R5" s="25" t="n">
        <v>2041</v>
      </c>
      <c r="S5" s="25" t="n">
        <v>2042</v>
      </c>
      <c r="T5" s="25" t="n">
        <v>2043</v>
      </c>
      <c r="U5" s="25" t="n">
        <v>2044</v>
      </c>
      <c r="V5" s="25" t="n">
        <v>2045</v>
      </c>
      <c r="W5" s="25" t="n">
        <v>2046</v>
      </c>
      <c r="X5" s="25" t="n">
        <v>2047</v>
      </c>
      <c r="Y5" s="25" t="n">
        <v>2048</v>
      </c>
      <c r="Z5" s="25" t="n">
        <v>2049</v>
      </c>
      <c r="AA5" s="25" t="n">
        <v>2050</v>
      </c>
      <c r="AB5" s="25" t="n">
        <v>2051</v>
      </c>
      <c r="AC5" s="25" t="n">
        <v>2052</v>
      </c>
      <c r="AD5" s="25" t="n">
        <v>2053</v>
      </c>
      <c r="AE5" s="25" t="n">
        <v>2054</v>
      </c>
      <c r="AF5" s="25" t="n">
        <v>2055</v>
      </c>
    </row>
    <row r="6" customFormat="false" ht="15" hidden="false" customHeight="true" outlineLevel="0" collapsed="false">
      <c r="B6" s="26" t="s">
        <v>257</v>
      </c>
      <c r="C6" s="44" t="n">
        <f aca="false">Assumptions!C$11</f>
        <v>1</v>
      </c>
      <c r="D6" s="44" t="n">
        <f aca="false">Assumptions!D$11</f>
        <v>1</v>
      </c>
      <c r="E6" s="44" t="n">
        <f aca="false">Assumptions!E$11</f>
        <v>1</v>
      </c>
      <c r="F6" s="44" t="n">
        <f aca="false">Assumptions!F$11</f>
        <v>1</v>
      </c>
      <c r="G6" s="44" t="n">
        <f aca="false">Assumptions!G$11</f>
        <v>1</v>
      </c>
      <c r="H6" s="44" t="n">
        <f aca="false">Assumptions!H$11</f>
        <v>1.02</v>
      </c>
      <c r="I6" s="44" t="n">
        <f aca="false">Assumptions!I$11</f>
        <v>1.0404</v>
      </c>
      <c r="J6" s="44" t="n">
        <f aca="false">Assumptions!J$11</f>
        <v>1.061208</v>
      </c>
      <c r="K6" s="44" t="n">
        <f aca="false">Assumptions!K$11</f>
        <v>1.08243216</v>
      </c>
      <c r="L6" s="44" t="n">
        <f aca="false">Assumptions!L$11</f>
        <v>1.1040808032</v>
      </c>
      <c r="M6" s="44" t="n">
        <f aca="false">Assumptions!M$11</f>
        <v>1.126162419264</v>
      </c>
      <c r="N6" s="44" t="n">
        <f aca="false">Assumptions!N$11</f>
        <v>1.14868566764928</v>
      </c>
      <c r="O6" s="44" t="n">
        <f aca="false">Assumptions!O$11</f>
        <v>1.17165938100227</v>
      </c>
      <c r="P6" s="44" t="n">
        <f aca="false">Assumptions!P$11</f>
        <v>1.19509256862231</v>
      </c>
      <c r="Q6" s="44" t="n">
        <f aca="false">Assumptions!Q$11</f>
        <v>1.21899441999476</v>
      </c>
      <c r="R6" s="44" t="n">
        <f aca="false">Assumptions!R$11</f>
        <v>1.24337430839465</v>
      </c>
      <c r="S6" s="44" t="n">
        <f aca="false">Assumptions!S$11</f>
        <v>1.26824179456255</v>
      </c>
      <c r="T6" s="44" t="n">
        <f aca="false">Assumptions!T$11</f>
        <v>1.2936066304538</v>
      </c>
      <c r="U6" s="44" t="n">
        <f aca="false">Assumptions!U$11</f>
        <v>1.31947876306287</v>
      </c>
      <c r="V6" s="44" t="n">
        <f aca="false">Assumptions!V$11</f>
        <v>1.34586833832413</v>
      </c>
      <c r="W6" s="44" t="n">
        <f aca="false">Assumptions!W$11</f>
        <v>1.37278570509061</v>
      </c>
      <c r="X6" s="44" t="n">
        <f aca="false">Assumptions!X$11</f>
        <v>1.40024141919242</v>
      </c>
      <c r="Y6" s="44" t="n">
        <f aca="false">Assumptions!Y$11</f>
        <v>1.42824624757627</v>
      </c>
      <c r="Z6" s="44" t="n">
        <f aca="false">Assumptions!Z$11</f>
        <v>1.4568111725278</v>
      </c>
      <c r="AA6" s="44" t="n">
        <f aca="false">Assumptions!AA$11</f>
        <v>1.48594739597836</v>
      </c>
      <c r="AB6" s="44" t="n">
        <f aca="false">Assumptions!AB$11</f>
        <v>1.51566634389792</v>
      </c>
      <c r="AC6" s="44" t="n">
        <f aca="false">Assumptions!AC$11</f>
        <v>1.54597967077588</v>
      </c>
      <c r="AD6" s="44" t="n">
        <f aca="false">Assumptions!AD$11</f>
        <v>1.5768992641914</v>
      </c>
      <c r="AE6" s="44" t="n">
        <f aca="false">Assumptions!AE$11</f>
        <v>1.60843724947523</v>
      </c>
      <c r="AF6" s="44" t="n">
        <f aca="false">Assumptions!AF$11</f>
        <v>1.64060599446473</v>
      </c>
    </row>
    <row r="7" customFormat="false" ht="15" hidden="false" customHeight="true" outlineLevel="0" collapsed="false">
      <c r="B7" s="26" t="s">
        <v>164</v>
      </c>
      <c r="C7" s="45" t="n">
        <f aca="false">Assumptions!$C$39*C$6</f>
        <v>12570</v>
      </c>
      <c r="D7" s="45" t="n">
        <f aca="false">Assumptions!$C$39*D$6</f>
        <v>12570</v>
      </c>
      <c r="E7" s="45" t="n">
        <f aca="false">Assumptions!$C$39*E$6</f>
        <v>12570</v>
      </c>
      <c r="F7" s="45" t="n">
        <f aca="false">Assumptions!$C$39*F$6</f>
        <v>12570</v>
      </c>
      <c r="G7" s="45" t="n">
        <f aca="false">Assumptions!$C$39*G$6</f>
        <v>12570</v>
      </c>
      <c r="H7" s="45" t="n">
        <f aca="false">Assumptions!$C$39*H$6</f>
        <v>12821.4</v>
      </c>
      <c r="I7" s="45" t="n">
        <f aca="false">Assumptions!$C$39*I$6</f>
        <v>13077.828</v>
      </c>
      <c r="J7" s="45" t="n">
        <f aca="false">Assumptions!$C$39*J$6</f>
        <v>13339.38456</v>
      </c>
      <c r="K7" s="45" t="n">
        <f aca="false">Assumptions!$C$39*K$6</f>
        <v>13606.1722512</v>
      </c>
      <c r="L7" s="45" t="n">
        <f aca="false">Assumptions!$C$39*L$6</f>
        <v>13878.295696224</v>
      </c>
      <c r="M7" s="45" t="n">
        <f aca="false">Assumptions!$C$39*M$6</f>
        <v>14155.8616101485</v>
      </c>
      <c r="N7" s="45" t="n">
        <f aca="false">Assumptions!$C$39*N$6</f>
        <v>14438.9788423515</v>
      </c>
      <c r="O7" s="45" t="n">
        <f aca="false">Assumptions!$C$39*O$6</f>
        <v>14727.7584191985</v>
      </c>
      <c r="P7" s="45" t="n">
        <f aca="false">Assumptions!$C$39*P$6</f>
        <v>15022.3135875825</v>
      </c>
      <c r="Q7" s="45" t="n">
        <f aca="false">Assumptions!$C$39*Q$6</f>
        <v>15322.7598593341</v>
      </c>
      <c r="R7" s="45" t="n">
        <f aca="false">Assumptions!$C$39*R$6</f>
        <v>15629.2150565208</v>
      </c>
      <c r="S7" s="45" t="n">
        <f aca="false">Assumptions!$C$39*S$6</f>
        <v>15941.7993576512</v>
      </c>
      <c r="T7" s="45" t="n">
        <f aca="false">Assumptions!$C$39*T$6</f>
        <v>16260.6353448042</v>
      </c>
      <c r="U7" s="45" t="n">
        <f aca="false">Assumptions!$C$39*U$6</f>
        <v>16585.8480517003</v>
      </c>
      <c r="V7" s="45" t="n">
        <f aca="false">Assumptions!$C$39*V$6</f>
        <v>16917.5650127343</v>
      </c>
      <c r="W7" s="45" t="n">
        <f aca="false">Assumptions!$C$39*W$6</f>
        <v>17255.916312989</v>
      </c>
      <c r="X7" s="45" t="n">
        <f aca="false">Assumptions!$C$39*X$6</f>
        <v>17601.0346392488</v>
      </c>
      <c r="Y7" s="45" t="n">
        <f aca="false">Assumptions!$C$39*Y$6</f>
        <v>17953.0553320338</v>
      </c>
      <c r="Z7" s="45" t="n">
        <f aca="false">Assumptions!$C$39*Z$6</f>
        <v>18312.1164386744</v>
      </c>
      <c r="AA7" s="45" t="n">
        <f aca="false">Assumptions!$C$39*AA$6</f>
        <v>18678.3587674479</v>
      </c>
      <c r="AB7" s="45" t="n">
        <f aca="false">Assumptions!$C$39*AB$6</f>
        <v>19051.9259427969</v>
      </c>
      <c r="AC7" s="45" t="n">
        <f aca="false">Assumptions!$C$39*AC$6</f>
        <v>19432.9644616528</v>
      </c>
      <c r="AD7" s="45" t="n">
        <f aca="false">Assumptions!$C$39*AD$6</f>
        <v>19821.6237508859</v>
      </c>
      <c r="AE7" s="45" t="n">
        <f aca="false">Assumptions!$C$39*AE$6</f>
        <v>20218.0562259036</v>
      </c>
      <c r="AF7" s="45" t="n">
        <f aca="false">Assumptions!$C$39*AF$6</f>
        <v>20622.4173504217</v>
      </c>
    </row>
    <row r="8" customFormat="false" ht="15" hidden="false" customHeight="true" outlineLevel="0" collapsed="false">
      <c r="B8" s="26" t="s">
        <v>258</v>
      </c>
      <c r="C8" s="45" t="n">
        <f aca="false">Assumptions!$C$40*C$6</f>
        <v>100000</v>
      </c>
      <c r="D8" s="45" t="n">
        <f aca="false">Assumptions!$C$40*D$6</f>
        <v>100000</v>
      </c>
      <c r="E8" s="45" t="n">
        <f aca="false">Assumptions!$C$40*E$6</f>
        <v>100000</v>
      </c>
      <c r="F8" s="45" t="n">
        <f aca="false">Assumptions!$C$40*F$6</f>
        <v>100000</v>
      </c>
      <c r="G8" s="45" t="n">
        <f aca="false">Assumptions!$C$40*G$6</f>
        <v>100000</v>
      </c>
      <c r="H8" s="45" t="n">
        <f aca="false">Assumptions!$C$40*H$6</f>
        <v>102000</v>
      </c>
      <c r="I8" s="45" t="n">
        <f aca="false">Assumptions!$C$40*I$6</f>
        <v>104040</v>
      </c>
      <c r="J8" s="45" t="n">
        <f aca="false">Assumptions!$C$40*J$6</f>
        <v>106120.8</v>
      </c>
      <c r="K8" s="45" t="n">
        <f aca="false">Assumptions!$C$40*K$6</f>
        <v>108243.216</v>
      </c>
      <c r="L8" s="45" t="n">
        <f aca="false">Assumptions!$C$40*L$6</f>
        <v>110408.08032</v>
      </c>
      <c r="M8" s="45" t="n">
        <f aca="false">Assumptions!$C$40*M$6</f>
        <v>112616.2419264</v>
      </c>
      <c r="N8" s="45" t="n">
        <f aca="false">Assumptions!$C$40*N$6</f>
        <v>114868.566764928</v>
      </c>
      <c r="O8" s="45" t="n">
        <f aca="false">Assumptions!$C$40*O$6</f>
        <v>117165.938100227</v>
      </c>
      <c r="P8" s="45" t="n">
        <f aca="false">Assumptions!$C$40*P$6</f>
        <v>119509.256862231</v>
      </c>
      <c r="Q8" s="45" t="n">
        <f aca="false">Assumptions!$C$40*Q$6</f>
        <v>121899.441999476</v>
      </c>
      <c r="R8" s="45" t="n">
        <f aca="false">Assumptions!$C$40*R$6</f>
        <v>124337.430839465</v>
      </c>
      <c r="S8" s="45" t="n">
        <f aca="false">Assumptions!$C$40*S$6</f>
        <v>126824.179456255</v>
      </c>
      <c r="T8" s="45" t="n">
        <f aca="false">Assumptions!$C$40*T$6</f>
        <v>129360.66304538</v>
      </c>
      <c r="U8" s="45" t="n">
        <f aca="false">Assumptions!$C$40*U$6</f>
        <v>131947.876306287</v>
      </c>
      <c r="V8" s="45" t="n">
        <f aca="false">Assumptions!$C$40*V$6</f>
        <v>134586.833832413</v>
      </c>
      <c r="W8" s="45" t="n">
        <f aca="false">Assumptions!$C$40*W$6</f>
        <v>137278.570509061</v>
      </c>
      <c r="X8" s="45" t="n">
        <f aca="false">Assumptions!$C$40*X$6</f>
        <v>140024.141919242</v>
      </c>
      <c r="Y8" s="45" t="n">
        <f aca="false">Assumptions!$C$40*Y$6</f>
        <v>142824.624757627</v>
      </c>
      <c r="Z8" s="45" t="n">
        <f aca="false">Assumptions!$C$40*Z$6</f>
        <v>145681.11725278</v>
      </c>
      <c r="AA8" s="45" t="n">
        <f aca="false">Assumptions!$C$40*AA$6</f>
        <v>148594.739597836</v>
      </c>
      <c r="AB8" s="45" t="n">
        <f aca="false">Assumptions!$C$40*AB$6</f>
        <v>151566.634389792</v>
      </c>
      <c r="AC8" s="45" t="n">
        <f aca="false">Assumptions!$C$40*AC$6</f>
        <v>154597.967077588</v>
      </c>
      <c r="AD8" s="45" t="n">
        <f aca="false">Assumptions!$C$40*AD$6</f>
        <v>157689.92641914</v>
      </c>
      <c r="AE8" s="45" t="n">
        <f aca="false">Assumptions!$C$40*AE$6</f>
        <v>160843.724947523</v>
      </c>
      <c r="AF8" s="45" t="n">
        <f aca="false">Assumptions!$C$40*AF$6</f>
        <v>164060.599446473</v>
      </c>
    </row>
    <row r="9" customFormat="false" ht="15" hidden="false" customHeight="true" outlineLevel="0" collapsed="false">
      <c r="B9" s="26" t="s">
        <v>167</v>
      </c>
      <c r="C9" s="45" t="n">
        <f aca="false">Assumptions!$C$41*C$6</f>
        <v>37700</v>
      </c>
      <c r="D9" s="45" t="n">
        <f aca="false">Assumptions!$C$41*D$6</f>
        <v>37700</v>
      </c>
      <c r="E9" s="45" t="n">
        <f aca="false">Assumptions!$C$41*E$6</f>
        <v>37700</v>
      </c>
      <c r="F9" s="45" t="n">
        <f aca="false">Assumptions!$C$41*F$6</f>
        <v>37700</v>
      </c>
      <c r="G9" s="45" t="n">
        <f aca="false">Assumptions!$C$41*G$6</f>
        <v>37700</v>
      </c>
      <c r="H9" s="45" t="n">
        <f aca="false">Assumptions!$C$41*H$6</f>
        <v>38454</v>
      </c>
      <c r="I9" s="45" t="n">
        <f aca="false">Assumptions!$C$41*I$6</f>
        <v>39223.08</v>
      </c>
      <c r="J9" s="45" t="n">
        <f aca="false">Assumptions!$C$41*J$6</f>
        <v>40007.5416</v>
      </c>
      <c r="K9" s="45" t="n">
        <f aca="false">Assumptions!$C$41*K$6</f>
        <v>40807.692432</v>
      </c>
      <c r="L9" s="45" t="n">
        <f aca="false">Assumptions!$C$41*L$6</f>
        <v>41623.84628064</v>
      </c>
      <c r="M9" s="45" t="n">
        <f aca="false">Assumptions!$C$41*M$6</f>
        <v>42456.3232062528</v>
      </c>
      <c r="N9" s="45" t="n">
        <f aca="false">Assumptions!$C$41*N$6</f>
        <v>43305.4496703779</v>
      </c>
      <c r="O9" s="45" t="n">
        <f aca="false">Assumptions!$C$41*O$6</f>
        <v>44171.5586637854</v>
      </c>
      <c r="P9" s="45" t="n">
        <f aca="false">Assumptions!$C$41*P$6</f>
        <v>45054.9898370611</v>
      </c>
      <c r="Q9" s="45" t="n">
        <f aca="false">Assumptions!$C$41*Q$6</f>
        <v>45956.0896338024</v>
      </c>
      <c r="R9" s="45" t="n">
        <f aca="false">Assumptions!$C$41*R$6</f>
        <v>46875.2114264784</v>
      </c>
      <c r="S9" s="45" t="n">
        <f aca="false">Assumptions!$C$41*S$6</f>
        <v>47812.715655008</v>
      </c>
      <c r="T9" s="45" t="n">
        <f aca="false">Assumptions!$C$41*T$6</f>
        <v>48768.9699681081</v>
      </c>
      <c r="U9" s="45" t="n">
        <f aca="false">Assumptions!$C$41*U$6</f>
        <v>49744.3493674703</v>
      </c>
      <c r="V9" s="45" t="n">
        <f aca="false">Assumptions!$C$41*V$6</f>
        <v>50739.2363548197</v>
      </c>
      <c r="W9" s="45" t="n">
        <f aca="false">Assumptions!$C$41*W$6</f>
        <v>51754.0210819161</v>
      </c>
      <c r="X9" s="45" t="n">
        <f aca="false">Assumptions!$C$41*X$6</f>
        <v>52789.1015035544</v>
      </c>
      <c r="Y9" s="45" t="n">
        <f aca="false">Assumptions!$C$41*Y$6</f>
        <v>53844.8835336255</v>
      </c>
      <c r="Z9" s="45" t="n">
        <f aca="false">Assumptions!$C$41*Z$6</f>
        <v>54921.781204298</v>
      </c>
      <c r="AA9" s="45" t="n">
        <f aca="false">Assumptions!$C$41*AA$6</f>
        <v>56020.216828384</v>
      </c>
      <c r="AB9" s="45" t="n">
        <f aca="false">Assumptions!$C$41*AB$6</f>
        <v>57140.6211649517</v>
      </c>
      <c r="AC9" s="45" t="n">
        <f aca="false">Assumptions!$C$41*AC$6</f>
        <v>58283.4335882507</v>
      </c>
      <c r="AD9" s="45" t="n">
        <f aca="false">Assumptions!$C$41*AD$6</f>
        <v>59449.1022600157</v>
      </c>
      <c r="AE9" s="45" t="n">
        <f aca="false">Assumptions!$C$41*AE$6</f>
        <v>60638.084305216</v>
      </c>
      <c r="AF9" s="45" t="n">
        <f aca="false">Assumptions!$C$41*AF$6</f>
        <v>61850.8459913204</v>
      </c>
    </row>
    <row r="10" customFormat="false" ht="15" hidden="false" customHeight="true" outlineLevel="0" collapsed="false">
      <c r="B10" s="26" t="s">
        <v>168</v>
      </c>
      <c r="C10" s="45" t="n">
        <f aca="false">Assumptions!$C$42*C$6</f>
        <v>125140</v>
      </c>
      <c r="D10" s="45" t="n">
        <f aca="false">Assumptions!$C$42*D$6</f>
        <v>125140</v>
      </c>
      <c r="E10" s="45" t="n">
        <f aca="false">Assumptions!$C$42*E$6</f>
        <v>125140</v>
      </c>
      <c r="F10" s="45" t="n">
        <f aca="false">Assumptions!$C$42*F$6</f>
        <v>125140</v>
      </c>
      <c r="G10" s="45" t="n">
        <f aca="false">Assumptions!$C$42*G$6</f>
        <v>125140</v>
      </c>
      <c r="H10" s="45" t="n">
        <f aca="false">Assumptions!$C$42*H$6</f>
        <v>127642.8</v>
      </c>
      <c r="I10" s="45" t="n">
        <f aca="false">Assumptions!$C$42*I$6</f>
        <v>130195.656</v>
      </c>
      <c r="J10" s="45" t="n">
        <f aca="false">Assumptions!$C$42*J$6</f>
        <v>132799.56912</v>
      </c>
      <c r="K10" s="45" t="n">
        <f aca="false">Assumptions!$C$42*K$6</f>
        <v>135455.5605024</v>
      </c>
      <c r="L10" s="45" t="n">
        <f aca="false">Assumptions!$C$42*L$6</f>
        <v>138164.671712448</v>
      </c>
      <c r="M10" s="45" t="n">
        <f aca="false">Assumptions!$C$42*M$6</f>
        <v>140927.965146697</v>
      </c>
      <c r="N10" s="45" t="n">
        <f aca="false">Assumptions!$C$42*N$6</f>
        <v>143746.524449631</v>
      </c>
      <c r="O10" s="45" t="n">
        <f aca="false">Assumptions!$C$42*O$6</f>
        <v>146621.454938624</v>
      </c>
      <c r="P10" s="45" t="n">
        <f aca="false">Assumptions!$C$42*P$6</f>
        <v>149553.884037396</v>
      </c>
      <c r="Q10" s="45" t="n">
        <f aca="false">Assumptions!$C$42*Q$6</f>
        <v>152544.961718144</v>
      </c>
      <c r="R10" s="45" t="n">
        <f aca="false">Assumptions!$C$42*R$6</f>
        <v>155595.860952507</v>
      </c>
      <c r="S10" s="45" t="n">
        <f aca="false">Assumptions!$C$42*S$6</f>
        <v>158707.778171557</v>
      </c>
      <c r="T10" s="45" t="n">
        <f aca="false">Assumptions!$C$42*T$6</f>
        <v>161881.933734988</v>
      </c>
      <c r="U10" s="45" t="n">
        <f aca="false">Assumptions!$C$42*U$6</f>
        <v>165119.572409688</v>
      </c>
      <c r="V10" s="45" t="n">
        <f aca="false">Assumptions!$C$42*V$6</f>
        <v>168421.963857882</v>
      </c>
      <c r="W10" s="45" t="n">
        <f aca="false">Assumptions!$C$42*W$6</f>
        <v>171790.403135039</v>
      </c>
      <c r="X10" s="45" t="n">
        <f aca="false">Assumptions!$C$42*X$6</f>
        <v>175226.21119774</v>
      </c>
      <c r="Y10" s="45" t="n">
        <f aca="false">Assumptions!$C$42*Y$6</f>
        <v>178730.735421695</v>
      </c>
      <c r="Z10" s="45" t="n">
        <f aca="false">Assumptions!$C$42*Z$6</f>
        <v>182305.350130129</v>
      </c>
      <c r="AA10" s="45" t="n">
        <f aca="false">Assumptions!$C$42*AA$6</f>
        <v>185951.457132731</v>
      </c>
      <c r="AB10" s="45" t="n">
        <f aca="false">Assumptions!$C$42*AB$6</f>
        <v>189670.486275386</v>
      </c>
      <c r="AC10" s="45" t="n">
        <f aca="false">Assumptions!$C$42*AC$6</f>
        <v>193463.896000894</v>
      </c>
      <c r="AD10" s="45" t="n">
        <f aca="false">Assumptions!$C$42*AD$6</f>
        <v>197333.173920912</v>
      </c>
      <c r="AE10" s="45" t="n">
        <f aca="false">Assumptions!$C$42*AE$6</f>
        <v>201279.83739933</v>
      </c>
      <c r="AF10" s="45" t="n">
        <f aca="false">Assumptions!$C$42*AF$6</f>
        <v>205305.434147316</v>
      </c>
    </row>
    <row r="11" customFormat="false" ht="15" hidden="false" customHeight="true" outlineLevel="0" collapsed="false">
      <c r="B11" s="26" t="s">
        <v>172</v>
      </c>
      <c r="C11" s="45" t="n">
        <f aca="false">Assumptions!$C$46*C$6</f>
        <v>12570</v>
      </c>
      <c r="D11" s="45" t="n">
        <f aca="false">Assumptions!$C$46*D$6</f>
        <v>12570</v>
      </c>
      <c r="E11" s="45" t="n">
        <f aca="false">Assumptions!$C$46*E$6</f>
        <v>12570</v>
      </c>
      <c r="F11" s="45" t="n">
        <f aca="false">Assumptions!$C$46*F$6</f>
        <v>12570</v>
      </c>
      <c r="G11" s="45" t="n">
        <f aca="false">Assumptions!$C$46*G$6</f>
        <v>12570</v>
      </c>
      <c r="H11" s="45" t="n">
        <f aca="false">Assumptions!$C$46*H$6</f>
        <v>12821.4</v>
      </c>
      <c r="I11" s="45" t="n">
        <f aca="false">Assumptions!$C$46*I$6</f>
        <v>13077.828</v>
      </c>
      <c r="J11" s="45" t="n">
        <f aca="false">Assumptions!$C$46*J$6</f>
        <v>13339.38456</v>
      </c>
      <c r="K11" s="45" t="n">
        <f aca="false">Assumptions!$C$46*K$6</f>
        <v>13606.1722512</v>
      </c>
      <c r="L11" s="45" t="n">
        <f aca="false">Assumptions!$C$46*L$6</f>
        <v>13878.295696224</v>
      </c>
      <c r="M11" s="45" t="n">
        <f aca="false">Assumptions!$C$46*M$6</f>
        <v>14155.8616101485</v>
      </c>
      <c r="N11" s="45" t="n">
        <f aca="false">Assumptions!$C$46*N$6</f>
        <v>14438.9788423515</v>
      </c>
      <c r="O11" s="45" t="n">
        <f aca="false">Assumptions!$C$46*O$6</f>
        <v>14727.7584191985</v>
      </c>
      <c r="P11" s="45" t="n">
        <f aca="false">Assumptions!$C$46*P$6</f>
        <v>15022.3135875825</v>
      </c>
      <c r="Q11" s="45" t="n">
        <f aca="false">Assumptions!$C$46*Q$6</f>
        <v>15322.7598593341</v>
      </c>
      <c r="R11" s="45" t="n">
        <f aca="false">Assumptions!$C$46*R$6</f>
        <v>15629.2150565208</v>
      </c>
      <c r="S11" s="45" t="n">
        <f aca="false">Assumptions!$C$46*S$6</f>
        <v>15941.7993576512</v>
      </c>
      <c r="T11" s="45" t="n">
        <f aca="false">Assumptions!$C$46*T$6</f>
        <v>16260.6353448042</v>
      </c>
      <c r="U11" s="45" t="n">
        <f aca="false">Assumptions!$C$46*U$6</f>
        <v>16585.8480517003</v>
      </c>
      <c r="V11" s="45" t="n">
        <f aca="false">Assumptions!$C$46*V$6</f>
        <v>16917.5650127343</v>
      </c>
      <c r="W11" s="45" t="n">
        <f aca="false">Assumptions!$C$46*W$6</f>
        <v>17255.916312989</v>
      </c>
      <c r="X11" s="45" t="n">
        <f aca="false">Assumptions!$C$46*X$6</f>
        <v>17601.0346392488</v>
      </c>
      <c r="Y11" s="45" t="n">
        <f aca="false">Assumptions!$C$46*Y$6</f>
        <v>17953.0553320338</v>
      </c>
      <c r="Z11" s="45" t="n">
        <f aca="false">Assumptions!$C$46*Z$6</f>
        <v>18312.1164386744</v>
      </c>
      <c r="AA11" s="45" t="n">
        <f aca="false">Assumptions!$C$46*AA$6</f>
        <v>18678.3587674479</v>
      </c>
      <c r="AB11" s="45" t="n">
        <f aca="false">Assumptions!$C$46*AB$6</f>
        <v>19051.9259427969</v>
      </c>
      <c r="AC11" s="45" t="n">
        <f aca="false">Assumptions!$C$46*AC$6</f>
        <v>19432.9644616528</v>
      </c>
      <c r="AD11" s="45" t="n">
        <f aca="false">Assumptions!$C$46*AD$6</f>
        <v>19821.6237508859</v>
      </c>
      <c r="AE11" s="45" t="n">
        <f aca="false">Assumptions!$C$46*AE$6</f>
        <v>20218.0562259036</v>
      </c>
      <c r="AF11" s="45" t="n">
        <f aca="false">Assumptions!$C$46*AF$6</f>
        <v>20622.4173504217</v>
      </c>
    </row>
    <row r="12" customFormat="false" ht="15" hidden="false" customHeight="true" outlineLevel="0" collapsed="false">
      <c r="B12" s="26" t="s">
        <v>173</v>
      </c>
      <c r="C12" s="45" t="n">
        <f aca="false">Assumptions!$C$47*C$6</f>
        <v>50270</v>
      </c>
      <c r="D12" s="45" t="n">
        <f aca="false">Assumptions!$C$47*D$6</f>
        <v>50270</v>
      </c>
      <c r="E12" s="45" t="n">
        <f aca="false">Assumptions!$C$47*E$6</f>
        <v>50270</v>
      </c>
      <c r="F12" s="45" t="n">
        <f aca="false">Assumptions!$C$47*F$6</f>
        <v>50270</v>
      </c>
      <c r="G12" s="45" t="n">
        <f aca="false">Assumptions!$C$47*G$6</f>
        <v>50270</v>
      </c>
      <c r="H12" s="45" t="n">
        <f aca="false">Assumptions!$C$47*H$6</f>
        <v>51275.4</v>
      </c>
      <c r="I12" s="45" t="n">
        <f aca="false">Assumptions!$C$47*I$6</f>
        <v>52300.908</v>
      </c>
      <c r="J12" s="45" t="n">
        <f aca="false">Assumptions!$C$47*J$6</f>
        <v>53346.92616</v>
      </c>
      <c r="K12" s="45" t="n">
        <f aca="false">Assumptions!$C$47*K$6</f>
        <v>54413.8646832</v>
      </c>
      <c r="L12" s="45" t="n">
        <f aca="false">Assumptions!$C$47*L$6</f>
        <v>55502.141976864</v>
      </c>
      <c r="M12" s="45" t="n">
        <f aca="false">Assumptions!$C$47*M$6</f>
        <v>56612.1848164013</v>
      </c>
      <c r="N12" s="45" t="n">
        <f aca="false">Assumptions!$C$47*N$6</f>
        <v>57744.4285127293</v>
      </c>
      <c r="O12" s="45" t="n">
        <f aca="false">Assumptions!$C$47*O$6</f>
        <v>58899.3170829839</v>
      </c>
      <c r="P12" s="45" t="n">
        <f aca="false">Assumptions!$C$47*P$6</f>
        <v>60077.3034246436</v>
      </c>
      <c r="Q12" s="45" t="n">
        <f aca="false">Assumptions!$C$47*Q$6</f>
        <v>61278.8494931365</v>
      </c>
      <c r="R12" s="45" t="n">
        <f aca="false">Assumptions!$C$47*R$6</f>
        <v>62504.4264829992</v>
      </c>
      <c r="S12" s="45" t="n">
        <f aca="false">Assumptions!$C$47*S$6</f>
        <v>63754.5150126592</v>
      </c>
      <c r="T12" s="45" t="n">
        <f aca="false">Assumptions!$C$47*T$6</f>
        <v>65029.6053129123</v>
      </c>
      <c r="U12" s="45" t="n">
        <f aca="false">Assumptions!$C$47*U$6</f>
        <v>66330.1974191706</v>
      </c>
      <c r="V12" s="45" t="n">
        <f aca="false">Assumptions!$C$47*V$6</f>
        <v>67656.801367554</v>
      </c>
      <c r="W12" s="45" t="n">
        <f aca="false">Assumptions!$C$47*W$6</f>
        <v>69009.9373949051</v>
      </c>
      <c r="X12" s="45" t="n">
        <f aca="false">Assumptions!$C$47*X$6</f>
        <v>70390.1361428032</v>
      </c>
      <c r="Y12" s="45" t="n">
        <f aca="false">Assumptions!$C$47*Y$6</f>
        <v>71797.9388656593</v>
      </c>
      <c r="Z12" s="45" t="n">
        <f aca="false">Assumptions!$C$47*Z$6</f>
        <v>73233.8976429724</v>
      </c>
      <c r="AA12" s="45" t="n">
        <f aca="false">Assumptions!$C$47*AA$6</f>
        <v>74698.5755958319</v>
      </c>
      <c r="AB12" s="45" t="n">
        <f aca="false">Assumptions!$C$47*AB$6</f>
        <v>76192.5471077485</v>
      </c>
      <c r="AC12" s="45" t="n">
        <f aca="false">Assumptions!$C$47*AC$6</f>
        <v>77716.3980499035</v>
      </c>
      <c r="AD12" s="45" t="n">
        <f aca="false">Assumptions!$C$47*AD$6</f>
        <v>79270.7260109016</v>
      </c>
      <c r="AE12" s="45" t="n">
        <f aca="false">Assumptions!$C$47*AE$6</f>
        <v>80856.1405311196</v>
      </c>
      <c r="AF12" s="45" t="n">
        <f aca="false">Assumptions!$C$47*AF$6</f>
        <v>82473.263341742</v>
      </c>
    </row>
    <row r="13" customFormat="false" ht="15" hidden="false" customHeight="true" outlineLevel="0" collapsed="false">
      <c r="B13" s="26" t="s">
        <v>153</v>
      </c>
      <c r="C13" s="45" t="n">
        <f aca="false">Assumptions!$C$32*C$6</f>
        <v>60000</v>
      </c>
      <c r="D13" s="45" t="n">
        <f aca="false">Assumptions!$C$32*D$6</f>
        <v>60000</v>
      </c>
      <c r="E13" s="45" t="n">
        <f aca="false">Assumptions!$C$32*E$6</f>
        <v>60000</v>
      </c>
      <c r="F13" s="45" t="n">
        <f aca="false">Assumptions!$C$32*F$6</f>
        <v>60000</v>
      </c>
      <c r="G13" s="45" t="n">
        <f aca="false">Assumptions!$C$32*G$6</f>
        <v>60000</v>
      </c>
      <c r="H13" s="45" t="n">
        <f aca="false">Assumptions!$C$32*H$6</f>
        <v>61200</v>
      </c>
      <c r="I13" s="45" t="n">
        <f aca="false">Assumptions!$C$32*I$6</f>
        <v>62424</v>
      </c>
      <c r="J13" s="45" t="n">
        <f aca="false">Assumptions!$C$32*J$6</f>
        <v>63672.48</v>
      </c>
      <c r="K13" s="45" t="n">
        <f aca="false">Assumptions!$C$32*K$6</f>
        <v>64945.9296</v>
      </c>
      <c r="L13" s="45" t="n">
        <f aca="false">Assumptions!$C$32*L$6</f>
        <v>66244.848192</v>
      </c>
      <c r="M13" s="45" t="n">
        <f aca="false">Assumptions!$C$32*M$6</f>
        <v>67569.74515584</v>
      </c>
      <c r="N13" s="45" t="n">
        <f aca="false">Assumptions!$C$32*N$6</f>
        <v>68921.1400589568</v>
      </c>
      <c r="O13" s="45" t="n">
        <f aca="false">Assumptions!$C$32*O$6</f>
        <v>70299.562860136</v>
      </c>
      <c r="P13" s="45" t="n">
        <f aca="false">Assumptions!$C$32*P$6</f>
        <v>71705.5541173387</v>
      </c>
      <c r="Q13" s="45" t="n">
        <f aca="false">Assumptions!$C$32*Q$6</f>
        <v>73139.6651996854</v>
      </c>
      <c r="R13" s="45" t="n">
        <f aca="false">Assumptions!$C$32*R$6</f>
        <v>74602.4585036792</v>
      </c>
      <c r="S13" s="45" t="n">
        <f aca="false">Assumptions!$C$32*S$6</f>
        <v>76094.5076737527</v>
      </c>
      <c r="T13" s="45" t="n">
        <f aca="false">Assumptions!$C$32*T$6</f>
        <v>77616.3978272278</v>
      </c>
      <c r="U13" s="45" t="n">
        <f aca="false">Assumptions!$C$32*U$6</f>
        <v>79168.7257837723</v>
      </c>
      <c r="V13" s="45" t="n">
        <f aca="false">Assumptions!$C$32*V$6</f>
        <v>80752.1002994478</v>
      </c>
      <c r="W13" s="45" t="n">
        <f aca="false">Assumptions!$C$32*W$6</f>
        <v>82367.1423054368</v>
      </c>
      <c r="X13" s="45" t="n">
        <f aca="false">Assumptions!$C$32*X$6</f>
        <v>84014.4851515455</v>
      </c>
      <c r="Y13" s="45" t="n">
        <f aca="false">Assumptions!$C$32*Y$6</f>
        <v>85694.7748545764</v>
      </c>
      <c r="Z13" s="45" t="n">
        <f aca="false">Assumptions!$C$32*Z$6</f>
        <v>87408.6703516679</v>
      </c>
      <c r="AA13" s="45" t="n">
        <f aca="false">Assumptions!$C$32*AA$6</f>
        <v>89156.8437587013</v>
      </c>
      <c r="AB13" s="45" t="n">
        <f aca="false">Assumptions!$C$32*AB$6</f>
        <v>90939.9806338753</v>
      </c>
      <c r="AC13" s="45" t="n">
        <f aca="false">Assumptions!$C$32*AC$6</f>
        <v>92758.7802465528</v>
      </c>
      <c r="AD13" s="45" t="n">
        <f aca="false">Assumptions!$C$32*AD$6</f>
        <v>94613.9558514839</v>
      </c>
      <c r="AE13" s="45" t="n">
        <f aca="false">Assumptions!$C$32*AE$6</f>
        <v>96506.2349685136</v>
      </c>
      <c r="AF13" s="45" t="n">
        <f aca="false">Assumptions!$C$32*AF$6</f>
        <v>98436.3596678838</v>
      </c>
    </row>
    <row r="14" customFormat="false" ht="15" hidden="false" customHeight="true" outlineLevel="0" collapsed="false">
      <c r="B14" s="26" t="s">
        <v>159</v>
      </c>
      <c r="C14" s="45" t="n">
        <f aca="false">Assumptions!$C$35*C$6</f>
        <v>260000</v>
      </c>
      <c r="D14" s="45" t="n">
        <f aca="false">Assumptions!$C$35*D$6</f>
        <v>260000</v>
      </c>
      <c r="E14" s="45" t="n">
        <f aca="false">Assumptions!$C$35*E$6</f>
        <v>260000</v>
      </c>
      <c r="F14" s="45" t="n">
        <f aca="false">Assumptions!$C$35*F$6</f>
        <v>260000</v>
      </c>
      <c r="G14" s="45" t="n">
        <f aca="false">Assumptions!$C$35*G$6</f>
        <v>260000</v>
      </c>
      <c r="H14" s="45" t="n">
        <f aca="false">Assumptions!$C$35*H$6</f>
        <v>265200</v>
      </c>
      <c r="I14" s="45" t="n">
        <f aca="false">Assumptions!$C$35*I$6</f>
        <v>270504</v>
      </c>
      <c r="J14" s="45" t="n">
        <f aca="false">Assumptions!$C$35*J$6</f>
        <v>275914.08</v>
      </c>
      <c r="K14" s="45" t="n">
        <f aca="false">Assumptions!$C$35*K$6</f>
        <v>281432.3616</v>
      </c>
      <c r="L14" s="45" t="n">
        <f aca="false">Assumptions!$C$35*L$6</f>
        <v>287061.008832</v>
      </c>
      <c r="M14" s="45" t="n">
        <f aca="false">Assumptions!$C$35*M$6</f>
        <v>292802.22900864</v>
      </c>
      <c r="N14" s="45" t="n">
        <f aca="false">Assumptions!$C$35*N$6</f>
        <v>298658.273588813</v>
      </c>
      <c r="O14" s="45" t="n">
        <f aca="false">Assumptions!$C$35*O$6</f>
        <v>304631.439060589</v>
      </c>
      <c r="P14" s="45" t="n">
        <f aca="false">Assumptions!$C$35*P$6</f>
        <v>310724.067841801</v>
      </c>
      <c r="Q14" s="45" t="n">
        <f aca="false">Assumptions!$C$35*Q$6</f>
        <v>316938.549198637</v>
      </c>
      <c r="R14" s="45" t="n">
        <f aca="false">Assumptions!$C$35*R$6</f>
        <v>323277.32018261</v>
      </c>
      <c r="S14" s="45" t="n">
        <f aca="false">Assumptions!$C$35*S$6</f>
        <v>329742.866586262</v>
      </c>
      <c r="T14" s="45" t="n">
        <f aca="false">Assumptions!$C$35*T$6</f>
        <v>336337.723917987</v>
      </c>
      <c r="U14" s="45" t="n">
        <f aca="false">Assumptions!$C$35*U$6</f>
        <v>343064.478396347</v>
      </c>
      <c r="V14" s="45" t="n">
        <f aca="false">Assumptions!$C$35*V$6</f>
        <v>349925.767964274</v>
      </c>
      <c r="W14" s="45" t="n">
        <f aca="false">Assumptions!$C$35*W$6</f>
        <v>356924.283323559</v>
      </c>
      <c r="X14" s="45" t="n">
        <f aca="false">Assumptions!$C$35*X$6</f>
        <v>364062.76899003</v>
      </c>
      <c r="Y14" s="45" t="n">
        <f aca="false">Assumptions!$C$35*Y$6</f>
        <v>371344.024369831</v>
      </c>
      <c r="Z14" s="45" t="n">
        <f aca="false">Assumptions!$C$35*Z$6</f>
        <v>378770.904857228</v>
      </c>
      <c r="AA14" s="45" t="n">
        <f aca="false">Assumptions!$C$35*AA$6</f>
        <v>386346.322954372</v>
      </c>
      <c r="AB14" s="45" t="n">
        <f aca="false">Assumptions!$C$35*AB$6</f>
        <v>394073.24941346</v>
      </c>
      <c r="AC14" s="45" t="n">
        <f aca="false">Assumptions!$C$35*AC$6</f>
        <v>401954.714401729</v>
      </c>
      <c r="AD14" s="45" t="n">
        <f aca="false">Assumptions!$C$35*AD$6</f>
        <v>409993.808689764</v>
      </c>
      <c r="AE14" s="45" t="n">
        <f aca="false">Assumptions!$C$35*AE$6</f>
        <v>418193.684863559</v>
      </c>
      <c r="AF14" s="45" t="n">
        <f aca="false">Assumptions!$C$35*AF$6</f>
        <v>426557.55856083</v>
      </c>
    </row>
    <row r="15" customFormat="false" ht="15" hidden="false" customHeight="true" outlineLevel="0" collapsed="false">
      <c r="B15" s="26" t="s">
        <v>161</v>
      </c>
      <c r="C15" s="45" t="n">
        <f aca="false">Assumptions!$C$36*C$6</f>
        <v>10000</v>
      </c>
      <c r="D15" s="45" t="n">
        <f aca="false">Assumptions!$C$36*D$6</f>
        <v>10000</v>
      </c>
      <c r="E15" s="45" t="n">
        <f aca="false">Assumptions!$C$36*E$6</f>
        <v>10000</v>
      </c>
      <c r="F15" s="45" t="n">
        <f aca="false">Assumptions!$C$36*F$6</f>
        <v>10000</v>
      </c>
      <c r="G15" s="45" t="n">
        <f aca="false">Assumptions!$C$36*G$6</f>
        <v>10000</v>
      </c>
      <c r="H15" s="45" t="n">
        <f aca="false">Assumptions!$C$36*H$6</f>
        <v>10200</v>
      </c>
      <c r="I15" s="45" t="n">
        <f aca="false">Assumptions!$C$36*I$6</f>
        <v>10404</v>
      </c>
      <c r="J15" s="45" t="n">
        <f aca="false">Assumptions!$C$36*J$6</f>
        <v>10612.08</v>
      </c>
      <c r="K15" s="45" t="n">
        <f aca="false">Assumptions!$C$36*K$6</f>
        <v>10824.3216</v>
      </c>
      <c r="L15" s="45" t="n">
        <f aca="false">Assumptions!$C$36*L$6</f>
        <v>11040.808032</v>
      </c>
      <c r="M15" s="45" t="n">
        <f aca="false">Assumptions!$C$36*M$6</f>
        <v>11261.62419264</v>
      </c>
      <c r="N15" s="45" t="n">
        <f aca="false">Assumptions!$C$36*N$6</f>
        <v>11486.8566764928</v>
      </c>
      <c r="O15" s="45" t="n">
        <f aca="false">Assumptions!$C$36*O$6</f>
        <v>11716.5938100227</v>
      </c>
      <c r="P15" s="45" t="n">
        <f aca="false">Assumptions!$C$36*P$6</f>
        <v>11950.9256862231</v>
      </c>
      <c r="Q15" s="45" t="n">
        <f aca="false">Assumptions!$C$36*Q$6</f>
        <v>12189.9441999476</v>
      </c>
      <c r="R15" s="45" t="n">
        <f aca="false">Assumptions!$C$36*R$6</f>
        <v>12433.7430839465</v>
      </c>
      <c r="S15" s="45" t="n">
        <f aca="false">Assumptions!$C$36*S$6</f>
        <v>12682.4179456255</v>
      </c>
      <c r="T15" s="45" t="n">
        <f aca="false">Assumptions!$C$36*T$6</f>
        <v>12936.066304538</v>
      </c>
      <c r="U15" s="45" t="n">
        <f aca="false">Assumptions!$C$36*U$6</f>
        <v>13194.7876306287</v>
      </c>
      <c r="V15" s="45" t="n">
        <f aca="false">Assumptions!$C$36*V$6</f>
        <v>13458.6833832413</v>
      </c>
      <c r="W15" s="45" t="n">
        <f aca="false">Assumptions!$C$36*W$6</f>
        <v>13727.8570509061</v>
      </c>
      <c r="X15" s="45" t="n">
        <f aca="false">Assumptions!$C$36*X$6</f>
        <v>14002.4141919242</v>
      </c>
      <c r="Y15" s="45" t="n">
        <f aca="false">Assumptions!$C$36*Y$6</f>
        <v>14282.4624757627</v>
      </c>
      <c r="Z15" s="45" t="n">
        <f aca="false">Assumptions!$C$36*Z$6</f>
        <v>14568.111725278</v>
      </c>
      <c r="AA15" s="45" t="n">
        <f aca="false">Assumptions!$C$36*AA$6</f>
        <v>14859.4739597835</v>
      </c>
      <c r="AB15" s="45" t="n">
        <f aca="false">Assumptions!$C$36*AB$6</f>
        <v>15156.6634389792</v>
      </c>
      <c r="AC15" s="45" t="n">
        <f aca="false">Assumptions!$C$36*AC$6</f>
        <v>15459.7967077588</v>
      </c>
      <c r="AD15" s="45" t="n">
        <f aca="false">Assumptions!$C$36*AD$6</f>
        <v>15768.992641914</v>
      </c>
      <c r="AE15" s="45" t="n">
        <f aca="false">Assumptions!$C$36*AE$6</f>
        <v>16084.3724947523</v>
      </c>
      <c r="AF15" s="45" t="n">
        <f aca="false">Assumptions!$C$36*AF$6</f>
        <v>16406.0599446473</v>
      </c>
    </row>
    <row r="16" customFormat="false" ht="15" hidden="false" customHeight="true" outlineLevel="0" collapsed="false">
      <c r="B16" s="26" t="s">
        <v>155</v>
      </c>
      <c r="C16" s="45" t="n">
        <f aca="false">Assumptions!$C$33*C$6</f>
        <v>20000</v>
      </c>
      <c r="D16" s="45" t="n">
        <f aca="false">Assumptions!$C$33*D$6</f>
        <v>20000</v>
      </c>
      <c r="E16" s="45" t="n">
        <f aca="false">Assumptions!$C$33*E$6</f>
        <v>20000</v>
      </c>
      <c r="F16" s="45" t="n">
        <f aca="false">Assumptions!$C$33*F$6</f>
        <v>20000</v>
      </c>
      <c r="G16" s="45" t="n">
        <f aca="false">Assumptions!$C$33*G$6</f>
        <v>20000</v>
      </c>
      <c r="H16" s="45" t="n">
        <f aca="false">Assumptions!$C$33*H$6</f>
        <v>20400</v>
      </c>
      <c r="I16" s="45" t="n">
        <f aca="false">Assumptions!$C$33*I$6</f>
        <v>20808</v>
      </c>
      <c r="J16" s="45" t="n">
        <f aca="false">Assumptions!$C$33*J$6</f>
        <v>21224.16</v>
      </c>
      <c r="K16" s="45" t="n">
        <f aca="false">Assumptions!$C$33*K$6</f>
        <v>21648.6432</v>
      </c>
      <c r="L16" s="45" t="n">
        <f aca="false">Assumptions!$C$33*L$6</f>
        <v>22081.616064</v>
      </c>
      <c r="M16" s="45" t="n">
        <f aca="false">Assumptions!$C$33*M$6</f>
        <v>22523.24838528</v>
      </c>
      <c r="N16" s="45" t="n">
        <f aca="false">Assumptions!$C$33*N$6</f>
        <v>22973.7133529856</v>
      </c>
      <c r="O16" s="45" t="n">
        <f aca="false">Assumptions!$C$33*O$6</f>
        <v>23433.1876200453</v>
      </c>
      <c r="P16" s="45" t="n">
        <f aca="false">Assumptions!$C$33*P$6</f>
        <v>23901.8513724462</v>
      </c>
      <c r="Q16" s="45" t="n">
        <f aca="false">Assumptions!$C$33*Q$6</f>
        <v>24379.8883998951</v>
      </c>
      <c r="R16" s="45" t="n">
        <f aca="false">Assumptions!$C$33*R$6</f>
        <v>24867.4861678931</v>
      </c>
      <c r="S16" s="45" t="n">
        <f aca="false">Assumptions!$C$33*S$6</f>
        <v>25364.8358912509</v>
      </c>
      <c r="T16" s="45" t="n">
        <f aca="false">Assumptions!$C$33*T$6</f>
        <v>25872.1326090759</v>
      </c>
      <c r="U16" s="45" t="n">
        <f aca="false">Assumptions!$C$33*U$6</f>
        <v>26389.5752612574</v>
      </c>
      <c r="V16" s="45" t="n">
        <f aca="false">Assumptions!$C$33*V$6</f>
        <v>26917.3667664826</v>
      </c>
      <c r="W16" s="45" t="n">
        <f aca="false">Assumptions!$C$33*W$6</f>
        <v>27455.7141018123</v>
      </c>
      <c r="X16" s="45" t="n">
        <f aca="false">Assumptions!$C$33*X$6</f>
        <v>28004.8283838485</v>
      </c>
      <c r="Y16" s="45" t="n">
        <f aca="false">Assumptions!$C$33*Y$6</f>
        <v>28564.9249515255</v>
      </c>
      <c r="Z16" s="45" t="n">
        <f aca="false">Assumptions!$C$33*Z$6</f>
        <v>29136.223450556</v>
      </c>
      <c r="AA16" s="45" t="n">
        <f aca="false">Assumptions!$C$33*AA$6</f>
        <v>29718.9479195671</v>
      </c>
      <c r="AB16" s="45" t="n">
        <f aca="false">Assumptions!$C$33*AB$6</f>
        <v>30313.3268779584</v>
      </c>
      <c r="AC16" s="45" t="n">
        <f aca="false">Assumptions!$C$33*AC$6</f>
        <v>30919.5934155176</v>
      </c>
      <c r="AD16" s="45" t="n">
        <f aca="false">Assumptions!$C$33*AD$6</f>
        <v>31537.985283828</v>
      </c>
      <c r="AE16" s="45" t="n">
        <f aca="false">Assumptions!$C$33*AE$6</f>
        <v>32168.7449895045</v>
      </c>
      <c r="AF16" s="45" t="n">
        <f aca="false">Assumptions!$C$33*AF$6</f>
        <v>32812.1198892946</v>
      </c>
    </row>
    <row r="17" customFormat="false" ht="15" hidden="false" customHeight="true" outlineLevel="0" collapsed="false">
      <c r="B17" s="26" t="s">
        <v>157</v>
      </c>
      <c r="C17" s="45" t="n">
        <f aca="false">Assumptions!$C$34*C$6</f>
        <v>9000</v>
      </c>
      <c r="D17" s="45" t="n">
        <f aca="false">Assumptions!$C$34*D$6</f>
        <v>9000</v>
      </c>
      <c r="E17" s="45" t="n">
        <f aca="false">Assumptions!$C$34*E$6</f>
        <v>9000</v>
      </c>
      <c r="F17" s="45" t="n">
        <f aca="false">Assumptions!$C$34*F$6</f>
        <v>9000</v>
      </c>
      <c r="G17" s="45" t="n">
        <f aca="false">Assumptions!$C$34*G$6</f>
        <v>9000</v>
      </c>
      <c r="H17" s="45" t="n">
        <f aca="false">Assumptions!$C$34*H$6</f>
        <v>9180</v>
      </c>
      <c r="I17" s="45" t="n">
        <f aca="false">Assumptions!$C$34*I$6</f>
        <v>9363.6</v>
      </c>
      <c r="J17" s="45" t="n">
        <f aca="false">Assumptions!$C$34*J$6</f>
        <v>9550.872</v>
      </c>
      <c r="K17" s="45" t="n">
        <f aca="false">Assumptions!$C$34*K$6</f>
        <v>9741.88944</v>
      </c>
      <c r="L17" s="45" t="n">
        <f aca="false">Assumptions!$C$34*L$6</f>
        <v>9936.7272288</v>
      </c>
      <c r="M17" s="45" t="n">
        <f aca="false">Assumptions!$C$34*M$6</f>
        <v>10135.461773376</v>
      </c>
      <c r="N17" s="45" t="n">
        <f aca="false">Assumptions!$C$34*N$6</f>
        <v>10338.1710088435</v>
      </c>
      <c r="O17" s="45" t="n">
        <f aca="false">Assumptions!$C$34*O$6</f>
        <v>10544.9344290204</v>
      </c>
      <c r="P17" s="45" t="n">
        <f aca="false">Assumptions!$C$34*P$6</f>
        <v>10755.8331176008</v>
      </c>
      <c r="Q17" s="45" t="n">
        <f aca="false">Assumptions!$C$34*Q$6</f>
        <v>10970.9497799528</v>
      </c>
      <c r="R17" s="45" t="n">
        <f aca="false">Assumptions!$C$34*R$6</f>
        <v>11190.3687755519</v>
      </c>
      <c r="S17" s="45" t="n">
        <f aca="false">Assumptions!$C$34*S$6</f>
        <v>11414.1761510629</v>
      </c>
      <c r="T17" s="45" t="n">
        <f aca="false">Assumptions!$C$34*T$6</f>
        <v>11642.4596740842</v>
      </c>
      <c r="U17" s="45" t="n">
        <f aca="false">Assumptions!$C$34*U$6</f>
        <v>11875.3088675659</v>
      </c>
      <c r="V17" s="45" t="n">
        <f aca="false">Assumptions!$C$34*V$6</f>
        <v>12112.8150449172</v>
      </c>
      <c r="W17" s="45" t="n">
        <f aca="false">Assumptions!$C$34*W$6</f>
        <v>12355.0713458155</v>
      </c>
      <c r="X17" s="45" t="n">
        <f aca="false">Assumptions!$C$34*X$6</f>
        <v>12602.1727727318</v>
      </c>
      <c r="Y17" s="45" t="n">
        <f aca="false">Assumptions!$C$34*Y$6</f>
        <v>12854.2162281865</v>
      </c>
      <c r="Z17" s="45" t="n">
        <f aca="false">Assumptions!$C$34*Z$6</f>
        <v>13111.3005527502</v>
      </c>
      <c r="AA17" s="45" t="n">
        <f aca="false">Assumptions!$C$34*AA$6</f>
        <v>13373.5265638052</v>
      </c>
      <c r="AB17" s="45" t="n">
        <f aca="false">Assumptions!$C$34*AB$6</f>
        <v>13640.9970950813</v>
      </c>
      <c r="AC17" s="45" t="n">
        <f aca="false">Assumptions!$C$34*AC$6</f>
        <v>13913.8170369829</v>
      </c>
      <c r="AD17" s="45" t="n">
        <f aca="false">Assumptions!$C$34*AD$6</f>
        <v>14192.0933777226</v>
      </c>
      <c r="AE17" s="45" t="n">
        <f aca="false">Assumptions!$C$34*AE$6</f>
        <v>14475.935245277</v>
      </c>
      <c r="AF17" s="45" t="n">
        <f aca="false">Assumptions!$C$34*AF$6</f>
        <v>14765.4539501826</v>
      </c>
    </row>
    <row r="18" customFormat="false" ht="15" hidden="false" customHeight="true" outlineLevel="0" collapsed="false">
      <c r="B18" s="26" t="s">
        <v>259</v>
      </c>
      <c r="C18" s="46" t="n">
        <f aca="false">Assumptions!$C$43</f>
        <v>0.2</v>
      </c>
      <c r="D18" s="46" t="n">
        <f aca="false">Assumptions!$C$43</f>
        <v>0.2</v>
      </c>
      <c r="E18" s="46" t="n">
        <f aca="false">Assumptions!$C$43</f>
        <v>0.2</v>
      </c>
      <c r="F18" s="46" t="n">
        <f aca="false">Assumptions!$C$43</f>
        <v>0.2</v>
      </c>
      <c r="G18" s="46" t="n">
        <f aca="false">Assumptions!$C$43</f>
        <v>0.2</v>
      </c>
      <c r="H18" s="46" t="n">
        <f aca="false">Assumptions!$C$43</f>
        <v>0.2</v>
      </c>
      <c r="I18" s="46" t="n">
        <f aca="false">Assumptions!$C$43</f>
        <v>0.2</v>
      </c>
      <c r="J18" s="46" t="n">
        <f aca="false">Assumptions!$C$43</f>
        <v>0.2</v>
      </c>
      <c r="K18" s="46" t="n">
        <f aca="false">Assumptions!$C$43</f>
        <v>0.2</v>
      </c>
      <c r="L18" s="46" t="n">
        <f aca="false">Assumptions!$C$43</f>
        <v>0.2</v>
      </c>
      <c r="M18" s="46" t="n">
        <f aca="false">Assumptions!$C$43</f>
        <v>0.2</v>
      </c>
      <c r="N18" s="46" t="n">
        <f aca="false">Assumptions!$C$43</f>
        <v>0.2</v>
      </c>
      <c r="O18" s="46" t="n">
        <f aca="false">Assumptions!$C$43</f>
        <v>0.2</v>
      </c>
      <c r="P18" s="46" t="n">
        <f aca="false">Assumptions!$C$43</f>
        <v>0.2</v>
      </c>
      <c r="Q18" s="46" t="n">
        <f aca="false">Assumptions!$C$43</f>
        <v>0.2</v>
      </c>
      <c r="R18" s="46" t="n">
        <f aca="false">Assumptions!$C$43</f>
        <v>0.2</v>
      </c>
      <c r="S18" s="46" t="n">
        <f aca="false">Assumptions!$C$43</f>
        <v>0.2</v>
      </c>
      <c r="T18" s="46" t="n">
        <f aca="false">Assumptions!$C$43</f>
        <v>0.2</v>
      </c>
      <c r="U18" s="46" t="n">
        <f aca="false">Assumptions!$C$43</f>
        <v>0.2</v>
      </c>
      <c r="V18" s="46" t="n">
        <f aca="false">Assumptions!$C$43</f>
        <v>0.2</v>
      </c>
      <c r="W18" s="46" t="n">
        <f aca="false">Assumptions!$C$43</f>
        <v>0.2</v>
      </c>
      <c r="X18" s="46" t="n">
        <f aca="false">Assumptions!$C$43</f>
        <v>0.2</v>
      </c>
      <c r="Y18" s="46" t="n">
        <f aca="false">Assumptions!$C$43</f>
        <v>0.2</v>
      </c>
      <c r="Z18" s="46" t="n">
        <f aca="false">Assumptions!$C$43</f>
        <v>0.2</v>
      </c>
      <c r="AA18" s="46" t="n">
        <f aca="false">Assumptions!$C$43</f>
        <v>0.2</v>
      </c>
      <c r="AB18" s="46" t="n">
        <f aca="false">Assumptions!$C$43</f>
        <v>0.2</v>
      </c>
      <c r="AC18" s="46" t="n">
        <f aca="false">Assumptions!$C$43</f>
        <v>0.2</v>
      </c>
      <c r="AD18" s="46" t="n">
        <f aca="false">Assumptions!$C$43</f>
        <v>0.2</v>
      </c>
      <c r="AE18" s="46" t="n">
        <f aca="false">Assumptions!$C$43</f>
        <v>0.2</v>
      </c>
      <c r="AF18" s="46" t="n">
        <f aca="false">Assumptions!$C$43</f>
        <v>0.2</v>
      </c>
    </row>
    <row r="19" customFormat="false" ht="15" hidden="false" customHeight="true" outlineLevel="0" collapsed="false">
      <c r="B19" s="26" t="s">
        <v>260</v>
      </c>
      <c r="C19" s="46" t="n">
        <f aca="false">Assumptions!$C$44</f>
        <v>0.4</v>
      </c>
      <c r="D19" s="46" t="n">
        <f aca="false">Assumptions!$C$44</f>
        <v>0.4</v>
      </c>
      <c r="E19" s="46" t="n">
        <f aca="false">Assumptions!$C$44</f>
        <v>0.4</v>
      </c>
      <c r="F19" s="46" t="n">
        <f aca="false">Assumptions!$C$44</f>
        <v>0.4</v>
      </c>
      <c r="G19" s="46" t="n">
        <f aca="false">Assumptions!$C$44</f>
        <v>0.4</v>
      </c>
      <c r="H19" s="46" t="n">
        <f aca="false">Assumptions!$C$44</f>
        <v>0.4</v>
      </c>
      <c r="I19" s="46" t="n">
        <f aca="false">Assumptions!$C$44</f>
        <v>0.4</v>
      </c>
      <c r="J19" s="46" t="n">
        <f aca="false">Assumptions!$C$44</f>
        <v>0.4</v>
      </c>
      <c r="K19" s="46" t="n">
        <f aca="false">Assumptions!$C$44</f>
        <v>0.4</v>
      </c>
      <c r="L19" s="46" t="n">
        <f aca="false">Assumptions!$C$44</f>
        <v>0.4</v>
      </c>
      <c r="M19" s="46" t="n">
        <f aca="false">Assumptions!$C$44</f>
        <v>0.4</v>
      </c>
      <c r="N19" s="46" t="n">
        <f aca="false">Assumptions!$C$44</f>
        <v>0.4</v>
      </c>
      <c r="O19" s="46" t="n">
        <f aca="false">Assumptions!$C$44</f>
        <v>0.4</v>
      </c>
      <c r="P19" s="46" t="n">
        <f aca="false">Assumptions!$C$44</f>
        <v>0.4</v>
      </c>
      <c r="Q19" s="46" t="n">
        <f aca="false">Assumptions!$C$44</f>
        <v>0.4</v>
      </c>
      <c r="R19" s="46" t="n">
        <f aca="false">Assumptions!$C$44</f>
        <v>0.4</v>
      </c>
      <c r="S19" s="46" t="n">
        <f aca="false">Assumptions!$C$44</f>
        <v>0.4</v>
      </c>
      <c r="T19" s="46" t="n">
        <f aca="false">Assumptions!$C$44</f>
        <v>0.4</v>
      </c>
      <c r="U19" s="46" t="n">
        <f aca="false">Assumptions!$C$44</f>
        <v>0.4</v>
      </c>
      <c r="V19" s="46" t="n">
        <f aca="false">Assumptions!$C$44</f>
        <v>0.4</v>
      </c>
      <c r="W19" s="46" t="n">
        <f aca="false">Assumptions!$C$44</f>
        <v>0.4</v>
      </c>
      <c r="X19" s="46" t="n">
        <f aca="false">Assumptions!$C$44</f>
        <v>0.4</v>
      </c>
      <c r="Y19" s="46" t="n">
        <f aca="false">Assumptions!$C$44</f>
        <v>0.4</v>
      </c>
      <c r="Z19" s="46" t="n">
        <f aca="false">Assumptions!$C$44</f>
        <v>0.4</v>
      </c>
      <c r="AA19" s="46" t="n">
        <f aca="false">Assumptions!$C$44</f>
        <v>0.4</v>
      </c>
      <c r="AB19" s="46" t="n">
        <f aca="false">Assumptions!$C$44</f>
        <v>0.4</v>
      </c>
      <c r="AC19" s="46" t="n">
        <f aca="false">Assumptions!$C$44</f>
        <v>0.4</v>
      </c>
      <c r="AD19" s="46" t="n">
        <f aca="false">Assumptions!$C$44</f>
        <v>0.4</v>
      </c>
      <c r="AE19" s="46" t="n">
        <f aca="false">Assumptions!$C$44</f>
        <v>0.4</v>
      </c>
      <c r="AF19" s="46" t="n">
        <f aca="false">Assumptions!$C$44</f>
        <v>0.4</v>
      </c>
    </row>
    <row r="20" customFormat="false" ht="15" hidden="false" customHeight="true" outlineLevel="0" collapsed="false">
      <c r="B20" s="26" t="s">
        <v>261</v>
      </c>
      <c r="C20" s="46" t="n">
        <f aca="false">Assumptions!$C$45</f>
        <v>0.45</v>
      </c>
      <c r="D20" s="46" t="n">
        <f aca="false">Assumptions!$C$45</f>
        <v>0.45</v>
      </c>
      <c r="E20" s="46" t="n">
        <f aca="false">Assumptions!$C$45</f>
        <v>0.45</v>
      </c>
      <c r="F20" s="46" t="n">
        <f aca="false">Assumptions!$C$45</f>
        <v>0.45</v>
      </c>
      <c r="G20" s="46" t="n">
        <f aca="false">Assumptions!$C$45</f>
        <v>0.45</v>
      </c>
      <c r="H20" s="46" t="n">
        <f aca="false">Assumptions!$C$45</f>
        <v>0.45</v>
      </c>
      <c r="I20" s="46" t="n">
        <f aca="false">Assumptions!$C$45</f>
        <v>0.45</v>
      </c>
      <c r="J20" s="46" t="n">
        <f aca="false">Assumptions!$C$45</f>
        <v>0.45</v>
      </c>
      <c r="K20" s="46" t="n">
        <f aca="false">Assumptions!$C$45</f>
        <v>0.45</v>
      </c>
      <c r="L20" s="46" t="n">
        <f aca="false">Assumptions!$C$45</f>
        <v>0.45</v>
      </c>
      <c r="M20" s="46" t="n">
        <f aca="false">Assumptions!$C$45</f>
        <v>0.45</v>
      </c>
      <c r="N20" s="46" t="n">
        <f aca="false">Assumptions!$C$45</f>
        <v>0.45</v>
      </c>
      <c r="O20" s="46" t="n">
        <f aca="false">Assumptions!$C$45</f>
        <v>0.45</v>
      </c>
      <c r="P20" s="46" t="n">
        <f aca="false">Assumptions!$C$45</f>
        <v>0.45</v>
      </c>
      <c r="Q20" s="46" t="n">
        <f aca="false">Assumptions!$C$45</f>
        <v>0.45</v>
      </c>
      <c r="R20" s="46" t="n">
        <f aca="false">Assumptions!$C$45</f>
        <v>0.45</v>
      </c>
      <c r="S20" s="46" t="n">
        <f aca="false">Assumptions!$C$45</f>
        <v>0.45</v>
      </c>
      <c r="T20" s="46" t="n">
        <f aca="false">Assumptions!$C$45</f>
        <v>0.45</v>
      </c>
      <c r="U20" s="46" t="n">
        <f aca="false">Assumptions!$C$45</f>
        <v>0.45</v>
      </c>
      <c r="V20" s="46" t="n">
        <f aca="false">Assumptions!$C$45</f>
        <v>0.45</v>
      </c>
      <c r="W20" s="46" t="n">
        <f aca="false">Assumptions!$C$45</f>
        <v>0.45</v>
      </c>
      <c r="X20" s="46" t="n">
        <f aca="false">Assumptions!$C$45</f>
        <v>0.45</v>
      </c>
      <c r="Y20" s="46" t="n">
        <f aca="false">Assumptions!$C$45</f>
        <v>0.45</v>
      </c>
      <c r="Z20" s="46" t="n">
        <f aca="false">Assumptions!$C$45</f>
        <v>0.45</v>
      </c>
      <c r="AA20" s="46" t="n">
        <f aca="false">Assumptions!$C$45</f>
        <v>0.45</v>
      </c>
      <c r="AB20" s="46" t="n">
        <f aca="false">Assumptions!$C$45</f>
        <v>0.45</v>
      </c>
      <c r="AC20" s="46" t="n">
        <f aca="false">Assumptions!$C$45</f>
        <v>0.45</v>
      </c>
      <c r="AD20" s="46" t="n">
        <f aca="false">Assumptions!$C$45</f>
        <v>0.45</v>
      </c>
      <c r="AE20" s="46" t="n">
        <f aca="false">Assumptions!$C$45</f>
        <v>0.45</v>
      </c>
      <c r="AF20" s="46" t="n">
        <f aca="false">Assumptions!$C$45</f>
        <v>0.45</v>
      </c>
    </row>
    <row r="21" customFormat="false" ht="15" hidden="false" customHeight="true" outlineLevel="0" collapsed="false">
      <c r="B21" s="26" t="s">
        <v>174</v>
      </c>
      <c r="C21" s="46" t="n">
        <f aca="false">Assumptions!$C$48</f>
        <v>0.08</v>
      </c>
      <c r="D21" s="46" t="n">
        <f aca="false">Assumptions!$C$48</f>
        <v>0.08</v>
      </c>
      <c r="E21" s="46" t="n">
        <f aca="false">Assumptions!$C$48</f>
        <v>0.08</v>
      </c>
      <c r="F21" s="46" t="n">
        <f aca="false">Assumptions!$C$48</f>
        <v>0.08</v>
      </c>
      <c r="G21" s="46" t="n">
        <f aca="false">Assumptions!$C$48</f>
        <v>0.08</v>
      </c>
      <c r="H21" s="46" t="n">
        <f aca="false">Assumptions!$C$48</f>
        <v>0.08</v>
      </c>
      <c r="I21" s="46" t="n">
        <f aca="false">Assumptions!$C$48</f>
        <v>0.08</v>
      </c>
      <c r="J21" s="46" t="n">
        <f aca="false">Assumptions!$C$48</f>
        <v>0.08</v>
      </c>
      <c r="K21" s="46" t="n">
        <f aca="false">Assumptions!$C$48</f>
        <v>0.08</v>
      </c>
      <c r="L21" s="46" t="n">
        <f aca="false">Assumptions!$C$48</f>
        <v>0.08</v>
      </c>
      <c r="M21" s="46" t="n">
        <f aca="false">Assumptions!$C$48</f>
        <v>0.08</v>
      </c>
      <c r="N21" s="46" t="n">
        <f aca="false">Assumptions!$C$48</f>
        <v>0.08</v>
      </c>
      <c r="O21" s="46" t="n">
        <f aca="false">Assumptions!$C$48</f>
        <v>0.08</v>
      </c>
      <c r="P21" s="46" t="n">
        <f aca="false">Assumptions!$C$48</f>
        <v>0.08</v>
      </c>
      <c r="Q21" s="46" t="n">
        <f aca="false">Assumptions!$C$48</f>
        <v>0.08</v>
      </c>
      <c r="R21" s="46" t="n">
        <f aca="false">Assumptions!$C$48</f>
        <v>0.08</v>
      </c>
      <c r="S21" s="46" t="n">
        <f aca="false">Assumptions!$C$48</f>
        <v>0.08</v>
      </c>
      <c r="T21" s="46" t="n">
        <f aca="false">Assumptions!$C$48</f>
        <v>0.08</v>
      </c>
      <c r="U21" s="46" t="n">
        <f aca="false">Assumptions!$C$48</f>
        <v>0.08</v>
      </c>
      <c r="V21" s="46" t="n">
        <f aca="false">Assumptions!$C$48</f>
        <v>0.08</v>
      </c>
      <c r="W21" s="46" t="n">
        <f aca="false">Assumptions!$C$48</f>
        <v>0.08</v>
      </c>
      <c r="X21" s="46" t="n">
        <f aca="false">Assumptions!$C$48</f>
        <v>0.08</v>
      </c>
      <c r="Y21" s="46" t="n">
        <f aca="false">Assumptions!$C$48</f>
        <v>0.08</v>
      </c>
      <c r="Z21" s="46" t="n">
        <f aca="false">Assumptions!$C$48</f>
        <v>0.08</v>
      </c>
      <c r="AA21" s="46" t="n">
        <f aca="false">Assumptions!$C$48</f>
        <v>0.08</v>
      </c>
      <c r="AB21" s="46" t="n">
        <f aca="false">Assumptions!$C$48</f>
        <v>0.08</v>
      </c>
      <c r="AC21" s="46" t="n">
        <f aca="false">Assumptions!$C$48</f>
        <v>0.08</v>
      </c>
      <c r="AD21" s="46" t="n">
        <f aca="false">Assumptions!$C$48</f>
        <v>0.08</v>
      </c>
      <c r="AE21" s="46" t="n">
        <f aca="false">Assumptions!$C$48</f>
        <v>0.08</v>
      </c>
      <c r="AF21" s="46" t="n">
        <f aca="false">Assumptions!$C$48</f>
        <v>0.08</v>
      </c>
    </row>
    <row r="22" customFormat="false" ht="15" hidden="false" customHeight="true" outlineLevel="0" collapsed="false">
      <c r="B22" s="26" t="s">
        <v>175</v>
      </c>
      <c r="C22" s="46" t="n">
        <f aca="false">Assumptions!$C$49</f>
        <v>0.02</v>
      </c>
      <c r="D22" s="46" t="n">
        <f aca="false">Assumptions!$C$49</f>
        <v>0.02</v>
      </c>
      <c r="E22" s="46" t="n">
        <f aca="false">Assumptions!$C$49</f>
        <v>0.02</v>
      </c>
      <c r="F22" s="46" t="n">
        <f aca="false">Assumptions!$C$49</f>
        <v>0.02</v>
      </c>
      <c r="G22" s="46" t="n">
        <f aca="false">Assumptions!$C$49</f>
        <v>0.02</v>
      </c>
      <c r="H22" s="46" t="n">
        <f aca="false">Assumptions!$C$49</f>
        <v>0.02</v>
      </c>
      <c r="I22" s="46" t="n">
        <f aca="false">Assumptions!$C$49</f>
        <v>0.02</v>
      </c>
      <c r="J22" s="46" t="n">
        <f aca="false">Assumptions!$C$49</f>
        <v>0.02</v>
      </c>
      <c r="K22" s="46" t="n">
        <f aca="false">Assumptions!$C$49</f>
        <v>0.02</v>
      </c>
      <c r="L22" s="46" t="n">
        <f aca="false">Assumptions!$C$49</f>
        <v>0.02</v>
      </c>
      <c r="M22" s="46" t="n">
        <f aca="false">Assumptions!$C$49</f>
        <v>0.02</v>
      </c>
      <c r="N22" s="46" t="n">
        <f aca="false">Assumptions!$C$49</f>
        <v>0.02</v>
      </c>
      <c r="O22" s="46" t="n">
        <f aca="false">Assumptions!$C$49</f>
        <v>0.02</v>
      </c>
      <c r="P22" s="46" t="n">
        <f aca="false">Assumptions!$C$49</f>
        <v>0.02</v>
      </c>
      <c r="Q22" s="46" t="n">
        <f aca="false">Assumptions!$C$49</f>
        <v>0.02</v>
      </c>
      <c r="R22" s="46" t="n">
        <f aca="false">Assumptions!$C$49</f>
        <v>0.02</v>
      </c>
      <c r="S22" s="46" t="n">
        <f aca="false">Assumptions!$C$49</f>
        <v>0.02</v>
      </c>
      <c r="T22" s="46" t="n">
        <f aca="false">Assumptions!$C$49</f>
        <v>0.02</v>
      </c>
      <c r="U22" s="46" t="n">
        <f aca="false">Assumptions!$C$49</f>
        <v>0.02</v>
      </c>
      <c r="V22" s="46" t="n">
        <f aca="false">Assumptions!$C$49</f>
        <v>0.02</v>
      </c>
      <c r="W22" s="46" t="n">
        <f aca="false">Assumptions!$C$49</f>
        <v>0.02</v>
      </c>
      <c r="X22" s="46" t="n">
        <f aca="false">Assumptions!$C$49</f>
        <v>0.02</v>
      </c>
      <c r="Y22" s="46" t="n">
        <f aca="false">Assumptions!$C$49</f>
        <v>0.02</v>
      </c>
      <c r="Z22" s="46" t="n">
        <f aca="false">Assumptions!$C$49</f>
        <v>0.02</v>
      </c>
      <c r="AA22" s="46" t="n">
        <f aca="false">Assumptions!$C$49</f>
        <v>0.02</v>
      </c>
      <c r="AB22" s="46" t="n">
        <f aca="false">Assumptions!$C$49</f>
        <v>0.02</v>
      </c>
      <c r="AC22" s="46" t="n">
        <f aca="false">Assumptions!$C$49</f>
        <v>0.02</v>
      </c>
      <c r="AD22" s="46" t="n">
        <f aca="false">Assumptions!$C$49</f>
        <v>0.02</v>
      </c>
      <c r="AE22" s="46" t="n">
        <f aca="false">Assumptions!$C$49</f>
        <v>0.02</v>
      </c>
      <c r="AF22" s="46" t="n">
        <f aca="false">Assumptions!$C$49</f>
        <v>0.02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48"/>
    <col collapsed="false" customWidth="true" hidden="false" outlineLevel="0" max="32" min="3" style="20" width="13"/>
  </cols>
  <sheetData>
    <row r="1" customFormat="false" ht="17.25" hidden="false" customHeight="true" outlineLevel="0" collapsed="false">
      <c r="A1" s="21" t="s">
        <v>262</v>
      </c>
    </row>
    <row r="2" customFormat="false" ht="15" hidden="false" customHeight="true" outlineLevel="0" collapsed="false">
      <c r="A2" s="22" t="s">
        <v>263</v>
      </c>
    </row>
    <row r="4" customFormat="false" ht="15" hidden="false" customHeight="true" outlineLevel="0" collapsed="false">
      <c r="A4" s="23" t="s">
        <v>264</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row>
    <row r="5" customFormat="false" ht="15" hidden="false" customHeight="true" outlineLevel="0" collapsed="false">
      <c r="B5" s="24" t="s">
        <v>123</v>
      </c>
      <c r="C5" s="25" t="n">
        <v>2026</v>
      </c>
      <c r="D5" s="25" t="n">
        <v>2027</v>
      </c>
      <c r="E5" s="25" t="n">
        <v>2028</v>
      </c>
      <c r="F5" s="25" t="n">
        <v>2029</v>
      </c>
      <c r="G5" s="25" t="n">
        <v>2030</v>
      </c>
      <c r="H5" s="25" t="n">
        <v>2031</v>
      </c>
      <c r="I5" s="25" t="n">
        <v>2032</v>
      </c>
      <c r="J5" s="25" t="n">
        <v>2033</v>
      </c>
      <c r="K5" s="25" t="n">
        <v>2034</v>
      </c>
      <c r="L5" s="25" t="n">
        <v>2035</v>
      </c>
      <c r="M5" s="25" t="n">
        <v>2036</v>
      </c>
      <c r="N5" s="25" t="n">
        <v>2037</v>
      </c>
      <c r="O5" s="25" t="n">
        <v>2038</v>
      </c>
      <c r="P5" s="25" t="n">
        <v>2039</v>
      </c>
      <c r="Q5" s="25" t="n">
        <v>2040</v>
      </c>
      <c r="R5" s="25" t="n">
        <v>2041</v>
      </c>
      <c r="S5" s="25" t="n">
        <v>2042</v>
      </c>
      <c r="T5" s="25" t="n">
        <v>2043</v>
      </c>
      <c r="U5" s="25" t="n">
        <v>2044</v>
      </c>
      <c r="V5" s="25" t="n">
        <v>2045</v>
      </c>
      <c r="W5" s="25" t="n">
        <v>2046</v>
      </c>
      <c r="X5" s="25" t="n">
        <v>2047</v>
      </c>
      <c r="Y5" s="25" t="n">
        <v>2048</v>
      </c>
      <c r="Z5" s="25" t="n">
        <v>2049</v>
      </c>
      <c r="AA5" s="25" t="n">
        <v>2050</v>
      </c>
      <c r="AB5" s="25" t="n">
        <v>2051</v>
      </c>
      <c r="AC5" s="25" t="n">
        <v>2052</v>
      </c>
      <c r="AD5" s="25" t="n">
        <v>2053</v>
      </c>
      <c r="AE5" s="25" t="n">
        <v>2054</v>
      </c>
      <c r="AF5" s="25" t="n">
        <v>2055</v>
      </c>
    </row>
    <row r="6" customFormat="false" ht="15" hidden="false" customHeight="true" outlineLevel="0" collapsed="false">
      <c r="B6" s="26" t="s">
        <v>265</v>
      </c>
      <c r="C6" s="47" t="n">
        <f aca="false">Assumptions!C$12</f>
        <v>35</v>
      </c>
      <c r="D6" s="47" t="n">
        <f aca="false">Assumptions!D$12</f>
        <v>36</v>
      </c>
      <c r="E6" s="47" t="n">
        <f aca="false">Assumptions!E$12</f>
        <v>37</v>
      </c>
      <c r="F6" s="47" t="n">
        <f aca="false">Assumptions!F$12</f>
        <v>38</v>
      </c>
      <c r="G6" s="47" t="n">
        <f aca="false">Assumptions!G$12</f>
        <v>39</v>
      </c>
      <c r="H6" s="47" t="n">
        <f aca="false">Assumptions!H$12</f>
        <v>40</v>
      </c>
      <c r="I6" s="47" t="n">
        <f aca="false">Assumptions!I$12</f>
        <v>41</v>
      </c>
      <c r="J6" s="47" t="n">
        <f aca="false">Assumptions!J$12</f>
        <v>42</v>
      </c>
      <c r="K6" s="47" t="n">
        <f aca="false">Assumptions!K$12</f>
        <v>43</v>
      </c>
      <c r="L6" s="47" t="n">
        <f aca="false">Assumptions!L$12</f>
        <v>44</v>
      </c>
      <c r="M6" s="47" t="n">
        <f aca="false">Assumptions!M$12</f>
        <v>45</v>
      </c>
      <c r="N6" s="47" t="n">
        <f aca="false">Assumptions!N$12</f>
        <v>46</v>
      </c>
      <c r="O6" s="47" t="n">
        <f aca="false">Assumptions!O$12</f>
        <v>47</v>
      </c>
      <c r="P6" s="47" t="n">
        <f aca="false">Assumptions!P$12</f>
        <v>48</v>
      </c>
      <c r="Q6" s="47" t="n">
        <f aca="false">Assumptions!Q$12</f>
        <v>49</v>
      </c>
      <c r="R6" s="47" t="n">
        <f aca="false">Assumptions!R$12</f>
        <v>50</v>
      </c>
      <c r="S6" s="47" t="n">
        <f aca="false">Assumptions!S$12</f>
        <v>51</v>
      </c>
      <c r="T6" s="47" t="n">
        <f aca="false">Assumptions!T$12</f>
        <v>52</v>
      </c>
      <c r="U6" s="47" t="n">
        <f aca="false">Assumptions!U$12</f>
        <v>53</v>
      </c>
      <c r="V6" s="47" t="n">
        <f aca="false">Assumptions!V$12</f>
        <v>54</v>
      </c>
      <c r="W6" s="47" t="n">
        <f aca="false">Assumptions!W$12</f>
        <v>55</v>
      </c>
      <c r="X6" s="47" t="n">
        <f aca="false">Assumptions!X$12</f>
        <v>56</v>
      </c>
      <c r="Y6" s="47" t="n">
        <f aca="false">Assumptions!Y$12</f>
        <v>57</v>
      </c>
      <c r="Z6" s="47" t="n">
        <f aca="false">Assumptions!Z$12</f>
        <v>58</v>
      </c>
      <c r="AA6" s="47" t="n">
        <f aca="false">Assumptions!AA$12</f>
        <v>59</v>
      </c>
      <c r="AB6" s="47" t="n">
        <f aca="false">Assumptions!AB$12</f>
        <v>60</v>
      </c>
      <c r="AC6" s="47" t="n">
        <f aca="false">Assumptions!AC$12</f>
        <v>61</v>
      </c>
      <c r="AD6" s="47" t="n">
        <f aca="false">Assumptions!AD$12</f>
        <v>62</v>
      </c>
      <c r="AE6" s="47" t="n">
        <f aca="false">Assumptions!AE$12</f>
        <v>63</v>
      </c>
      <c r="AF6" s="47" t="n">
        <f aca="false">Assumptions!AF$12</f>
        <v>64</v>
      </c>
    </row>
    <row r="8" customFormat="false" ht="15" hidden="false" customHeight="true" outlineLevel="0" collapsed="false">
      <c r="B8" s="24" t="s">
        <v>266</v>
      </c>
      <c r="C8" s="48" t="n">
        <f aca="false">Assumptions!$C$20*Assumptions!C$9</f>
        <v>170000</v>
      </c>
      <c r="D8" s="48" t="n">
        <f aca="false">Assumptions!$C$20*Assumptions!D$9</f>
        <v>176800</v>
      </c>
      <c r="E8" s="48" t="n">
        <f aca="false">Assumptions!$C$20*Assumptions!E$9</f>
        <v>183872</v>
      </c>
      <c r="F8" s="48" t="n">
        <f aca="false">Assumptions!$C$20*Assumptions!F$9</f>
        <v>187549.44</v>
      </c>
      <c r="G8" s="48" t="n">
        <f aca="false">Assumptions!$C$20*Assumptions!G$9</f>
        <v>191300.4288</v>
      </c>
      <c r="H8" s="48" t="n">
        <f aca="false">Assumptions!$C$20*Assumptions!H$9</f>
        <v>195126.437376</v>
      </c>
      <c r="I8" s="48" t="n">
        <f aca="false">Assumptions!$C$20*Assumptions!I$9</f>
        <v>199028.96612352</v>
      </c>
      <c r="J8" s="48" t="n">
        <f aca="false">Assumptions!$C$20*Assumptions!J$9</f>
        <v>203009.54544599</v>
      </c>
      <c r="K8" s="48" t="n">
        <f aca="false">Assumptions!$C$20*Assumptions!K$9</f>
        <v>207069.73635491</v>
      </c>
      <c r="L8" s="48" t="n">
        <f aca="false">Assumptions!$C$20*Assumptions!L$9</f>
        <v>211211.131082008</v>
      </c>
      <c r="M8" s="48" t="n">
        <f aca="false">Assumptions!$C$20*Assumptions!M$9</f>
        <v>215435.353703649</v>
      </c>
      <c r="N8" s="48" t="n">
        <f aca="false">Assumptions!$C$20*Assumptions!N$9</f>
        <v>219744.060777722</v>
      </c>
      <c r="O8" s="48" t="n">
        <f aca="false">Assumptions!$C$20*Assumptions!O$9</f>
        <v>224138.941993276</v>
      </c>
      <c r="P8" s="48" t="n">
        <f aca="false">Assumptions!$C$20*Assumptions!P$9</f>
        <v>228621.720833142</v>
      </c>
      <c r="Q8" s="48" t="n">
        <f aca="false">Assumptions!$C$20*Assumptions!Q$9</f>
        <v>233194.155249804</v>
      </c>
      <c r="R8" s="48" t="n">
        <f aca="false">Assumptions!$C$20*Assumptions!R$9</f>
        <v>237858.038354801</v>
      </c>
      <c r="S8" s="48" t="n">
        <f aca="false">Assumptions!$C$20*Assumptions!S$9</f>
        <v>242615.199121897</v>
      </c>
      <c r="T8" s="48" t="n">
        <f aca="false">Assumptions!$C$20*Assumptions!T$9</f>
        <v>247467.503104334</v>
      </c>
      <c r="U8" s="48" t="n">
        <f aca="false">Assumptions!$C$20*Assumptions!U$9</f>
        <v>252416.853166421</v>
      </c>
      <c r="V8" s="48" t="n">
        <f aca="false">Assumptions!$C$20*Assumptions!V$9</f>
        <v>257465.19022975</v>
      </c>
      <c r="W8" s="48" t="n">
        <f aca="false">Assumptions!$C$20*Assumptions!W$9</f>
        <v>262614.494034345</v>
      </c>
      <c r="X8" s="48" t="n">
        <f aca="false">Assumptions!$C$20*Assumptions!X$9</f>
        <v>267866.783915031</v>
      </c>
      <c r="Y8" s="48" t="n">
        <f aca="false">Assumptions!$C$20*Assumptions!Y$9</f>
        <v>273224.119593332</v>
      </c>
      <c r="Z8" s="48" t="n">
        <f aca="false">Assumptions!$C$20*Assumptions!Z$9</f>
        <v>278688.601985199</v>
      </c>
      <c r="AA8" s="48" t="n">
        <f aca="false">Assumptions!$C$20*Assumptions!AA$9</f>
        <v>284262.374024903</v>
      </c>
      <c r="AB8" s="48" t="n">
        <f aca="false">Assumptions!$C$20*Assumptions!AB$9</f>
        <v>289947.621505401</v>
      </c>
      <c r="AC8" s="48" t="n">
        <f aca="false">Assumptions!$C$20*Assumptions!AC$9</f>
        <v>295746.573935509</v>
      </c>
      <c r="AD8" s="48" t="n">
        <f aca="false">Assumptions!$C$20*Assumptions!AD$9</f>
        <v>301661.505414219</v>
      </c>
      <c r="AE8" s="48" t="n">
        <f aca="false">Assumptions!$C$20*Assumptions!AE$9</f>
        <v>307694.735522503</v>
      </c>
      <c r="AF8" s="48" t="n">
        <f aca="false">Assumptions!$C$20*Assumptions!AF$9</f>
        <v>313848.630232953</v>
      </c>
    </row>
    <row r="9" customFormat="false" ht="15" hidden="false" customHeight="true" outlineLevel="0" collapsed="false">
      <c r="B9" s="26" t="s">
        <v>267</v>
      </c>
      <c r="C9" s="45" t="n">
        <f aca="false">MIN(C8,MAX(Tax_Bands!C$15,Tax_Bands!C$13-MAX(0,C8-Tax_Bands!C$14)/2))</f>
        <v>60000</v>
      </c>
      <c r="D9" s="45" t="n">
        <f aca="false">MIN(D8,MAX(Tax_Bands!D$15,Tax_Bands!D$13-MAX(0,D8-Tax_Bands!D$14)/2))</f>
        <v>60000</v>
      </c>
      <c r="E9" s="45" t="n">
        <f aca="false">MIN(E8,MAX(Tax_Bands!E$15,Tax_Bands!E$13-MAX(0,E8-Tax_Bands!E$14)/2))</f>
        <v>60000</v>
      </c>
      <c r="F9" s="45" t="n">
        <f aca="false">MIN(F8,MAX(Tax_Bands!F$15,Tax_Bands!F$13-MAX(0,F8-Tax_Bands!F$14)/2))</f>
        <v>60000</v>
      </c>
      <c r="G9" s="45" t="n">
        <f aca="false">MIN(G8,MAX(Tax_Bands!G$15,Tax_Bands!G$13-MAX(0,G8-Tax_Bands!G$14)/2))</f>
        <v>60000</v>
      </c>
      <c r="H9" s="45" t="n">
        <f aca="false">MIN(H8,MAX(Tax_Bands!H$15,Tax_Bands!H$13-MAX(0,H8-Tax_Bands!H$14)/2))</f>
        <v>61200</v>
      </c>
      <c r="I9" s="45" t="n">
        <f aca="false">MIN(I8,MAX(Tax_Bands!I$15,Tax_Bands!I$13-MAX(0,I8-Tax_Bands!I$14)/2))</f>
        <v>62424</v>
      </c>
      <c r="J9" s="45" t="n">
        <f aca="false">MIN(J8,MAX(Tax_Bands!J$15,Tax_Bands!J$13-MAX(0,J8-Tax_Bands!J$14)/2))</f>
        <v>63672.48</v>
      </c>
      <c r="K9" s="45" t="n">
        <f aca="false">MIN(K8,MAX(Tax_Bands!K$15,Tax_Bands!K$13-MAX(0,K8-Tax_Bands!K$14)/2))</f>
        <v>64945.9296</v>
      </c>
      <c r="L9" s="45" t="n">
        <f aca="false">MIN(L8,MAX(Tax_Bands!L$15,Tax_Bands!L$13-MAX(0,L8-Tax_Bands!L$14)/2))</f>
        <v>66244.848192</v>
      </c>
      <c r="M9" s="45" t="n">
        <f aca="false">MIN(M8,MAX(Tax_Bands!M$15,Tax_Bands!M$13-MAX(0,M8-Tax_Bands!M$14)/2))</f>
        <v>67569.74515584</v>
      </c>
      <c r="N9" s="45" t="n">
        <f aca="false">MIN(N8,MAX(Tax_Bands!N$15,Tax_Bands!N$13-MAX(0,N8-Tax_Bands!N$14)/2))</f>
        <v>68921.1400589568</v>
      </c>
      <c r="O9" s="45" t="n">
        <f aca="false">MIN(O8,MAX(Tax_Bands!O$15,Tax_Bands!O$13-MAX(0,O8-Tax_Bands!O$14)/2))</f>
        <v>70299.562860136</v>
      </c>
      <c r="P9" s="45" t="n">
        <f aca="false">MIN(P8,MAX(Tax_Bands!P$15,Tax_Bands!P$13-MAX(0,P8-Tax_Bands!P$14)/2))</f>
        <v>71705.5541173387</v>
      </c>
      <c r="Q9" s="45" t="n">
        <f aca="false">MIN(Q8,MAX(Tax_Bands!Q$15,Tax_Bands!Q$13-MAX(0,Q8-Tax_Bands!Q$14)/2))</f>
        <v>73139.6651996854</v>
      </c>
      <c r="R9" s="45" t="n">
        <f aca="false">MIN(R8,MAX(Tax_Bands!R$15,Tax_Bands!R$13-MAX(0,R8-Tax_Bands!R$14)/2))</f>
        <v>74602.4585036792</v>
      </c>
      <c r="S9" s="45" t="n">
        <f aca="false">MIN(S8,MAX(Tax_Bands!S$15,Tax_Bands!S$13-MAX(0,S8-Tax_Bands!S$14)/2))</f>
        <v>76094.5076737527</v>
      </c>
      <c r="T9" s="45" t="n">
        <f aca="false">MIN(T8,MAX(Tax_Bands!T$15,Tax_Bands!T$13-MAX(0,T8-Tax_Bands!T$14)/2))</f>
        <v>77616.3978272278</v>
      </c>
      <c r="U9" s="45" t="n">
        <f aca="false">MIN(U8,MAX(Tax_Bands!U$15,Tax_Bands!U$13-MAX(0,U8-Tax_Bands!U$14)/2))</f>
        <v>79168.7257837723</v>
      </c>
      <c r="V9" s="45" t="n">
        <f aca="false">MIN(V8,MAX(Tax_Bands!V$15,Tax_Bands!V$13-MAX(0,V8-Tax_Bands!V$14)/2))</f>
        <v>80752.1002994478</v>
      </c>
      <c r="W9" s="45" t="n">
        <f aca="false">MIN(W8,MAX(Tax_Bands!W$15,Tax_Bands!W$13-MAX(0,W8-Tax_Bands!W$14)/2))</f>
        <v>82367.1423054368</v>
      </c>
      <c r="X9" s="45" t="n">
        <f aca="false">MIN(X8,MAX(Tax_Bands!X$15,Tax_Bands!X$13-MAX(0,X8-Tax_Bands!X$14)/2))</f>
        <v>84014.4851515455</v>
      </c>
      <c r="Y9" s="45" t="n">
        <f aca="false">MIN(Y8,MAX(Tax_Bands!Y$15,Tax_Bands!Y$13-MAX(0,Y8-Tax_Bands!Y$14)/2))</f>
        <v>85694.7748545764</v>
      </c>
      <c r="Z9" s="45" t="n">
        <f aca="false">MIN(Z8,MAX(Tax_Bands!Z$15,Tax_Bands!Z$13-MAX(0,Z8-Tax_Bands!Z$14)/2))</f>
        <v>87408.6703516679</v>
      </c>
      <c r="AA9" s="45" t="n">
        <f aca="false">MIN(AA8,MAX(Tax_Bands!AA$15,Tax_Bands!AA$13-MAX(0,AA8-Tax_Bands!AA$14)/2))</f>
        <v>89156.8437587013</v>
      </c>
      <c r="AB9" s="45" t="n">
        <f aca="false">MIN(AB8,MAX(Tax_Bands!AB$15,Tax_Bands!AB$13-MAX(0,AB8-Tax_Bands!AB$14)/2))</f>
        <v>90939.9806338753</v>
      </c>
      <c r="AC9" s="45" t="n">
        <f aca="false">MIN(AC8,MAX(Tax_Bands!AC$15,Tax_Bands!AC$13-MAX(0,AC8-Tax_Bands!AC$14)/2))</f>
        <v>92758.7802465528</v>
      </c>
      <c r="AD9" s="45" t="n">
        <f aca="false">MIN(AD8,MAX(Tax_Bands!AD$15,Tax_Bands!AD$13-MAX(0,AD8-Tax_Bands!AD$14)/2))</f>
        <v>94613.9558514839</v>
      </c>
      <c r="AE9" s="45" t="n">
        <f aca="false">MIN(AE8,MAX(Tax_Bands!AE$15,Tax_Bands!AE$13-MAX(0,AE8-Tax_Bands!AE$14)/2))</f>
        <v>96506.2349685136</v>
      </c>
      <c r="AF9" s="45" t="n">
        <f aca="false">MIN(AF8,MAX(Tax_Bands!AF$15,Tax_Bands!AF$13-MAX(0,AF8-Tax_Bands!AF$14)/2))</f>
        <v>98436.3596678838</v>
      </c>
    </row>
    <row r="10" customFormat="false" ht="15" hidden="false" customHeight="true" outlineLevel="0" collapsed="false">
      <c r="B10" s="49" t="s">
        <v>268</v>
      </c>
      <c r="C10" s="45" t="n">
        <f aca="false">C8-C9</f>
        <v>110000</v>
      </c>
      <c r="D10" s="45" t="n">
        <f aca="false">D8-D9</f>
        <v>116800</v>
      </c>
      <c r="E10" s="45" t="n">
        <f aca="false">E8-E9</f>
        <v>123872</v>
      </c>
      <c r="F10" s="45" t="n">
        <f aca="false">F8-F9</f>
        <v>127549.44</v>
      </c>
      <c r="G10" s="45" t="n">
        <f aca="false">G8-G9</f>
        <v>131300.4288</v>
      </c>
      <c r="H10" s="45" t="n">
        <f aca="false">H8-H9</f>
        <v>133926.437376</v>
      </c>
      <c r="I10" s="45" t="n">
        <f aca="false">I8-I9</f>
        <v>136604.96612352</v>
      </c>
      <c r="J10" s="45" t="n">
        <f aca="false">J8-J9</f>
        <v>139337.06544599</v>
      </c>
      <c r="K10" s="45" t="n">
        <f aca="false">K8-K9</f>
        <v>142123.80675491</v>
      </c>
      <c r="L10" s="45" t="n">
        <f aca="false">L8-L9</f>
        <v>144966.282890008</v>
      </c>
      <c r="M10" s="45" t="n">
        <f aca="false">M8-M9</f>
        <v>147865.608547809</v>
      </c>
      <c r="N10" s="45" t="n">
        <f aca="false">N8-N9</f>
        <v>150822.920718765</v>
      </c>
      <c r="O10" s="45" t="n">
        <f aca="false">O8-O9</f>
        <v>153839.37913314</v>
      </c>
      <c r="P10" s="45" t="n">
        <f aca="false">P8-P9</f>
        <v>156916.166715803</v>
      </c>
      <c r="Q10" s="45" t="n">
        <f aca="false">Q8-Q9</f>
        <v>160054.490050119</v>
      </c>
      <c r="R10" s="45" t="n">
        <f aca="false">R8-R9</f>
        <v>163255.579851121</v>
      </c>
      <c r="S10" s="45" t="n">
        <f aca="false">S8-S9</f>
        <v>166520.691448144</v>
      </c>
      <c r="T10" s="45" t="n">
        <f aca="false">T8-T9</f>
        <v>169851.105277107</v>
      </c>
      <c r="U10" s="45" t="n">
        <f aca="false">U8-U9</f>
        <v>173248.127382649</v>
      </c>
      <c r="V10" s="45" t="n">
        <f aca="false">V8-V9</f>
        <v>176713.089930302</v>
      </c>
      <c r="W10" s="45" t="n">
        <f aca="false">W8-W9</f>
        <v>180247.351728908</v>
      </c>
      <c r="X10" s="45" t="n">
        <f aca="false">X8-X9</f>
        <v>183852.298763486</v>
      </c>
      <c r="Y10" s="45" t="n">
        <f aca="false">Y8-Y9</f>
        <v>187529.344738756</v>
      </c>
      <c r="Z10" s="45" t="n">
        <f aca="false">Z8-Z9</f>
        <v>191279.931633531</v>
      </c>
      <c r="AA10" s="45" t="n">
        <f aca="false">AA8-AA9</f>
        <v>195105.530266201</v>
      </c>
      <c r="AB10" s="45" t="n">
        <f aca="false">AB8-AB9</f>
        <v>199007.640871525</v>
      </c>
      <c r="AC10" s="45" t="n">
        <f aca="false">AC8-AC9</f>
        <v>202987.793688956</v>
      </c>
      <c r="AD10" s="45" t="n">
        <f aca="false">AD8-AD9</f>
        <v>207047.549562735</v>
      </c>
      <c r="AE10" s="45" t="n">
        <f aca="false">AE8-AE9</f>
        <v>211188.50055399</v>
      </c>
      <c r="AF10" s="45" t="n">
        <f aca="false">AF8-AF9</f>
        <v>215412.27056507</v>
      </c>
    </row>
    <row r="11" customFormat="false" ht="15" hidden="false" customHeight="true" outlineLevel="0" collapsed="false">
      <c r="B11" s="49" t="s">
        <v>269</v>
      </c>
      <c r="C11" s="45" t="n">
        <f aca="false">MAX(0,Tax_Bands!C$7-MAX(0,C10-Tax_Bands!C$8)/2)</f>
        <v>7570</v>
      </c>
      <c r="D11" s="45" t="n">
        <f aca="false">MAX(0,Tax_Bands!D$7-MAX(0,D10-Tax_Bands!D$8)/2)</f>
        <v>4170</v>
      </c>
      <c r="E11" s="45" t="n">
        <f aca="false">MAX(0,Tax_Bands!E$7-MAX(0,E10-Tax_Bands!E$8)/2)</f>
        <v>633.999999999985</v>
      </c>
      <c r="F11" s="45" t="n">
        <f aca="false">MAX(0,Tax_Bands!F$7-MAX(0,F10-Tax_Bands!F$8)/2)</f>
        <v>0</v>
      </c>
      <c r="G11" s="45" t="n">
        <f aca="false">MAX(0,Tax_Bands!G$7-MAX(0,G10-Tax_Bands!G$8)/2)</f>
        <v>0</v>
      </c>
      <c r="H11" s="45" t="n">
        <f aca="false">MAX(0,Tax_Bands!H$7-MAX(0,H10-Tax_Bands!H$8)/2)</f>
        <v>0</v>
      </c>
      <c r="I11" s="45" t="n">
        <f aca="false">MAX(0,Tax_Bands!I$7-MAX(0,I10-Tax_Bands!I$8)/2)</f>
        <v>0</v>
      </c>
      <c r="J11" s="45" t="n">
        <f aca="false">MAX(0,Tax_Bands!J$7-MAX(0,J10-Tax_Bands!J$8)/2)</f>
        <v>0</v>
      </c>
      <c r="K11" s="45" t="n">
        <f aca="false">MAX(0,Tax_Bands!K$7-MAX(0,K10-Tax_Bands!K$8)/2)</f>
        <v>0</v>
      </c>
      <c r="L11" s="45" t="n">
        <f aca="false">MAX(0,Tax_Bands!L$7-MAX(0,L10-Tax_Bands!L$8)/2)</f>
        <v>0</v>
      </c>
      <c r="M11" s="45" t="n">
        <f aca="false">MAX(0,Tax_Bands!M$7-MAX(0,M10-Tax_Bands!M$8)/2)</f>
        <v>0</v>
      </c>
      <c r="N11" s="45" t="n">
        <f aca="false">MAX(0,Tax_Bands!N$7-MAX(0,N10-Tax_Bands!N$8)/2)</f>
        <v>0</v>
      </c>
      <c r="O11" s="45" t="n">
        <f aca="false">MAX(0,Tax_Bands!O$7-MAX(0,O10-Tax_Bands!O$8)/2)</f>
        <v>0</v>
      </c>
      <c r="P11" s="45" t="n">
        <f aca="false">MAX(0,Tax_Bands!P$7-MAX(0,P10-Tax_Bands!P$8)/2)</f>
        <v>0</v>
      </c>
      <c r="Q11" s="45" t="n">
        <f aca="false">MAX(0,Tax_Bands!Q$7-MAX(0,Q10-Tax_Bands!Q$8)/2)</f>
        <v>0</v>
      </c>
      <c r="R11" s="45" t="n">
        <f aca="false">MAX(0,Tax_Bands!R$7-MAX(0,R10-Tax_Bands!R$8)/2)</f>
        <v>0</v>
      </c>
      <c r="S11" s="45" t="n">
        <f aca="false">MAX(0,Tax_Bands!S$7-MAX(0,S10-Tax_Bands!S$8)/2)</f>
        <v>0</v>
      </c>
      <c r="T11" s="45" t="n">
        <f aca="false">MAX(0,Tax_Bands!T$7-MAX(0,T10-Tax_Bands!T$8)/2)</f>
        <v>0</v>
      </c>
      <c r="U11" s="45" t="n">
        <f aca="false">MAX(0,Tax_Bands!U$7-MAX(0,U10-Tax_Bands!U$8)/2)</f>
        <v>0</v>
      </c>
      <c r="V11" s="45" t="n">
        <f aca="false">MAX(0,Tax_Bands!V$7-MAX(0,V10-Tax_Bands!V$8)/2)</f>
        <v>0</v>
      </c>
      <c r="W11" s="45" t="n">
        <f aca="false">MAX(0,Tax_Bands!W$7-MAX(0,W10-Tax_Bands!W$8)/2)</f>
        <v>0</v>
      </c>
      <c r="X11" s="45" t="n">
        <f aca="false">MAX(0,Tax_Bands!X$7-MAX(0,X10-Tax_Bands!X$8)/2)</f>
        <v>0</v>
      </c>
      <c r="Y11" s="45" t="n">
        <f aca="false">MAX(0,Tax_Bands!Y$7-MAX(0,Y10-Tax_Bands!Y$8)/2)</f>
        <v>0</v>
      </c>
      <c r="Z11" s="45" t="n">
        <f aca="false">MAX(0,Tax_Bands!Z$7-MAX(0,Z10-Tax_Bands!Z$8)/2)</f>
        <v>0</v>
      </c>
      <c r="AA11" s="45" t="n">
        <f aca="false">MAX(0,Tax_Bands!AA$7-MAX(0,AA10-Tax_Bands!AA$8)/2)</f>
        <v>0</v>
      </c>
      <c r="AB11" s="45" t="n">
        <f aca="false">MAX(0,Tax_Bands!AB$7-MAX(0,AB10-Tax_Bands!AB$8)/2)</f>
        <v>0</v>
      </c>
      <c r="AC11" s="45" t="n">
        <f aca="false">MAX(0,Tax_Bands!AC$7-MAX(0,AC10-Tax_Bands!AC$8)/2)</f>
        <v>0</v>
      </c>
      <c r="AD11" s="45" t="n">
        <f aca="false">MAX(0,Tax_Bands!AD$7-MAX(0,AD10-Tax_Bands!AD$8)/2)</f>
        <v>0</v>
      </c>
      <c r="AE11" s="45" t="n">
        <f aca="false">MAX(0,Tax_Bands!AE$7-MAX(0,AE10-Tax_Bands!AE$8)/2)</f>
        <v>0</v>
      </c>
      <c r="AF11" s="45" t="n">
        <f aca="false">MAX(0,Tax_Bands!AF$7-MAX(0,AF10-Tax_Bands!AF$8)/2)</f>
        <v>0</v>
      </c>
    </row>
    <row r="12" customFormat="false" ht="15" hidden="false" customHeight="true" outlineLevel="0" collapsed="false">
      <c r="B12" s="49" t="s">
        <v>270</v>
      </c>
      <c r="C12" s="45" t="n">
        <f aca="false">MAX(0,C8-C11)</f>
        <v>162430</v>
      </c>
      <c r="D12" s="45" t="n">
        <f aca="false">MAX(0,D8-D11)</f>
        <v>172630</v>
      </c>
      <c r="E12" s="45" t="n">
        <f aca="false">MAX(0,E8-E11)</f>
        <v>183238</v>
      </c>
      <c r="F12" s="45" t="n">
        <f aca="false">MAX(0,F8-F11)</f>
        <v>187549.44</v>
      </c>
      <c r="G12" s="45" t="n">
        <f aca="false">MAX(0,G8-G11)</f>
        <v>191300.4288</v>
      </c>
      <c r="H12" s="45" t="n">
        <f aca="false">MAX(0,H8-H11)</f>
        <v>195126.437376</v>
      </c>
      <c r="I12" s="45" t="n">
        <f aca="false">MAX(0,I8-I11)</f>
        <v>199028.96612352</v>
      </c>
      <c r="J12" s="45" t="n">
        <f aca="false">MAX(0,J8-J11)</f>
        <v>203009.54544599</v>
      </c>
      <c r="K12" s="45" t="n">
        <f aca="false">MAX(0,K8-K11)</f>
        <v>207069.73635491</v>
      </c>
      <c r="L12" s="45" t="n">
        <f aca="false">MAX(0,L8-L11)</f>
        <v>211211.131082008</v>
      </c>
      <c r="M12" s="45" t="n">
        <f aca="false">MAX(0,M8-M11)</f>
        <v>215435.353703649</v>
      </c>
      <c r="N12" s="45" t="n">
        <f aca="false">MAX(0,N8-N11)</f>
        <v>219744.060777722</v>
      </c>
      <c r="O12" s="45" t="n">
        <f aca="false">MAX(0,O8-O11)</f>
        <v>224138.941993276</v>
      </c>
      <c r="P12" s="45" t="n">
        <f aca="false">MAX(0,P8-P11)</f>
        <v>228621.720833142</v>
      </c>
      <c r="Q12" s="45" t="n">
        <f aca="false">MAX(0,Q8-Q11)</f>
        <v>233194.155249804</v>
      </c>
      <c r="R12" s="45" t="n">
        <f aca="false">MAX(0,R8-R11)</f>
        <v>237858.038354801</v>
      </c>
      <c r="S12" s="45" t="n">
        <f aca="false">MAX(0,S8-S11)</f>
        <v>242615.199121897</v>
      </c>
      <c r="T12" s="45" t="n">
        <f aca="false">MAX(0,T8-T11)</f>
        <v>247467.503104334</v>
      </c>
      <c r="U12" s="45" t="n">
        <f aca="false">MAX(0,U8-U11)</f>
        <v>252416.853166421</v>
      </c>
      <c r="V12" s="45" t="n">
        <f aca="false">MAX(0,V8-V11)</f>
        <v>257465.19022975</v>
      </c>
      <c r="W12" s="45" t="n">
        <f aca="false">MAX(0,W8-W11)</f>
        <v>262614.494034345</v>
      </c>
      <c r="X12" s="45" t="n">
        <f aca="false">MAX(0,X8-X11)</f>
        <v>267866.783915031</v>
      </c>
      <c r="Y12" s="45" t="n">
        <f aca="false">MAX(0,Y8-Y11)</f>
        <v>273224.119593332</v>
      </c>
      <c r="Z12" s="45" t="n">
        <f aca="false">MAX(0,Z8-Z11)</f>
        <v>278688.601985199</v>
      </c>
      <c r="AA12" s="45" t="n">
        <f aca="false">MAX(0,AA8-AA11)</f>
        <v>284262.374024903</v>
      </c>
      <c r="AB12" s="45" t="n">
        <f aca="false">MAX(0,AB8-AB11)</f>
        <v>289947.621505401</v>
      </c>
      <c r="AC12" s="45" t="n">
        <f aca="false">MAX(0,AC8-AC11)</f>
        <v>295746.573935509</v>
      </c>
      <c r="AD12" s="45" t="n">
        <f aca="false">MAX(0,AD8-AD11)</f>
        <v>301661.505414219</v>
      </c>
      <c r="AE12" s="45" t="n">
        <f aca="false">MAX(0,AE8-AE11)</f>
        <v>307694.735522503</v>
      </c>
      <c r="AF12" s="45" t="n">
        <f aca="false">MAX(0,AF8-AF11)</f>
        <v>313848.630232953</v>
      </c>
    </row>
    <row r="13" customFormat="false" ht="15" hidden="false" customHeight="true" outlineLevel="0" collapsed="false">
      <c r="B13" s="49" t="s">
        <v>271</v>
      </c>
      <c r="C13" s="45" t="n">
        <f aca="false">Tax_Bands!C$9+C9</f>
        <v>97700</v>
      </c>
      <c r="D13" s="45" t="n">
        <f aca="false">Tax_Bands!D$9+D9</f>
        <v>97700</v>
      </c>
      <c r="E13" s="45" t="n">
        <f aca="false">Tax_Bands!E$9+E9</f>
        <v>97700</v>
      </c>
      <c r="F13" s="45" t="n">
        <f aca="false">Tax_Bands!F$9+F9</f>
        <v>97700</v>
      </c>
      <c r="G13" s="45" t="n">
        <f aca="false">Tax_Bands!G$9+G9</f>
        <v>97700</v>
      </c>
      <c r="H13" s="45" t="n">
        <f aca="false">Tax_Bands!H$9+H9</f>
        <v>99654</v>
      </c>
      <c r="I13" s="45" t="n">
        <f aca="false">Tax_Bands!I$9+I9</f>
        <v>101647.08</v>
      </c>
      <c r="J13" s="45" t="n">
        <f aca="false">Tax_Bands!J$9+J9</f>
        <v>103680.0216</v>
      </c>
      <c r="K13" s="45" t="n">
        <f aca="false">Tax_Bands!K$9+K9</f>
        <v>105753.622032</v>
      </c>
      <c r="L13" s="45" t="n">
        <f aca="false">Tax_Bands!L$9+L9</f>
        <v>107868.69447264</v>
      </c>
      <c r="M13" s="45" t="n">
        <f aca="false">Tax_Bands!M$9+M9</f>
        <v>110026.068362093</v>
      </c>
      <c r="N13" s="45" t="n">
        <f aca="false">Tax_Bands!N$9+N9</f>
        <v>112226.589729335</v>
      </c>
      <c r="O13" s="45" t="n">
        <f aca="false">Tax_Bands!O$9+O9</f>
        <v>114471.121523921</v>
      </c>
      <c r="P13" s="45" t="n">
        <f aca="false">Tax_Bands!P$9+P9</f>
        <v>116760.5439544</v>
      </c>
      <c r="Q13" s="45" t="n">
        <f aca="false">Tax_Bands!Q$9+Q9</f>
        <v>119095.754833488</v>
      </c>
      <c r="R13" s="45" t="n">
        <f aca="false">Tax_Bands!R$9+R9</f>
        <v>121477.669930158</v>
      </c>
      <c r="S13" s="45" t="n">
        <f aca="false">Tax_Bands!S$9+S9</f>
        <v>123907.223328761</v>
      </c>
      <c r="T13" s="45" t="n">
        <f aca="false">Tax_Bands!T$9+T9</f>
        <v>126385.367795336</v>
      </c>
      <c r="U13" s="45" t="n">
        <f aca="false">Tax_Bands!U$9+U9</f>
        <v>128913.075151243</v>
      </c>
      <c r="V13" s="45" t="n">
        <f aca="false">Tax_Bands!V$9+V9</f>
        <v>131491.336654267</v>
      </c>
      <c r="W13" s="45" t="n">
        <f aca="false">Tax_Bands!W$9+W9</f>
        <v>134121.163387353</v>
      </c>
      <c r="X13" s="45" t="n">
        <f aca="false">Tax_Bands!X$9+X9</f>
        <v>136803.5866551</v>
      </c>
      <c r="Y13" s="45" t="n">
        <f aca="false">Tax_Bands!Y$9+Y9</f>
        <v>139539.658388202</v>
      </c>
      <c r="Z13" s="45" t="n">
        <f aca="false">Tax_Bands!Z$9+Z9</f>
        <v>142330.451555966</v>
      </c>
      <c r="AA13" s="45" t="n">
        <f aca="false">Tax_Bands!AA$9+AA9</f>
        <v>145177.060587085</v>
      </c>
      <c r="AB13" s="45" t="n">
        <f aca="false">Tax_Bands!AB$9+AB9</f>
        <v>148080.601798827</v>
      </c>
      <c r="AC13" s="45" t="n">
        <f aca="false">Tax_Bands!AC$9+AC9</f>
        <v>151042.213834804</v>
      </c>
      <c r="AD13" s="45" t="n">
        <f aca="false">Tax_Bands!AD$9+AD9</f>
        <v>154063.0581115</v>
      </c>
      <c r="AE13" s="45" t="n">
        <f aca="false">Tax_Bands!AE$9+AE9</f>
        <v>157144.31927373</v>
      </c>
      <c r="AF13" s="45" t="n">
        <f aca="false">Tax_Bands!AF$9+AF9</f>
        <v>160287.205659204</v>
      </c>
    </row>
    <row r="14" customFormat="false" ht="15" hidden="false" customHeight="true" outlineLevel="0" collapsed="false">
      <c r="B14" s="49" t="s">
        <v>272</v>
      </c>
      <c r="C14" s="45" t="n">
        <f aca="false">Tax_Bands!C$10+C9</f>
        <v>185140</v>
      </c>
      <c r="D14" s="45" t="n">
        <f aca="false">Tax_Bands!D$10+D9</f>
        <v>185140</v>
      </c>
      <c r="E14" s="45" t="n">
        <f aca="false">Tax_Bands!E$10+E9</f>
        <v>185140</v>
      </c>
      <c r="F14" s="45" t="n">
        <f aca="false">Tax_Bands!F$10+F9</f>
        <v>185140</v>
      </c>
      <c r="G14" s="45" t="n">
        <f aca="false">Tax_Bands!G$10+G9</f>
        <v>185140</v>
      </c>
      <c r="H14" s="45" t="n">
        <f aca="false">Tax_Bands!H$10+H9</f>
        <v>188842.8</v>
      </c>
      <c r="I14" s="45" t="n">
        <f aca="false">Tax_Bands!I$10+I9</f>
        <v>192619.656</v>
      </c>
      <c r="J14" s="45" t="n">
        <f aca="false">Tax_Bands!J$10+J9</f>
        <v>196472.04912</v>
      </c>
      <c r="K14" s="45" t="n">
        <f aca="false">Tax_Bands!K$10+K9</f>
        <v>200401.4901024</v>
      </c>
      <c r="L14" s="45" t="n">
        <f aca="false">Tax_Bands!L$10+L9</f>
        <v>204409.519904448</v>
      </c>
      <c r="M14" s="45" t="n">
        <f aca="false">Tax_Bands!M$10+M9</f>
        <v>208497.710302537</v>
      </c>
      <c r="N14" s="45" t="n">
        <f aca="false">Tax_Bands!N$10+N9</f>
        <v>212667.664508588</v>
      </c>
      <c r="O14" s="45" t="n">
        <f aca="false">Tax_Bands!O$10+O9</f>
        <v>216921.017798759</v>
      </c>
      <c r="P14" s="45" t="n">
        <f aca="false">Tax_Bands!P$10+P9</f>
        <v>221259.438154735</v>
      </c>
      <c r="Q14" s="45" t="n">
        <f aca="false">Tax_Bands!Q$10+Q9</f>
        <v>225684.626917829</v>
      </c>
      <c r="R14" s="45" t="n">
        <f aca="false">Tax_Bands!R$10+R9</f>
        <v>230198.319456186</v>
      </c>
      <c r="S14" s="45" t="n">
        <f aca="false">Tax_Bands!S$10+S9</f>
        <v>234802.28584531</v>
      </c>
      <c r="T14" s="45" t="n">
        <f aca="false">Tax_Bands!T$10+T9</f>
        <v>239498.331562216</v>
      </c>
      <c r="U14" s="45" t="n">
        <f aca="false">Tax_Bands!U$10+U9</f>
        <v>244288.29819346</v>
      </c>
      <c r="V14" s="45" t="n">
        <f aca="false">Tax_Bands!V$10+V9</f>
        <v>249174.064157329</v>
      </c>
      <c r="W14" s="45" t="n">
        <f aca="false">Tax_Bands!W$10+W9</f>
        <v>254157.545440476</v>
      </c>
      <c r="X14" s="45" t="n">
        <f aca="false">Tax_Bands!X$10+X9</f>
        <v>259240.696349286</v>
      </c>
      <c r="Y14" s="45" t="n">
        <f aca="false">Tax_Bands!Y$10+Y9</f>
        <v>264425.510276271</v>
      </c>
      <c r="Z14" s="45" t="n">
        <f aca="false">Tax_Bands!Z$10+Z9</f>
        <v>269714.020481797</v>
      </c>
      <c r="AA14" s="45" t="n">
        <f aca="false">Tax_Bands!AA$10+AA9</f>
        <v>275108.300891433</v>
      </c>
      <c r="AB14" s="45" t="n">
        <f aca="false">Tax_Bands!AB$10+AB9</f>
        <v>280610.466909261</v>
      </c>
      <c r="AC14" s="45" t="n">
        <f aca="false">Tax_Bands!AC$10+AC9</f>
        <v>286222.676247447</v>
      </c>
      <c r="AD14" s="45" t="n">
        <f aca="false">Tax_Bands!AD$10+AD9</f>
        <v>291947.129772396</v>
      </c>
      <c r="AE14" s="45" t="n">
        <f aca="false">Tax_Bands!AE$10+AE9</f>
        <v>297786.072367843</v>
      </c>
      <c r="AF14" s="45" t="n">
        <f aca="false">Tax_Bands!AF$10+AF9</f>
        <v>303741.7938152</v>
      </c>
    </row>
    <row r="15" customFormat="false" ht="15" hidden="false" customHeight="true" outlineLevel="0" collapsed="false">
      <c r="B15" s="26" t="s">
        <v>273</v>
      </c>
      <c r="C15" s="45" t="n">
        <f aca="false">Tax_Bands!C$18*MIN(C12,C13)+Tax_Bands!C$19*MAX(0,MIN(C12,C14)-C13)+Tax_Bands!C$20*MAX(0,C12-C14)</f>
        <v>45432</v>
      </c>
      <c r="D15" s="45" t="n">
        <f aca="false">Tax_Bands!D$18*MIN(D12,D13)+Tax_Bands!D$19*MAX(0,MIN(D12,D14)-D13)+Tax_Bands!D$20*MAX(0,D12-D14)</f>
        <v>49512</v>
      </c>
      <c r="E15" s="45" t="n">
        <f aca="false">Tax_Bands!E$18*MIN(E12,E13)+Tax_Bands!E$19*MAX(0,MIN(E12,E14)-E13)+Tax_Bands!E$20*MAX(0,E12-E14)</f>
        <v>53755.2</v>
      </c>
      <c r="F15" s="45" t="n">
        <f aca="false">Tax_Bands!F$18*MIN(F12,F13)+Tax_Bands!F$19*MAX(0,MIN(F12,F14)-F13)+Tax_Bands!F$20*MAX(0,F12-F14)</f>
        <v>55600.248</v>
      </c>
      <c r="G15" s="45" t="n">
        <f aca="false">Tax_Bands!G$18*MIN(G12,G13)+Tax_Bands!G$19*MAX(0,MIN(G12,G14)-G13)+Tax_Bands!G$20*MAX(0,G12-G14)</f>
        <v>57288.19296</v>
      </c>
      <c r="H15" s="45" t="n">
        <f aca="false">Tax_Bands!H$18*MIN(H12,H13)+Tax_Bands!H$19*MAX(0,MIN(H12,H14)-H13)+Tax_Bands!H$20*MAX(0,H12-H14)</f>
        <v>58433.9568192</v>
      </c>
      <c r="I15" s="45" t="n">
        <f aca="false">Tax_Bands!I$18*MIN(I12,I13)+Tax_Bands!I$19*MAX(0,MIN(I12,I14)-I13)+Tax_Bands!I$20*MAX(0,I12-I14)</f>
        <v>59602.635955584</v>
      </c>
      <c r="J15" s="45" t="n">
        <f aca="false">Tax_Bands!J$18*MIN(J12,J13)+Tax_Bands!J$19*MAX(0,MIN(J12,J14)-J13)+Tax_Bands!J$20*MAX(0,J12-J14)</f>
        <v>60794.6886746957</v>
      </c>
      <c r="K15" s="45" t="n">
        <f aca="false">Tax_Bands!K$18*MIN(K12,K13)+Tax_Bands!K$19*MAX(0,MIN(K12,K14)-K13)+Tax_Bands!K$20*MAX(0,K12-K14)</f>
        <v>62010.5824481896</v>
      </c>
      <c r="L15" s="45" t="n">
        <f aca="false">Tax_Bands!L$18*MIN(L12,L13)+Tax_Bands!L$19*MAX(0,MIN(L12,L14)-L13)+Tax_Bands!L$20*MAX(0,L12-L14)</f>
        <v>63250.7940971534</v>
      </c>
      <c r="M15" s="45" t="n">
        <f aca="false">Tax_Bands!M$18*MIN(M12,M13)+Tax_Bands!M$19*MAX(0,MIN(M12,M14)-M13)+Tax_Bands!M$20*MAX(0,M12-M14)</f>
        <v>64515.8099790965</v>
      </c>
      <c r="N15" s="45" t="n">
        <f aca="false">Tax_Bands!N$18*MIN(N12,N13)+Tax_Bands!N$19*MAX(0,MIN(N12,N14)-N13)+Tax_Bands!N$20*MAX(0,N12-N14)</f>
        <v>65806.1261786784</v>
      </c>
      <c r="O15" s="45" t="n">
        <f aca="false">Tax_Bands!O$18*MIN(O12,O13)+Tax_Bands!O$19*MAX(0,MIN(O12,O14)-O13)+Tax_Bands!O$20*MAX(0,O12-O14)</f>
        <v>67122.248702252</v>
      </c>
      <c r="P15" s="45" t="n">
        <f aca="false">Tax_Bands!P$18*MIN(P12,P13)+Tax_Bands!P$19*MAX(0,MIN(P12,P14)-P13)+Tax_Bands!P$20*MAX(0,P12-P14)</f>
        <v>68464.693676297</v>
      </c>
      <c r="Q15" s="45" t="n">
        <f aca="false">Tax_Bands!Q$18*MIN(Q12,Q13)+Tax_Bands!Q$19*MAX(0,MIN(Q12,Q14)-Q13)+Tax_Bands!Q$20*MAX(0,Q12-Q14)</f>
        <v>69833.987549823</v>
      </c>
      <c r="R15" s="45" t="n">
        <f aca="false">Tax_Bands!R$18*MIN(R12,R13)+Tax_Bands!R$19*MAX(0,MIN(R12,R14)-R13)+Tax_Bands!R$20*MAX(0,R12-R14)</f>
        <v>71230.6673008194</v>
      </c>
      <c r="S15" s="45" t="n">
        <f aca="false">Tax_Bands!S$18*MIN(S12,S13)+Tax_Bands!S$19*MAX(0,MIN(S12,S14)-S13)+Tax_Bands!S$20*MAX(0,S12-S14)</f>
        <v>72655.2806468358</v>
      </c>
      <c r="T15" s="45" t="n">
        <f aca="false">Tax_Bands!T$18*MIN(T12,T13)+Tax_Bands!T$19*MAX(0,MIN(T12,T14)-T13)+Tax_Bands!T$20*MAX(0,T12-T14)</f>
        <v>74108.3862597725</v>
      </c>
      <c r="U15" s="45" t="n">
        <f aca="false">Tax_Bands!U$18*MIN(U12,U13)+Tax_Bands!U$19*MAX(0,MIN(U12,U14)-U13)+Tax_Bands!U$20*MAX(0,U12-U14)</f>
        <v>75590.553984968</v>
      </c>
      <c r="V15" s="45" t="n">
        <f aca="false">Tax_Bands!V$18*MIN(V12,V13)+Tax_Bands!V$19*MAX(0,MIN(V12,V14)-V13)+Tax_Bands!V$20*MAX(0,V12-V14)</f>
        <v>77102.3650646674</v>
      </c>
      <c r="W15" s="45" t="n">
        <f aca="false">Tax_Bands!W$18*MIN(W12,W13)+Tax_Bands!W$19*MAX(0,MIN(W12,W14)-W13)+Tax_Bands!W$20*MAX(0,W12-W14)</f>
        <v>78644.4123659607</v>
      </c>
      <c r="X15" s="45" t="n">
        <f aca="false">Tax_Bands!X$18*MIN(X12,X13)+Tax_Bands!X$19*MAX(0,MIN(X12,X14)-X13)+Tax_Bands!X$20*MAX(0,X12-X14)</f>
        <v>80217.3006132799</v>
      </c>
      <c r="Y15" s="45" t="n">
        <f aca="false">Tax_Bands!Y$18*MIN(Y12,Y13)+Tax_Bands!Y$19*MAX(0,MIN(Y12,Y14)-Y13)+Tax_Bands!Y$20*MAX(0,Y12-Y14)</f>
        <v>81821.6466255455</v>
      </c>
      <c r="Z15" s="45" t="n">
        <f aca="false">Tax_Bands!Z$18*MIN(Z12,Z13)+Tax_Bands!Z$19*MAX(0,MIN(Z12,Z14)-Z13)+Tax_Bands!Z$20*MAX(0,Z12-Z14)</f>
        <v>83458.0795580564</v>
      </c>
      <c r="AA15" s="45" t="n">
        <f aca="false">Tax_Bands!AA$18*MIN(AA12,AA13)+Tax_Bands!AA$19*MAX(0,MIN(AA12,AA14)-AA13)+Tax_Bands!AA$20*MAX(0,AA12-AA14)</f>
        <v>85127.2411492176</v>
      </c>
      <c r="AB15" s="45" t="n">
        <f aca="false">Tax_Bands!AB$18*MIN(AB12,AB13)+Tax_Bands!AB$19*MAX(0,MIN(AB12,AB14)-AB13)+Tax_Bands!AB$20*MAX(0,AB12-AB14)</f>
        <v>86829.7859722019</v>
      </c>
      <c r="AC15" s="45" t="n">
        <f aca="false">Tax_Bands!AC$18*MIN(AC12,AC13)+Tax_Bands!AC$19*MAX(0,MIN(AC12,AC14)-AC13)+Tax_Bands!AC$20*MAX(0,AC12-AC14)</f>
        <v>88566.381691646</v>
      </c>
      <c r="AD15" s="45" t="n">
        <f aca="false">Tax_Bands!AD$18*MIN(AD12,AD13)+Tax_Bands!AD$19*MAX(0,MIN(AD12,AD14)-AD13)+Tax_Bands!AD$20*MAX(0,AD12-AD14)</f>
        <v>90337.7093254789</v>
      </c>
      <c r="AE15" s="45" t="n">
        <f aca="false">Tax_Bands!AE$18*MIN(AE12,AE13)+Tax_Bands!AE$19*MAX(0,MIN(AE12,AE14)-AE13)+Tax_Bands!AE$20*MAX(0,AE12-AE14)</f>
        <v>92144.4635119884</v>
      </c>
      <c r="AF15" s="45" t="n">
        <f aca="false">Tax_Bands!AF$18*MIN(AF12,AF13)+Tax_Bands!AF$19*MAX(0,MIN(AF12,AF14)-AF13)+Tax_Bands!AF$20*MAX(0,AF12-AF14)</f>
        <v>93987.3527822282</v>
      </c>
    </row>
    <row r="16" customFormat="false" ht="15" hidden="false" customHeight="true" outlineLevel="0" collapsed="false">
      <c r="B16" s="26" t="s">
        <v>274</v>
      </c>
      <c r="C16" s="45" t="n">
        <f aca="false">Tax_Bands!C$21*MAX(0,MIN(C8,Tax_Bands!C$12)-Tax_Bands!C$11)+Tax_Bands!C$22*MAX(0,C8-Tax_Bands!C$12)</f>
        <v>5410.6</v>
      </c>
      <c r="D16" s="45" t="n">
        <f aca="false">Tax_Bands!D$21*MAX(0,MIN(D8,Tax_Bands!D$12)-Tax_Bands!D$11)+Tax_Bands!D$22*MAX(0,D8-Tax_Bands!D$12)</f>
        <v>5546.6</v>
      </c>
      <c r="E16" s="45" t="n">
        <f aca="false">Tax_Bands!E$21*MAX(0,MIN(E8,Tax_Bands!E$12)-Tax_Bands!E$11)+Tax_Bands!E$22*MAX(0,E8-Tax_Bands!E$12)</f>
        <v>5688.04</v>
      </c>
      <c r="F16" s="45" t="n">
        <f aca="false">Tax_Bands!F$21*MAX(0,MIN(F8,Tax_Bands!F$12)-Tax_Bands!F$11)+Tax_Bands!F$22*MAX(0,F8-Tax_Bands!F$12)</f>
        <v>5761.5888</v>
      </c>
      <c r="G16" s="45" t="n">
        <f aca="false">Tax_Bands!G$21*MAX(0,MIN(G8,Tax_Bands!G$12)-Tax_Bands!G$11)+Tax_Bands!G$22*MAX(0,G8-Tax_Bands!G$12)</f>
        <v>5836.608576</v>
      </c>
      <c r="H16" s="45" t="n">
        <f aca="false">Tax_Bands!H$21*MAX(0,MIN(H8,Tax_Bands!H$12)-Tax_Bands!H$11)+Tax_Bands!H$22*MAX(0,H8-Tax_Bands!H$12)</f>
        <v>5953.34074752</v>
      </c>
      <c r="I16" s="45" t="n">
        <f aca="false">Tax_Bands!I$21*MAX(0,MIN(I8,Tax_Bands!I$12)-Tax_Bands!I$11)+Tax_Bands!I$22*MAX(0,I8-Tax_Bands!I$12)</f>
        <v>6072.4075624704</v>
      </c>
      <c r="J16" s="45" t="n">
        <f aca="false">Tax_Bands!J$21*MAX(0,MIN(J8,Tax_Bands!J$12)-Tax_Bands!J$11)+Tax_Bands!J$22*MAX(0,J8-Tax_Bands!J$12)</f>
        <v>6193.85571371981</v>
      </c>
      <c r="K16" s="45" t="n">
        <f aca="false">Tax_Bands!K$21*MAX(0,MIN(K8,Tax_Bands!K$12)-Tax_Bands!K$11)+Tax_Bands!K$22*MAX(0,K8-Tax_Bands!K$12)</f>
        <v>6317.73282799421</v>
      </c>
      <c r="L16" s="45" t="n">
        <f aca="false">Tax_Bands!L$21*MAX(0,MIN(L8,Tax_Bands!L$12)-Tax_Bands!L$11)+Tax_Bands!L$22*MAX(0,L8-Tax_Bands!L$12)</f>
        <v>6444.08748455409</v>
      </c>
      <c r="M16" s="45" t="n">
        <f aca="false">Tax_Bands!M$21*MAX(0,MIN(M8,Tax_Bands!M$12)-Tax_Bands!M$11)+Tax_Bands!M$22*MAX(0,M8-Tax_Bands!M$12)</f>
        <v>6572.96923424517</v>
      </c>
      <c r="N16" s="45" t="n">
        <f aca="false">Tax_Bands!N$21*MAX(0,MIN(N8,Tax_Bands!N$12)-Tax_Bands!N$11)+Tax_Bands!N$22*MAX(0,N8-Tax_Bands!N$12)</f>
        <v>6704.42861893008</v>
      </c>
      <c r="O16" s="45" t="n">
        <f aca="false">Tax_Bands!O$21*MAX(0,MIN(O8,Tax_Bands!O$12)-Tax_Bands!O$11)+Tax_Bands!O$22*MAX(0,O8-Tax_Bands!O$12)</f>
        <v>6838.51719130868</v>
      </c>
      <c r="P16" s="45" t="n">
        <f aca="false">Tax_Bands!P$21*MAX(0,MIN(P8,Tax_Bands!P$12)-Tax_Bands!P$11)+Tax_Bands!P$22*MAX(0,P8-Tax_Bands!P$12)</f>
        <v>6975.28753513485</v>
      </c>
      <c r="Q16" s="45" t="n">
        <f aca="false">Tax_Bands!Q$21*MAX(0,MIN(Q8,Tax_Bands!Q$12)-Tax_Bands!Q$11)+Tax_Bands!Q$22*MAX(0,Q8-Tax_Bands!Q$12)</f>
        <v>7114.79328583755</v>
      </c>
      <c r="R16" s="45" t="n">
        <f aca="false">Tax_Bands!R$21*MAX(0,MIN(R8,Tax_Bands!R$12)-Tax_Bands!R$11)+Tax_Bands!R$22*MAX(0,R8-Tax_Bands!R$12)</f>
        <v>7257.0891515543</v>
      </c>
      <c r="S16" s="45" t="n">
        <f aca="false">Tax_Bands!S$21*MAX(0,MIN(S8,Tax_Bands!S$12)-Tax_Bands!S$11)+Tax_Bands!S$22*MAX(0,S8-Tax_Bands!S$12)</f>
        <v>7402.23093458539</v>
      </c>
      <c r="T16" s="45" t="n">
        <f aca="false">Tax_Bands!T$21*MAX(0,MIN(T8,Tax_Bands!T$12)-Tax_Bands!T$11)+Tax_Bands!T$22*MAX(0,T8-Tax_Bands!T$12)</f>
        <v>7550.27555327709</v>
      </c>
      <c r="U16" s="45" t="n">
        <f aca="false">Tax_Bands!U$21*MAX(0,MIN(U8,Tax_Bands!U$12)-Tax_Bands!U$11)+Tax_Bands!U$22*MAX(0,U8-Tax_Bands!U$12)</f>
        <v>7701.28106434264</v>
      </c>
      <c r="V16" s="45" t="n">
        <f aca="false">Tax_Bands!V$21*MAX(0,MIN(V8,Tax_Bands!V$12)-Tax_Bands!V$11)+Tax_Bands!V$22*MAX(0,V8-Tax_Bands!V$12)</f>
        <v>7855.30668562949</v>
      </c>
      <c r="W16" s="45" t="n">
        <f aca="false">Tax_Bands!W$21*MAX(0,MIN(W8,Tax_Bands!W$12)-Tax_Bands!W$11)+Tax_Bands!W$22*MAX(0,W8-Tax_Bands!W$12)</f>
        <v>8012.41281934208</v>
      </c>
      <c r="X16" s="45" t="n">
        <f aca="false">Tax_Bands!X$21*MAX(0,MIN(X8,Tax_Bands!X$12)-Tax_Bands!X$11)+Tax_Bands!X$22*MAX(0,X8-Tax_Bands!X$12)</f>
        <v>8172.66107572892</v>
      </c>
      <c r="Y16" s="45" t="n">
        <f aca="false">Tax_Bands!Y$21*MAX(0,MIN(Y8,Tax_Bands!Y$12)-Tax_Bands!Y$11)+Tax_Bands!Y$22*MAX(0,Y8-Tax_Bands!Y$12)</f>
        <v>8336.1142972435</v>
      </c>
      <c r="Z16" s="45" t="n">
        <f aca="false">Tax_Bands!Z$21*MAX(0,MIN(Z8,Tax_Bands!Z$12)-Tax_Bands!Z$11)+Tax_Bands!Z$22*MAX(0,Z8-Tax_Bands!Z$12)</f>
        <v>8502.83658318837</v>
      </c>
      <c r="AA16" s="45" t="n">
        <f aca="false">Tax_Bands!AA$21*MAX(0,MIN(AA8,Tax_Bands!AA$12)-Tax_Bands!AA$11)+Tax_Bands!AA$22*MAX(0,AA8-Tax_Bands!AA$12)</f>
        <v>8672.89331485214</v>
      </c>
      <c r="AB16" s="45" t="n">
        <f aca="false">Tax_Bands!AB$21*MAX(0,MIN(AB8,Tax_Bands!AB$12)-Tax_Bands!AB$11)+Tax_Bands!AB$22*MAX(0,AB8-Tax_Bands!AB$12)</f>
        <v>8846.35118114918</v>
      </c>
      <c r="AC16" s="45" t="n">
        <f aca="false">Tax_Bands!AC$21*MAX(0,MIN(AC8,Tax_Bands!AC$12)-Tax_Bands!AC$11)+Tax_Bands!AC$22*MAX(0,AC8-Tax_Bands!AC$12)</f>
        <v>9023.27820477216</v>
      </c>
      <c r="AD16" s="45" t="n">
        <f aca="false">Tax_Bands!AD$21*MAX(0,MIN(AD8,Tax_Bands!AD$12)-Tax_Bands!AD$11)+Tax_Bands!AD$22*MAX(0,AD8-Tax_Bands!AD$12)</f>
        <v>9203.74376886761</v>
      </c>
      <c r="AE16" s="45" t="n">
        <f aca="false">Tax_Bands!AE$21*MAX(0,MIN(AE8,Tax_Bands!AE$12)-Tax_Bands!AE$11)+Tax_Bands!AE$22*MAX(0,AE8-Tax_Bands!AE$12)</f>
        <v>9387.81864424496</v>
      </c>
      <c r="AF16" s="45" t="n">
        <f aca="false">Tax_Bands!AF$21*MAX(0,MIN(AF8,Tax_Bands!AF$12)-Tax_Bands!AF$11)+Tax_Bands!AF$22*MAX(0,AF8-Tax_Bands!AF$12)</f>
        <v>9575.57501712986</v>
      </c>
    </row>
    <row r="17" customFormat="false" ht="15" hidden="false" customHeight="true" outlineLevel="0" collapsed="false">
      <c r="B17" s="24" t="s">
        <v>275</v>
      </c>
      <c r="C17" s="50" t="n">
        <f aca="false">C8-C15-C16</f>
        <v>119157.4</v>
      </c>
      <c r="D17" s="50" t="n">
        <f aca="false">D8-D15-D16</f>
        <v>121741.4</v>
      </c>
      <c r="E17" s="50" t="n">
        <f aca="false">E8-E15-E16</f>
        <v>124428.76</v>
      </c>
      <c r="F17" s="50" t="n">
        <f aca="false">F8-F15-F16</f>
        <v>126187.6032</v>
      </c>
      <c r="G17" s="50" t="n">
        <f aca="false">G8-G15-G16</f>
        <v>128175.627264</v>
      </c>
      <c r="H17" s="50" t="n">
        <f aca="false">H8-H15-H16</f>
        <v>130739.13980928</v>
      </c>
      <c r="I17" s="50" t="n">
        <f aca="false">I8-I15-I16</f>
        <v>133353.922605466</v>
      </c>
      <c r="J17" s="50" t="n">
        <f aca="false">J8-J15-J16</f>
        <v>136021.001057575</v>
      </c>
      <c r="K17" s="50" t="n">
        <f aca="false">K8-K15-K16</f>
        <v>138741.421078726</v>
      </c>
      <c r="L17" s="50" t="n">
        <f aca="false">L8-L15-L16</f>
        <v>141516.249500301</v>
      </c>
      <c r="M17" s="50" t="n">
        <f aca="false">M8-M15-M16</f>
        <v>144346.574490307</v>
      </c>
      <c r="N17" s="50" t="n">
        <f aca="false">N8-N15-N16</f>
        <v>147233.505980113</v>
      </c>
      <c r="O17" s="50" t="n">
        <f aca="false">O8-O15-O16</f>
        <v>150178.176099715</v>
      </c>
      <c r="P17" s="50" t="n">
        <f aca="false">P8-P15-P16</f>
        <v>153181.73962171</v>
      </c>
      <c r="Q17" s="50" t="n">
        <f aca="false">Q8-Q15-Q16</f>
        <v>156245.374414144</v>
      </c>
      <c r="R17" s="50" t="n">
        <f aca="false">R8-R15-R16</f>
        <v>159370.281902427</v>
      </c>
      <c r="S17" s="50" t="n">
        <f aca="false">S8-S15-S16</f>
        <v>162557.687540475</v>
      </c>
      <c r="T17" s="50" t="n">
        <f aca="false">T8-T15-T16</f>
        <v>165808.841291285</v>
      </c>
      <c r="U17" s="50" t="n">
        <f aca="false">U8-U15-U16</f>
        <v>169125.018117111</v>
      </c>
      <c r="V17" s="50" t="n">
        <f aca="false">V8-V15-V16</f>
        <v>172507.518479453</v>
      </c>
      <c r="W17" s="50" t="n">
        <f aca="false">W8-W15-W16</f>
        <v>175957.668849042</v>
      </c>
      <c r="X17" s="50" t="n">
        <f aca="false">X8-X15-X16</f>
        <v>179476.822226023</v>
      </c>
      <c r="Y17" s="50" t="n">
        <f aca="false">Y8-Y15-Y16</f>
        <v>183066.358670543</v>
      </c>
      <c r="Z17" s="50" t="n">
        <f aca="false">Z8-Z15-Z16</f>
        <v>186727.685843954</v>
      </c>
      <c r="AA17" s="50" t="n">
        <f aca="false">AA8-AA15-AA16</f>
        <v>190462.239560833</v>
      </c>
      <c r="AB17" s="50" t="n">
        <f aca="false">AB8-AB15-AB16</f>
        <v>194271.48435205</v>
      </c>
      <c r="AC17" s="50" t="n">
        <f aca="false">AC8-AC15-AC16</f>
        <v>198156.914039091</v>
      </c>
      <c r="AD17" s="50" t="n">
        <f aca="false">AD8-AD15-AD16</f>
        <v>202120.052319873</v>
      </c>
      <c r="AE17" s="50" t="n">
        <f aca="false">AE8-AE15-AE16</f>
        <v>206162.45336627</v>
      </c>
      <c r="AF17" s="50" t="n">
        <f aca="false">AF8-AF15-AF16</f>
        <v>210285.702433595</v>
      </c>
    </row>
    <row r="18" customFormat="false" ht="15" hidden="false" customHeight="true" outlineLevel="0" collapsed="false">
      <c r="B18" s="49" t="s">
        <v>276</v>
      </c>
      <c r="C18" s="36" t="n">
        <f aca="false">IF(C8=0,0,(C15+C16)/C8)</f>
        <v>0.299074117647059</v>
      </c>
      <c r="D18" s="36" t="n">
        <f aca="false">IF(D8=0,0,(D15+D16)/D8)</f>
        <v>0.31141742081448</v>
      </c>
      <c r="E18" s="36" t="n">
        <f aca="false">IF(E8=0,0,(E15+E16)/E8)</f>
        <v>0.323285981552384</v>
      </c>
      <c r="F18" s="36" t="n">
        <f aca="false">IF(F8=0,0,(F15+F16)/F8)</f>
        <v>0.327176859605659</v>
      </c>
      <c r="G18" s="36" t="n">
        <f aca="false">IF(G8=0,0,(G15+G16)/G8)</f>
        <v>0.329977313338882</v>
      </c>
      <c r="H18" s="36" t="n">
        <f aca="false">IF(H8=0,0,(H15+H16)/H8)</f>
        <v>0.329977313338882</v>
      </c>
      <c r="I18" s="36" t="n">
        <f aca="false">IF(I8=0,0,(I15+I16)/I8)</f>
        <v>0.329977313338882</v>
      </c>
      <c r="J18" s="36" t="n">
        <f aca="false">IF(J8=0,0,(J15+J16)/J8)</f>
        <v>0.329977313338882</v>
      </c>
      <c r="K18" s="36" t="n">
        <f aca="false">IF(K8=0,0,(K15+K16)/K8)</f>
        <v>0.329977313338882</v>
      </c>
      <c r="L18" s="36" t="n">
        <f aca="false">IF(L8=0,0,(L15+L16)/L8)</f>
        <v>0.329977313338882</v>
      </c>
      <c r="M18" s="36" t="n">
        <f aca="false">IF(M8=0,0,(M15+M16)/M8)</f>
        <v>0.329977313338882</v>
      </c>
      <c r="N18" s="36" t="n">
        <f aca="false">IF(N8=0,0,(N15+N16)/N8)</f>
        <v>0.329977313338882</v>
      </c>
      <c r="O18" s="36" t="n">
        <f aca="false">IF(O8=0,0,(O15+O16)/O8)</f>
        <v>0.329977313338882</v>
      </c>
      <c r="P18" s="36" t="n">
        <f aca="false">IF(P8=0,0,(P15+P16)/P8)</f>
        <v>0.329977313338882</v>
      </c>
      <c r="Q18" s="36" t="n">
        <f aca="false">IF(Q8=0,0,(Q15+Q16)/Q8)</f>
        <v>0.329977313338882</v>
      </c>
      <c r="R18" s="36" t="n">
        <f aca="false">IF(R8=0,0,(R15+R16)/R8)</f>
        <v>0.329977313338882</v>
      </c>
      <c r="S18" s="36" t="n">
        <f aca="false">IF(S8=0,0,(S15+S16)/S8)</f>
        <v>0.329977313338882</v>
      </c>
      <c r="T18" s="36" t="n">
        <f aca="false">IF(T8=0,0,(T15+T16)/T8)</f>
        <v>0.329977313338882</v>
      </c>
      <c r="U18" s="36" t="n">
        <f aca="false">IF(U8=0,0,(U15+U16)/U8)</f>
        <v>0.329977313338882</v>
      </c>
      <c r="V18" s="36" t="n">
        <f aca="false">IF(V8=0,0,(V15+V16)/V8)</f>
        <v>0.329977313338882</v>
      </c>
      <c r="W18" s="36" t="n">
        <f aca="false">IF(W8=0,0,(W15+W16)/W8)</f>
        <v>0.329977313338882</v>
      </c>
      <c r="X18" s="36" t="n">
        <f aca="false">IF(X8=0,0,(X15+X16)/X8)</f>
        <v>0.329977313338882</v>
      </c>
      <c r="Y18" s="36" t="n">
        <f aca="false">IF(Y8=0,0,(Y15+Y16)/Y8)</f>
        <v>0.329977313338882</v>
      </c>
      <c r="Z18" s="36" t="n">
        <f aca="false">IF(Z8=0,0,(Z15+Z16)/Z8)</f>
        <v>0.329977313338882</v>
      </c>
      <c r="AA18" s="36" t="n">
        <f aca="false">IF(AA8=0,0,(AA15+AA16)/AA8)</f>
        <v>0.329977313338882</v>
      </c>
      <c r="AB18" s="36" t="n">
        <f aca="false">IF(AB8=0,0,(AB15+AB16)/AB8)</f>
        <v>0.329977313338882</v>
      </c>
      <c r="AC18" s="36" t="n">
        <f aca="false">IF(AC8=0,0,(AC15+AC16)/AC8)</f>
        <v>0.329977313338882</v>
      </c>
      <c r="AD18" s="36" t="n">
        <f aca="false">IF(AD8=0,0,(AD15+AD16)/AD8)</f>
        <v>0.329977313338882</v>
      </c>
      <c r="AE18" s="36" t="n">
        <f aca="false">IF(AE8=0,0,(AE15+AE16)/AE8)</f>
        <v>0.329977313338882</v>
      </c>
      <c r="AF18" s="36" t="n">
        <f aca="false">IF(AF8=0,0,(AF15+AF16)/AF8)</f>
        <v>0.329977313338882</v>
      </c>
    </row>
    <row r="20" customFormat="false" ht="15" hidden="false" customHeight="true" outlineLevel="0" collapsed="false">
      <c r="B20" s="26" t="s">
        <v>277</v>
      </c>
      <c r="C20" s="45" t="n">
        <f aca="false">-C9</f>
        <v>-60000</v>
      </c>
      <c r="D20" s="45" t="n">
        <f aca="false">-D9</f>
        <v>-60000</v>
      </c>
      <c r="E20" s="45" t="n">
        <f aca="false">-E9</f>
        <v>-60000</v>
      </c>
      <c r="F20" s="45" t="n">
        <f aca="false">-F9</f>
        <v>-60000</v>
      </c>
      <c r="G20" s="45" t="n">
        <f aca="false">-G9</f>
        <v>-60000</v>
      </c>
      <c r="H20" s="45" t="n">
        <f aca="false">-H9</f>
        <v>-61200</v>
      </c>
      <c r="I20" s="45" t="n">
        <f aca="false">-I9</f>
        <v>-62424</v>
      </c>
      <c r="J20" s="45" t="n">
        <f aca="false">-J9</f>
        <v>-63672.48</v>
      </c>
      <c r="K20" s="45" t="n">
        <f aca="false">-K9</f>
        <v>-64945.9296</v>
      </c>
      <c r="L20" s="45" t="n">
        <f aca="false">-L9</f>
        <v>-66244.848192</v>
      </c>
      <c r="M20" s="45" t="n">
        <f aca="false">-M9</f>
        <v>-67569.74515584</v>
      </c>
      <c r="N20" s="45" t="n">
        <f aca="false">-N9</f>
        <v>-68921.1400589568</v>
      </c>
      <c r="O20" s="45" t="n">
        <f aca="false">-O9</f>
        <v>-70299.562860136</v>
      </c>
      <c r="P20" s="45" t="n">
        <f aca="false">-P9</f>
        <v>-71705.5541173387</v>
      </c>
      <c r="Q20" s="45" t="n">
        <f aca="false">-Q9</f>
        <v>-73139.6651996854</v>
      </c>
      <c r="R20" s="45" t="n">
        <f aca="false">-R9</f>
        <v>-74602.4585036792</v>
      </c>
      <c r="S20" s="45" t="n">
        <f aca="false">-S9</f>
        <v>-76094.5076737527</v>
      </c>
      <c r="T20" s="45" t="n">
        <f aca="false">-T9</f>
        <v>-77616.3978272278</v>
      </c>
      <c r="U20" s="45" t="n">
        <f aca="false">-U9</f>
        <v>-79168.7257837723</v>
      </c>
      <c r="V20" s="45" t="n">
        <f aca="false">-V9</f>
        <v>-80752.1002994478</v>
      </c>
      <c r="W20" s="45" t="n">
        <f aca="false">-W9</f>
        <v>-82367.1423054368</v>
      </c>
      <c r="X20" s="45" t="n">
        <f aca="false">-X9</f>
        <v>-84014.4851515455</v>
      </c>
      <c r="Y20" s="45" t="n">
        <f aca="false">-Y9</f>
        <v>-85694.7748545764</v>
      </c>
      <c r="Z20" s="45" t="n">
        <f aca="false">-Z9</f>
        <v>-87408.6703516679</v>
      </c>
      <c r="AA20" s="45" t="n">
        <f aca="false">-AA9</f>
        <v>-89156.8437587013</v>
      </c>
      <c r="AB20" s="45" t="n">
        <f aca="false">-AB9</f>
        <v>-90939.9806338753</v>
      </c>
      <c r="AC20" s="45" t="n">
        <f aca="false">-AC9</f>
        <v>-92758.7802465528</v>
      </c>
      <c r="AD20" s="45" t="n">
        <f aca="false">-AD9</f>
        <v>-94613.9558514839</v>
      </c>
      <c r="AE20" s="45" t="n">
        <f aca="false">-AE9</f>
        <v>-96506.2349685136</v>
      </c>
      <c r="AF20" s="45" t="n">
        <f aca="false">-AF9</f>
        <v>-98436.3596678838</v>
      </c>
    </row>
    <row r="21" customFormat="false" ht="15" hidden="false" customHeight="true" outlineLevel="0" collapsed="false">
      <c r="B21" s="26" t="s">
        <v>278</v>
      </c>
      <c r="C21" s="45" t="n">
        <f aca="false">-MIN(Tax_Bands!C$16,MAX(0,C17+C20))</f>
        <v>-20000</v>
      </c>
      <c r="D21" s="45" t="n">
        <f aca="false">-MIN(Tax_Bands!D$16,MAX(0,D17+D20))</f>
        <v>-20000</v>
      </c>
      <c r="E21" s="45" t="n">
        <f aca="false">-MIN(Tax_Bands!E$16,MAX(0,E17+E20))</f>
        <v>-20000</v>
      </c>
      <c r="F21" s="45" t="n">
        <f aca="false">-MIN(Tax_Bands!F$16,MAX(0,F17+F20))</f>
        <v>-20000</v>
      </c>
      <c r="G21" s="45" t="n">
        <f aca="false">-MIN(Tax_Bands!G$16,MAX(0,G17+G20))</f>
        <v>-20000</v>
      </c>
      <c r="H21" s="45" t="n">
        <f aca="false">-MIN(Tax_Bands!H$16,MAX(0,H17+H20))</f>
        <v>-20400</v>
      </c>
      <c r="I21" s="45" t="n">
        <f aca="false">-MIN(Tax_Bands!I$16,MAX(0,I17+I20))</f>
        <v>-20808</v>
      </c>
      <c r="J21" s="45" t="n">
        <f aca="false">-MIN(Tax_Bands!J$16,MAX(0,J17+J20))</f>
        <v>-21224.16</v>
      </c>
      <c r="K21" s="45" t="n">
        <f aca="false">-MIN(Tax_Bands!K$16,MAX(0,K17+K20))</f>
        <v>-21648.6432</v>
      </c>
      <c r="L21" s="45" t="n">
        <f aca="false">-MIN(Tax_Bands!L$16,MAX(0,L17+L20))</f>
        <v>-22081.616064</v>
      </c>
      <c r="M21" s="45" t="n">
        <f aca="false">-MIN(Tax_Bands!M$16,MAX(0,M17+M20))</f>
        <v>-22523.24838528</v>
      </c>
      <c r="N21" s="45" t="n">
        <f aca="false">-MIN(Tax_Bands!N$16,MAX(0,N17+N20))</f>
        <v>-22973.7133529856</v>
      </c>
      <c r="O21" s="45" t="n">
        <f aca="false">-MIN(Tax_Bands!O$16,MAX(0,O17+O20))</f>
        <v>-23433.1876200453</v>
      </c>
      <c r="P21" s="45" t="n">
        <f aca="false">-MIN(Tax_Bands!P$16,MAX(0,P17+P20))</f>
        <v>-23901.8513724462</v>
      </c>
      <c r="Q21" s="45" t="n">
        <f aca="false">-MIN(Tax_Bands!Q$16,MAX(0,Q17+Q20))</f>
        <v>-24379.8883998951</v>
      </c>
      <c r="R21" s="45" t="n">
        <f aca="false">-MIN(Tax_Bands!R$16,MAX(0,R17+R20))</f>
        <v>-24867.4861678931</v>
      </c>
      <c r="S21" s="45" t="n">
        <f aca="false">-MIN(Tax_Bands!S$16,MAX(0,S17+S20))</f>
        <v>-25364.8358912509</v>
      </c>
      <c r="T21" s="45" t="n">
        <f aca="false">-MIN(Tax_Bands!T$16,MAX(0,T17+T20))</f>
        <v>-25872.1326090759</v>
      </c>
      <c r="U21" s="45" t="n">
        <f aca="false">-MIN(Tax_Bands!U$16,MAX(0,U17+U20))</f>
        <v>-26389.5752612574</v>
      </c>
      <c r="V21" s="45" t="n">
        <f aca="false">-MIN(Tax_Bands!V$16,MAX(0,V17+V20))</f>
        <v>-26917.3667664826</v>
      </c>
      <c r="W21" s="45" t="n">
        <f aca="false">-MIN(Tax_Bands!W$16,MAX(0,W17+W20))</f>
        <v>-27455.7141018123</v>
      </c>
      <c r="X21" s="45" t="n">
        <f aca="false">-MIN(Tax_Bands!X$16,MAX(0,X17+X20))</f>
        <v>-28004.8283838485</v>
      </c>
      <c r="Y21" s="45" t="n">
        <f aca="false">-MIN(Tax_Bands!Y$16,MAX(0,Y17+Y20))</f>
        <v>-28564.9249515255</v>
      </c>
      <c r="Z21" s="45" t="n">
        <f aca="false">-MIN(Tax_Bands!Z$16,MAX(0,Z17+Z20))</f>
        <v>-29136.223450556</v>
      </c>
      <c r="AA21" s="45" t="n">
        <f aca="false">-MIN(Tax_Bands!AA$16,MAX(0,AA17+AA20))</f>
        <v>-29718.9479195671</v>
      </c>
      <c r="AB21" s="45" t="n">
        <f aca="false">-MIN(Tax_Bands!AB$16,MAX(0,AB17+AB20))</f>
        <v>-30313.3268779584</v>
      </c>
      <c r="AC21" s="45" t="n">
        <f aca="false">-MIN(Tax_Bands!AC$16,MAX(0,AC17+AC20))</f>
        <v>-30919.5934155176</v>
      </c>
      <c r="AD21" s="45" t="n">
        <f aca="false">-MIN(Tax_Bands!AD$16,MAX(0,AD17+AD20))</f>
        <v>-31537.985283828</v>
      </c>
      <c r="AE21" s="45" t="n">
        <f aca="false">-MIN(Tax_Bands!AE$16,MAX(0,AE17+AE20))</f>
        <v>-32168.7449895045</v>
      </c>
      <c r="AF21" s="45" t="n">
        <f aca="false">-MIN(Tax_Bands!AF$16,MAX(0,AF17+AF20))</f>
        <v>-32812.1198892946</v>
      </c>
    </row>
    <row r="22" customFormat="false" ht="15" hidden="false" customHeight="true" outlineLevel="0" collapsed="false">
      <c r="B22" s="24" t="s">
        <v>279</v>
      </c>
      <c r="C22" s="50" t="n">
        <f aca="false">C17+C20+C21</f>
        <v>39157.4</v>
      </c>
      <c r="D22" s="50" t="n">
        <f aca="false">D17+D20+D21</f>
        <v>41741.4</v>
      </c>
      <c r="E22" s="50" t="n">
        <f aca="false">E17+E20+E21</f>
        <v>44428.76</v>
      </c>
      <c r="F22" s="50" t="n">
        <f aca="false">F17+F20+F21</f>
        <v>46187.6032</v>
      </c>
      <c r="G22" s="50" t="n">
        <f aca="false">G17+G20+G21</f>
        <v>48175.627264</v>
      </c>
      <c r="H22" s="50" t="n">
        <f aca="false">H17+H20+H21</f>
        <v>49139.13980928</v>
      </c>
      <c r="I22" s="50" t="n">
        <f aca="false">I17+I20+I21</f>
        <v>50121.9226054656</v>
      </c>
      <c r="J22" s="50" t="n">
        <f aca="false">J17+J20+J21</f>
        <v>51124.3610575749</v>
      </c>
      <c r="K22" s="50" t="n">
        <f aca="false">K17+K20+K21</f>
        <v>52146.8482787264</v>
      </c>
      <c r="L22" s="50" t="n">
        <f aca="false">L17+L20+L21</f>
        <v>53189.7852443009</v>
      </c>
      <c r="M22" s="50" t="n">
        <f aca="false">M17+M20+M21</f>
        <v>54253.580949187</v>
      </c>
      <c r="N22" s="50" t="n">
        <f aca="false">N17+N20+N21</f>
        <v>55338.6525681707</v>
      </c>
      <c r="O22" s="50" t="n">
        <f aca="false">O17+O20+O21</f>
        <v>56445.4256195341</v>
      </c>
      <c r="P22" s="50" t="n">
        <f aca="false">P17+P20+P21</f>
        <v>57574.3341319248</v>
      </c>
      <c r="Q22" s="50" t="n">
        <f aca="false">Q17+Q20+Q21</f>
        <v>58725.8208145633</v>
      </c>
      <c r="R22" s="50" t="n">
        <f aca="false">R17+R20+R21</f>
        <v>59900.3372308546</v>
      </c>
      <c r="S22" s="50" t="n">
        <f aca="false">S17+S20+S21</f>
        <v>61098.3439754717</v>
      </c>
      <c r="T22" s="50" t="n">
        <f aca="false">T17+T20+T21</f>
        <v>62320.3108549811</v>
      </c>
      <c r="U22" s="50" t="n">
        <f aca="false">U17+U20+U21</f>
        <v>63566.7170720808</v>
      </c>
      <c r="V22" s="50" t="n">
        <f aca="false">V17+V20+V21</f>
        <v>64838.0514135224</v>
      </c>
      <c r="W22" s="50" t="n">
        <f aca="false">W17+W20+W21</f>
        <v>66134.8124417928</v>
      </c>
      <c r="X22" s="50" t="n">
        <f aca="false">X17+X20+X21</f>
        <v>67457.5086906287</v>
      </c>
      <c r="Y22" s="50" t="n">
        <f aca="false">Y17+Y20+Y21</f>
        <v>68806.6588644412</v>
      </c>
      <c r="Z22" s="50" t="n">
        <f aca="false">Z17+Z20+Z21</f>
        <v>70182.7920417301</v>
      </c>
      <c r="AA22" s="50" t="n">
        <f aca="false">AA17+AA20+AA21</f>
        <v>71586.4478825646</v>
      </c>
      <c r="AB22" s="50" t="n">
        <f aca="false">AB17+AB20+AB21</f>
        <v>73018.1768402159</v>
      </c>
      <c r="AC22" s="50" t="n">
        <f aca="false">AC17+AC20+AC21</f>
        <v>74478.5403770203</v>
      </c>
      <c r="AD22" s="50" t="n">
        <f aca="false">AD17+AD20+AD21</f>
        <v>75968.1111845607</v>
      </c>
      <c r="AE22" s="50" t="n">
        <f aca="false">AE17+AE20+AE21</f>
        <v>77487.4734082519</v>
      </c>
      <c r="AF22" s="50" t="n">
        <f aca="false">AF17+AF20+AF21</f>
        <v>79037.222876417</v>
      </c>
    </row>
    <row r="24" customFormat="false" ht="15" hidden="false" customHeight="true" outlineLevel="0" collapsed="false">
      <c r="A24" s="23" t="s">
        <v>280</v>
      </c>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row>
    <row r="25" customFormat="false" ht="15" hidden="false" customHeight="true" outlineLevel="0" collapsed="false">
      <c r="B25" s="26" t="s">
        <v>281</v>
      </c>
      <c r="C25" s="45" t="n">
        <f aca="false">Assumptions!$C$23</f>
        <v>480000</v>
      </c>
      <c r="D25" s="45" t="n">
        <f aca="false">C28</f>
        <v>588000</v>
      </c>
      <c r="E25" s="45" t="n">
        <f aca="false">D28</f>
        <v>706800</v>
      </c>
      <c r="F25" s="45" t="n">
        <f aca="false">E28</f>
        <v>837480</v>
      </c>
      <c r="G25" s="45" t="n">
        <f aca="false">F28</f>
        <v>981228</v>
      </c>
      <c r="H25" s="45" t="n">
        <f aca="false">G28</f>
        <v>1139350.8</v>
      </c>
      <c r="I25" s="45" t="n">
        <f aca="false">H28</f>
        <v>1314485.88</v>
      </c>
      <c r="J25" s="45" t="n">
        <f aca="false">I28</f>
        <v>1508358.468</v>
      </c>
      <c r="K25" s="45" t="n">
        <f aca="false">J28</f>
        <v>1722866.7948</v>
      </c>
      <c r="L25" s="45" t="n">
        <f aca="false">K28</f>
        <v>1960099.40388</v>
      </c>
      <c r="M25" s="45" t="n">
        <f aca="false">L28</f>
        <v>2222354.19246</v>
      </c>
      <c r="N25" s="45" t="n">
        <f aca="false">M28</f>
        <v>2512159.35686184</v>
      </c>
      <c r="O25" s="45" t="n">
        <f aca="false">N28</f>
        <v>2832296.43260698</v>
      </c>
      <c r="P25" s="45" t="n">
        <f aca="false">O28</f>
        <v>3185825.63872782</v>
      </c>
      <c r="Q25" s="45" t="n">
        <f aca="false">P28</f>
        <v>3576113.75671794</v>
      </c>
      <c r="R25" s="45" t="n">
        <f aca="false">Q28</f>
        <v>4006864.79758941</v>
      </c>
      <c r="S25" s="45" t="n">
        <f aca="false">R28</f>
        <v>4482153.73585204</v>
      </c>
      <c r="T25" s="45" t="n">
        <f aca="false">S28</f>
        <v>5006463.61711099</v>
      </c>
      <c r="U25" s="45" t="n">
        <f aca="false">T28</f>
        <v>5584726.37664932</v>
      </c>
      <c r="V25" s="45" t="n">
        <f aca="false">U28</f>
        <v>6222367.74009802</v>
      </c>
      <c r="W25" s="45" t="n">
        <f aca="false">V28</f>
        <v>6925356.61440727</v>
      </c>
      <c r="X25" s="45" t="n">
        <f aca="false">W28</f>
        <v>7700259.41815344</v>
      </c>
      <c r="Y25" s="45" t="n">
        <f aca="false">X28</f>
        <v>8554299.84512033</v>
      </c>
      <c r="Z25" s="45" t="n">
        <f aca="false">Y28</f>
        <v>9495424.60448694</v>
      </c>
      <c r="AA25" s="45" t="n">
        <f aca="false">Z28</f>
        <v>10532375.7352873</v>
      </c>
      <c r="AB25" s="45" t="n">
        <f aca="false">AA28</f>
        <v>11674770.1525747</v>
      </c>
      <c r="AC25" s="45" t="n">
        <f aca="false">AB28</f>
        <v>12933187.1484661</v>
      </c>
      <c r="AD25" s="45" t="n">
        <f aca="false">AC28</f>
        <v>14319264.6435592</v>
      </c>
      <c r="AE25" s="45" t="n">
        <f aca="false">AD28</f>
        <v>15845805.0637666</v>
      </c>
      <c r="AF25" s="45" t="n">
        <f aca="false">AE28</f>
        <v>17526891.8051118</v>
      </c>
    </row>
    <row r="26" customFormat="false" ht="15" hidden="false" customHeight="true" outlineLevel="0" collapsed="false">
      <c r="B26" s="49" t="s">
        <v>282</v>
      </c>
      <c r="C26" s="45" t="n">
        <f aca="false">C9</f>
        <v>60000</v>
      </c>
      <c r="D26" s="45" t="n">
        <f aca="false">D9</f>
        <v>60000</v>
      </c>
      <c r="E26" s="45" t="n">
        <f aca="false">E9</f>
        <v>60000</v>
      </c>
      <c r="F26" s="45" t="n">
        <f aca="false">F9</f>
        <v>60000</v>
      </c>
      <c r="G26" s="45" t="n">
        <f aca="false">G9</f>
        <v>60000</v>
      </c>
      <c r="H26" s="45" t="n">
        <f aca="false">H9</f>
        <v>61200</v>
      </c>
      <c r="I26" s="45" t="n">
        <f aca="false">I9</f>
        <v>62424</v>
      </c>
      <c r="J26" s="45" t="n">
        <f aca="false">J9</f>
        <v>63672.48</v>
      </c>
      <c r="K26" s="45" t="n">
        <f aca="false">K9</f>
        <v>64945.9296</v>
      </c>
      <c r="L26" s="45" t="n">
        <f aca="false">L9</f>
        <v>66244.848192</v>
      </c>
      <c r="M26" s="45" t="n">
        <f aca="false">M9</f>
        <v>67569.74515584</v>
      </c>
      <c r="N26" s="45" t="n">
        <f aca="false">N9</f>
        <v>68921.1400589568</v>
      </c>
      <c r="O26" s="45" t="n">
        <f aca="false">O9</f>
        <v>70299.562860136</v>
      </c>
      <c r="P26" s="45" t="n">
        <f aca="false">P9</f>
        <v>71705.5541173387</v>
      </c>
      <c r="Q26" s="45" t="n">
        <f aca="false">Q9</f>
        <v>73139.6651996854</v>
      </c>
      <c r="R26" s="45" t="n">
        <f aca="false">R9</f>
        <v>74602.4585036792</v>
      </c>
      <c r="S26" s="45" t="n">
        <f aca="false">S9</f>
        <v>76094.5076737527</v>
      </c>
      <c r="T26" s="45" t="n">
        <f aca="false">T9</f>
        <v>77616.3978272278</v>
      </c>
      <c r="U26" s="45" t="n">
        <f aca="false">U9</f>
        <v>79168.7257837723</v>
      </c>
      <c r="V26" s="45" t="n">
        <f aca="false">V9</f>
        <v>80752.1002994478</v>
      </c>
      <c r="W26" s="45" t="n">
        <f aca="false">W9</f>
        <v>82367.1423054368</v>
      </c>
      <c r="X26" s="45" t="n">
        <f aca="false">X9</f>
        <v>84014.4851515455</v>
      </c>
      <c r="Y26" s="45" t="n">
        <f aca="false">Y9</f>
        <v>85694.7748545764</v>
      </c>
      <c r="Z26" s="45" t="n">
        <f aca="false">Z9</f>
        <v>87408.6703516679</v>
      </c>
      <c r="AA26" s="45" t="n">
        <f aca="false">AA9</f>
        <v>89156.8437587013</v>
      </c>
      <c r="AB26" s="45" t="n">
        <f aca="false">AB9</f>
        <v>90939.9806338753</v>
      </c>
      <c r="AC26" s="45" t="n">
        <f aca="false">AC9</f>
        <v>92758.7802465528</v>
      </c>
      <c r="AD26" s="45" t="n">
        <f aca="false">AD9</f>
        <v>94613.9558514839</v>
      </c>
      <c r="AE26" s="45" t="n">
        <f aca="false">AE9</f>
        <v>96506.2349685136</v>
      </c>
      <c r="AF26" s="45" t="n">
        <f aca="false">AF9</f>
        <v>98436.3596678838</v>
      </c>
    </row>
    <row r="27" customFormat="false" ht="15" hidden="false" customHeight="true" outlineLevel="0" collapsed="false">
      <c r="B27" s="49" t="s">
        <v>283</v>
      </c>
      <c r="C27" s="45" t="n">
        <f aca="false">C25*Assumptions!$C$27</f>
        <v>48000</v>
      </c>
      <c r="D27" s="45" t="n">
        <f aca="false">D25*Assumptions!$C$27</f>
        <v>58800</v>
      </c>
      <c r="E27" s="45" t="n">
        <f aca="false">E25*Assumptions!$C$27</f>
        <v>70680</v>
      </c>
      <c r="F27" s="45" t="n">
        <f aca="false">F25*Assumptions!$C$27</f>
        <v>83748</v>
      </c>
      <c r="G27" s="45" t="n">
        <f aca="false">G25*Assumptions!$C$27</f>
        <v>98122.8</v>
      </c>
      <c r="H27" s="45" t="n">
        <f aca="false">H25*Assumptions!$C$27</f>
        <v>113935.08</v>
      </c>
      <c r="I27" s="45" t="n">
        <f aca="false">I25*Assumptions!$C$27</f>
        <v>131448.588</v>
      </c>
      <c r="J27" s="45" t="n">
        <f aca="false">J25*Assumptions!$C$27</f>
        <v>150835.8468</v>
      </c>
      <c r="K27" s="45" t="n">
        <f aca="false">K25*Assumptions!$C$27</f>
        <v>172286.67948</v>
      </c>
      <c r="L27" s="45" t="n">
        <f aca="false">L25*Assumptions!$C$27</f>
        <v>196009.940388</v>
      </c>
      <c r="M27" s="45" t="n">
        <f aca="false">M25*Assumptions!$C$27</f>
        <v>222235.419246</v>
      </c>
      <c r="N27" s="45" t="n">
        <f aca="false">N25*Assumptions!$C$27</f>
        <v>251215.935686184</v>
      </c>
      <c r="O27" s="45" t="n">
        <f aca="false">O25*Assumptions!$C$27</f>
        <v>283229.643260698</v>
      </c>
      <c r="P27" s="45" t="n">
        <f aca="false">P25*Assumptions!$C$27</f>
        <v>318582.563872782</v>
      </c>
      <c r="Q27" s="45" t="n">
        <f aca="false">Q25*Assumptions!$C$27</f>
        <v>357611.375671794</v>
      </c>
      <c r="R27" s="45" t="n">
        <f aca="false">R25*Assumptions!$C$27</f>
        <v>400686.479758942</v>
      </c>
      <c r="S27" s="45" t="n">
        <f aca="false">S25*Assumptions!$C$27</f>
        <v>448215.373585204</v>
      </c>
      <c r="T27" s="45" t="n">
        <f aca="false">T25*Assumptions!$C$27</f>
        <v>500646.361711099</v>
      </c>
      <c r="U27" s="45" t="n">
        <f aca="false">U25*Assumptions!$C$27</f>
        <v>558472.637664932</v>
      </c>
      <c r="V27" s="45" t="n">
        <f aca="false">V25*Assumptions!$C$27</f>
        <v>622236.774009802</v>
      </c>
      <c r="W27" s="45" t="n">
        <f aca="false">W25*Assumptions!$C$27</f>
        <v>692535.661440727</v>
      </c>
      <c r="X27" s="45" t="n">
        <f aca="false">X25*Assumptions!$C$27</f>
        <v>770025.941815344</v>
      </c>
      <c r="Y27" s="45" t="n">
        <f aca="false">Y25*Assumptions!$C$27</f>
        <v>855429.984512033</v>
      </c>
      <c r="Z27" s="45" t="n">
        <f aca="false">Z25*Assumptions!$C$27</f>
        <v>949542.460448694</v>
      </c>
      <c r="AA27" s="45" t="n">
        <f aca="false">AA25*Assumptions!$C$27</f>
        <v>1053237.57352873</v>
      </c>
      <c r="AB27" s="45" t="n">
        <f aca="false">AB25*Assumptions!$C$27</f>
        <v>1167477.01525747</v>
      </c>
      <c r="AC27" s="45" t="n">
        <f aca="false">AC25*Assumptions!$C$27</f>
        <v>1293318.71484661</v>
      </c>
      <c r="AD27" s="45" t="n">
        <f aca="false">AD25*Assumptions!$C$27</f>
        <v>1431926.46435592</v>
      </c>
      <c r="AE27" s="45" t="n">
        <f aca="false">AE25*Assumptions!$C$27</f>
        <v>1584580.50637666</v>
      </c>
      <c r="AF27" s="45" t="n">
        <f aca="false">AF25*Assumptions!$C$27</f>
        <v>1752689.18051118</v>
      </c>
    </row>
    <row r="28" customFormat="false" ht="15" hidden="false" customHeight="true" outlineLevel="0" collapsed="false">
      <c r="B28" s="24" t="s">
        <v>284</v>
      </c>
      <c r="C28" s="50" t="n">
        <f aca="false">C25+C26+C27</f>
        <v>588000</v>
      </c>
      <c r="D28" s="50" t="n">
        <f aca="false">D25+D26+D27</f>
        <v>706800</v>
      </c>
      <c r="E28" s="50" t="n">
        <f aca="false">E25+E26+E27</f>
        <v>837480</v>
      </c>
      <c r="F28" s="50" t="n">
        <f aca="false">F25+F26+F27</f>
        <v>981228</v>
      </c>
      <c r="G28" s="50" t="n">
        <f aca="false">G25+G26+G27</f>
        <v>1139350.8</v>
      </c>
      <c r="H28" s="50" t="n">
        <f aca="false">H25+H26+H27</f>
        <v>1314485.88</v>
      </c>
      <c r="I28" s="50" t="n">
        <f aca="false">I25+I26+I27</f>
        <v>1508358.468</v>
      </c>
      <c r="J28" s="50" t="n">
        <f aca="false">J25+J26+J27</f>
        <v>1722866.7948</v>
      </c>
      <c r="K28" s="50" t="n">
        <f aca="false">K25+K26+K27</f>
        <v>1960099.40388</v>
      </c>
      <c r="L28" s="50" t="n">
        <f aca="false">L25+L26+L27</f>
        <v>2222354.19246</v>
      </c>
      <c r="M28" s="50" t="n">
        <f aca="false">M25+M26+M27</f>
        <v>2512159.35686184</v>
      </c>
      <c r="N28" s="50" t="n">
        <f aca="false">N25+N26+N27</f>
        <v>2832296.43260698</v>
      </c>
      <c r="O28" s="50" t="n">
        <f aca="false">O25+O26+O27</f>
        <v>3185825.63872782</v>
      </c>
      <c r="P28" s="50" t="n">
        <f aca="false">P25+P26+P27</f>
        <v>3576113.75671794</v>
      </c>
      <c r="Q28" s="50" t="n">
        <f aca="false">Q25+Q26+Q27</f>
        <v>4006864.79758941</v>
      </c>
      <c r="R28" s="50" t="n">
        <f aca="false">R25+R26+R27</f>
        <v>4482153.73585204</v>
      </c>
      <c r="S28" s="50" t="n">
        <f aca="false">S25+S26+S27</f>
        <v>5006463.61711099</v>
      </c>
      <c r="T28" s="50" t="n">
        <f aca="false">T25+T26+T27</f>
        <v>5584726.37664932</v>
      </c>
      <c r="U28" s="50" t="n">
        <f aca="false">U25+U26+U27</f>
        <v>6222367.74009802</v>
      </c>
      <c r="V28" s="50" t="n">
        <f aca="false">V25+V26+V27</f>
        <v>6925356.61440727</v>
      </c>
      <c r="W28" s="50" t="n">
        <f aca="false">W25+W26+W27</f>
        <v>7700259.41815344</v>
      </c>
      <c r="X28" s="50" t="n">
        <f aca="false">X25+X26+X27</f>
        <v>8554299.84512033</v>
      </c>
      <c r="Y28" s="50" t="n">
        <f aca="false">Y25+Y26+Y27</f>
        <v>9495424.60448694</v>
      </c>
      <c r="Z28" s="50" t="n">
        <f aca="false">Z25+Z26+Z27</f>
        <v>10532375.7352873</v>
      </c>
      <c r="AA28" s="50" t="n">
        <f aca="false">AA25+AA26+AA27</f>
        <v>11674770.1525747</v>
      </c>
      <c r="AB28" s="50" t="n">
        <f aca="false">AB25+AB26+AB27</f>
        <v>12933187.1484661</v>
      </c>
      <c r="AC28" s="50" t="n">
        <f aca="false">AC25+AC26+AC27</f>
        <v>14319264.6435592</v>
      </c>
      <c r="AD28" s="50" t="n">
        <f aca="false">AD25+AD26+AD27</f>
        <v>15845805.0637666</v>
      </c>
      <c r="AE28" s="50" t="n">
        <f aca="false">AE25+AE26+AE27</f>
        <v>17526891.8051118</v>
      </c>
      <c r="AF28" s="50" t="n">
        <f aca="false">AF25+AF26+AF27</f>
        <v>19378017.3452909</v>
      </c>
    </row>
    <row r="30" customFormat="false" ht="15" hidden="false" customHeight="true" outlineLevel="0" collapsed="false">
      <c r="A30" s="23" t="s">
        <v>285</v>
      </c>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row>
    <row r="31" customFormat="false" ht="15" hidden="false" customHeight="true" outlineLevel="0" collapsed="false">
      <c r="B31" s="26" t="s">
        <v>281</v>
      </c>
      <c r="C31" s="45" t="n">
        <f aca="false">Assumptions!$C$22</f>
        <v>80000</v>
      </c>
      <c r="D31" s="45" t="n">
        <f aca="false">C35</f>
        <v>93305.7846153846</v>
      </c>
      <c r="E31" s="45" t="n">
        <f aca="false">D35</f>
        <v>107157.083110925</v>
      </c>
      <c r="F31" s="45" t="n">
        <f aca="false">E35</f>
        <v>126146.538312034</v>
      </c>
      <c r="G31" s="45" t="n">
        <f aca="false">F35</f>
        <v>155942.797822124</v>
      </c>
      <c r="H31" s="45" t="n">
        <f aca="false">G35</f>
        <v>189459.219106114</v>
      </c>
      <c r="I31" s="45" t="n">
        <f aca="false">H35</f>
        <v>226705.102311515</v>
      </c>
      <c r="J31" s="45" t="n">
        <f aca="false">I35</f>
        <v>268073.461257353</v>
      </c>
      <c r="K31" s="45" t="n">
        <f aca="false">J35</f>
        <v>313993.730924202</v>
      </c>
      <c r="L31" s="45" t="n">
        <f aca="false">K35</f>
        <v>367041.747216622</v>
      </c>
      <c r="M31" s="45" t="n">
        <f aca="false">L35</f>
        <v>425827.538002284</v>
      </c>
      <c r="N31" s="45" t="n">
        <f aca="false">M35</f>
        <v>490933.540187792</v>
      </c>
      <c r="O31" s="45" t="n">
        <f aca="false">N35</f>
        <v>563000.607559557</v>
      </c>
      <c r="P31" s="45" t="n">
        <f aca="false">O35</f>
        <v>642733.855935558</v>
      </c>
      <c r="Q31" s="45" t="n">
        <f aca="false">P35</f>
        <v>730909.09290156</v>
      </c>
      <c r="R31" s="45" t="n">
        <f aca="false">Q35</f>
        <v>828379.890591612</v>
      </c>
      <c r="S31" s="45" t="n">
        <f aca="false">R35</f>
        <v>936085.365818666</v>
      </c>
      <c r="T31" s="45" t="n">
        <f aca="false">S35</f>
        <v>1055058.73829178</v>
      </c>
      <c r="U31" s="45" t="n">
        <f aca="false">T35</f>
        <v>1186436.74473004</v>
      </c>
      <c r="V31" s="45" t="n">
        <f aca="false">U35</f>
        <v>1331469.9944643</v>
      </c>
      <c r="W31" s="45" t="n">
        <f aca="false">V35</f>
        <v>1491534.36067721</v>
      </c>
      <c r="X31" s="45" t="n">
        <f aca="false">W35</f>
        <v>1668143.51084674</v>
      </c>
      <c r="Y31" s="45" t="n">
        <f aca="false">X35</f>
        <v>1862962.69031527</v>
      </c>
      <c r="Z31" s="45" t="n">
        <f aca="false">Y35</f>
        <v>2077823.88429832</v>
      </c>
      <c r="AA31" s="45" t="n">
        <f aca="false">Z35</f>
        <v>2314742.49617871</v>
      </c>
      <c r="AB31" s="45" t="n">
        <f aca="false">AA35</f>
        <v>2575935.69371615</v>
      </c>
      <c r="AC31" s="45" t="n">
        <f aca="false">AB35</f>
        <v>2863842.58996572</v>
      </c>
      <c r="AD31" s="45" t="n">
        <f aca="false">AC35</f>
        <v>3181146.44237781</v>
      </c>
      <c r="AE31" s="45" t="n">
        <f aca="false">AD35</f>
        <v>3530799.07189942</v>
      </c>
      <c r="AF31" s="45" t="n">
        <f aca="false">AE35</f>
        <v>3916047.72407886</v>
      </c>
    </row>
    <row r="32" customFormat="false" ht="15" hidden="false" customHeight="true" outlineLevel="0" collapsed="false">
      <c r="B32" s="49" t="s">
        <v>282</v>
      </c>
      <c r="C32" s="45" t="n">
        <f aca="false">-C21</f>
        <v>20000</v>
      </c>
      <c r="D32" s="45" t="n">
        <f aca="false">-D21</f>
        <v>20000</v>
      </c>
      <c r="E32" s="45" t="n">
        <f aca="false">-E21</f>
        <v>20000</v>
      </c>
      <c r="F32" s="45" t="n">
        <f aca="false">-F21</f>
        <v>20000</v>
      </c>
      <c r="G32" s="45" t="n">
        <f aca="false">-G21</f>
        <v>20000</v>
      </c>
      <c r="H32" s="45" t="n">
        <f aca="false">-H21</f>
        <v>20400</v>
      </c>
      <c r="I32" s="45" t="n">
        <f aca="false">-I21</f>
        <v>20808</v>
      </c>
      <c r="J32" s="45" t="n">
        <f aca="false">-J21</f>
        <v>21224.16</v>
      </c>
      <c r="K32" s="45" t="n">
        <f aca="false">-K21</f>
        <v>21648.6432</v>
      </c>
      <c r="L32" s="45" t="n">
        <f aca="false">-L21</f>
        <v>22081.616064</v>
      </c>
      <c r="M32" s="45" t="n">
        <f aca="false">-M21</f>
        <v>22523.24838528</v>
      </c>
      <c r="N32" s="45" t="n">
        <f aca="false">-N21</f>
        <v>22973.7133529856</v>
      </c>
      <c r="O32" s="45" t="n">
        <f aca="false">-O21</f>
        <v>23433.1876200453</v>
      </c>
      <c r="P32" s="45" t="n">
        <f aca="false">-P21</f>
        <v>23901.8513724462</v>
      </c>
      <c r="Q32" s="45" t="n">
        <f aca="false">-Q21</f>
        <v>24379.8883998951</v>
      </c>
      <c r="R32" s="45" t="n">
        <f aca="false">-R21</f>
        <v>24867.4861678931</v>
      </c>
      <c r="S32" s="45" t="n">
        <f aca="false">-S21</f>
        <v>25364.8358912509</v>
      </c>
      <c r="T32" s="45" t="n">
        <f aca="false">-T21</f>
        <v>25872.1326090759</v>
      </c>
      <c r="U32" s="45" t="n">
        <f aca="false">-U21</f>
        <v>26389.5752612574</v>
      </c>
      <c r="V32" s="45" t="n">
        <f aca="false">-V21</f>
        <v>26917.3667664826</v>
      </c>
      <c r="W32" s="45" t="n">
        <f aca="false">-W21</f>
        <v>27455.7141018123</v>
      </c>
      <c r="X32" s="45" t="n">
        <f aca="false">-X21</f>
        <v>28004.8283838485</v>
      </c>
      <c r="Y32" s="45" t="n">
        <f aca="false">-Y21</f>
        <v>28564.9249515255</v>
      </c>
      <c r="Z32" s="45" t="n">
        <f aca="false">-Z21</f>
        <v>29136.223450556</v>
      </c>
      <c r="AA32" s="45" t="n">
        <f aca="false">-AA21</f>
        <v>29718.9479195671</v>
      </c>
      <c r="AB32" s="45" t="n">
        <f aca="false">-AB21</f>
        <v>30313.3268779584</v>
      </c>
      <c r="AC32" s="45" t="n">
        <f aca="false">-AC21</f>
        <v>30919.5934155176</v>
      </c>
      <c r="AD32" s="45" t="n">
        <f aca="false">-AD21</f>
        <v>31537.985283828</v>
      </c>
      <c r="AE32" s="45" t="n">
        <f aca="false">-AE21</f>
        <v>32168.7449895045</v>
      </c>
      <c r="AF32" s="45" t="n">
        <f aca="false">-AF21</f>
        <v>32812.1198892946</v>
      </c>
    </row>
    <row r="33" customFormat="false" ht="15" hidden="false" customHeight="true" outlineLevel="0" collapsed="false">
      <c r="B33" s="49" t="s">
        <v>283</v>
      </c>
      <c r="C33" s="45" t="n">
        <f aca="false">C31*Assumptions!$C$27</f>
        <v>8000</v>
      </c>
      <c r="D33" s="45" t="n">
        <f aca="false">D31*Assumptions!$C$27</f>
        <v>9330.57846153846</v>
      </c>
      <c r="E33" s="45" t="n">
        <f aca="false">E31*Assumptions!$C$27</f>
        <v>10715.7083110925</v>
      </c>
      <c r="F33" s="45" t="n">
        <f aca="false">F31*Assumptions!$C$27</f>
        <v>12614.6538312034</v>
      </c>
      <c r="G33" s="45" t="n">
        <f aca="false">G31*Assumptions!$C$27</f>
        <v>15594.2797822124</v>
      </c>
      <c r="H33" s="45" t="n">
        <f aca="false">H31*Assumptions!$C$27</f>
        <v>18945.9219106114</v>
      </c>
      <c r="I33" s="45" t="n">
        <f aca="false">I31*Assumptions!$C$27</f>
        <v>22670.5102311515</v>
      </c>
      <c r="J33" s="45" t="n">
        <f aca="false">J31*Assumptions!$C$27</f>
        <v>26807.3461257353</v>
      </c>
      <c r="K33" s="45" t="n">
        <f aca="false">K31*Assumptions!$C$27</f>
        <v>31399.3730924202</v>
      </c>
      <c r="L33" s="45" t="n">
        <f aca="false">L31*Assumptions!$C$27</f>
        <v>36704.1747216622</v>
      </c>
      <c r="M33" s="45" t="n">
        <f aca="false">M31*Assumptions!$C$27</f>
        <v>42582.7538002284</v>
      </c>
      <c r="N33" s="45" t="n">
        <f aca="false">N31*Assumptions!$C$27</f>
        <v>49093.3540187792</v>
      </c>
      <c r="O33" s="45" t="n">
        <f aca="false">O31*Assumptions!$C$27</f>
        <v>56300.0607559557</v>
      </c>
      <c r="P33" s="45" t="n">
        <f aca="false">P31*Assumptions!$C$27</f>
        <v>64273.3855935558</v>
      </c>
      <c r="Q33" s="45" t="n">
        <f aca="false">Q31*Assumptions!$C$27</f>
        <v>73090.909290156</v>
      </c>
      <c r="R33" s="45" t="n">
        <f aca="false">R31*Assumptions!$C$27</f>
        <v>82837.9890591612</v>
      </c>
      <c r="S33" s="45" t="n">
        <f aca="false">S31*Assumptions!$C$27</f>
        <v>93608.5365818666</v>
      </c>
      <c r="T33" s="45" t="n">
        <f aca="false">T31*Assumptions!$C$27</f>
        <v>105505.873829178</v>
      </c>
      <c r="U33" s="45" t="n">
        <f aca="false">U31*Assumptions!$C$27</f>
        <v>118643.674473004</v>
      </c>
      <c r="V33" s="45" t="n">
        <f aca="false">V31*Assumptions!$C$27</f>
        <v>133146.99944643</v>
      </c>
      <c r="W33" s="45" t="n">
        <f aca="false">W31*Assumptions!$C$27</f>
        <v>149153.436067721</v>
      </c>
      <c r="X33" s="45" t="n">
        <f aca="false">X31*Assumptions!$C$27</f>
        <v>166814.351084674</v>
      </c>
      <c r="Y33" s="45" t="n">
        <f aca="false">Y31*Assumptions!$C$27</f>
        <v>186296.269031527</v>
      </c>
      <c r="Z33" s="45" t="n">
        <f aca="false">Z31*Assumptions!$C$27</f>
        <v>207782.388429832</v>
      </c>
      <c r="AA33" s="45" t="n">
        <f aca="false">AA31*Assumptions!$C$27</f>
        <v>231474.249617871</v>
      </c>
      <c r="AB33" s="45" t="n">
        <f aca="false">AB31*Assumptions!$C$27</f>
        <v>257593.569371615</v>
      </c>
      <c r="AC33" s="45" t="n">
        <f aca="false">AC31*Assumptions!$C$27</f>
        <v>286384.258996572</v>
      </c>
      <c r="AD33" s="45" t="n">
        <f aca="false">AD31*Assumptions!$C$27</f>
        <v>318114.644237781</v>
      </c>
      <c r="AE33" s="45" t="n">
        <f aca="false">AE31*Assumptions!$C$27</f>
        <v>353079.907189942</v>
      </c>
      <c r="AF33" s="45" t="n">
        <f aca="false">AF31*Assumptions!$C$27</f>
        <v>391604.772407886</v>
      </c>
    </row>
    <row r="34" customFormat="false" ht="15" hidden="false" customHeight="true" outlineLevel="0" collapsed="false">
      <c r="B34" s="49" t="s">
        <v>286</v>
      </c>
      <c r="C34" s="51" t="n">
        <f aca="false">-Household_Base!C$46</f>
        <v>-14694.2153846154</v>
      </c>
      <c r="D34" s="51" t="n">
        <f aca="false">-Household_Base!D$46</f>
        <v>-15479.2799659977</v>
      </c>
      <c r="E34" s="51" t="n">
        <f aca="false">-Household_Base!E$46</f>
        <v>-11726.2531099843</v>
      </c>
      <c r="F34" s="51" t="n">
        <f aca="false">-Household_Base!F$46</f>
        <v>-2818.39432111322</v>
      </c>
      <c r="G34" s="51" t="n">
        <f aca="false">-Household_Base!G$46</f>
        <v>-2077.85849822236</v>
      </c>
      <c r="H34" s="51" t="n">
        <f aca="false">-Household_Base!H$46</f>
        <v>-2100.03870521032</v>
      </c>
      <c r="I34" s="51" t="n">
        <f aca="false">-Household_Base!I$46</f>
        <v>-2110.15128531371</v>
      </c>
      <c r="J34" s="51" t="n">
        <f aca="false">-Household_Base!J$46</f>
        <v>-2111.23645888618</v>
      </c>
      <c r="K34" s="51" t="n">
        <f aca="false">-Household_Base!K$46</f>
        <v>-0</v>
      </c>
      <c r="L34" s="51" t="n">
        <f aca="false">-Household_Base!L$46</f>
        <v>-0</v>
      </c>
      <c r="M34" s="51" t="n">
        <f aca="false">-Household_Base!M$46</f>
        <v>-0</v>
      </c>
      <c r="N34" s="51" t="n">
        <f aca="false">-Household_Base!N$46</f>
        <v>-0</v>
      </c>
      <c r="O34" s="51" t="n">
        <f aca="false">-Household_Base!O$46</f>
        <v>-0</v>
      </c>
      <c r="P34" s="51" t="n">
        <f aca="false">-Household_Base!P$46</f>
        <v>-0</v>
      </c>
      <c r="Q34" s="51" t="n">
        <f aca="false">-Household_Base!Q$46</f>
        <v>-0</v>
      </c>
      <c r="R34" s="51" t="n">
        <f aca="false">-Household_Base!R$46</f>
        <v>-0</v>
      </c>
      <c r="S34" s="51" t="n">
        <f aca="false">-Household_Base!S$46</f>
        <v>-0</v>
      </c>
      <c r="T34" s="51" t="n">
        <f aca="false">-Household_Base!T$46</f>
        <v>-0</v>
      </c>
      <c r="U34" s="51" t="n">
        <f aca="false">-Household_Base!U$46</f>
        <v>-0</v>
      </c>
      <c r="V34" s="51" t="n">
        <f aca="false">-Household_Base!V$46</f>
        <v>-0</v>
      </c>
      <c r="W34" s="51" t="n">
        <f aca="false">-Household_Base!W$46</f>
        <v>-0</v>
      </c>
      <c r="X34" s="51" t="n">
        <f aca="false">-Household_Base!X$46</f>
        <v>-0</v>
      </c>
      <c r="Y34" s="51" t="n">
        <f aca="false">-Household_Base!Y$46</f>
        <v>-0</v>
      </c>
      <c r="Z34" s="51" t="n">
        <f aca="false">-Household_Base!Z$46</f>
        <v>-0</v>
      </c>
      <c r="AA34" s="51" t="n">
        <f aca="false">-Household_Base!AA$46</f>
        <v>-0</v>
      </c>
      <c r="AB34" s="51" t="n">
        <f aca="false">-Household_Base!AB$46</f>
        <v>-0</v>
      </c>
      <c r="AC34" s="51" t="n">
        <f aca="false">-Household_Base!AC$46</f>
        <v>-0</v>
      </c>
      <c r="AD34" s="51" t="n">
        <f aca="false">-Household_Base!AD$46</f>
        <v>-0</v>
      </c>
      <c r="AE34" s="51" t="n">
        <f aca="false">-Household_Base!AE$46</f>
        <v>-0</v>
      </c>
      <c r="AF34" s="51" t="n">
        <f aca="false">-Household_Base!AF$46</f>
        <v>-0</v>
      </c>
    </row>
    <row r="35" customFormat="false" ht="15" hidden="false" customHeight="true" outlineLevel="0" collapsed="false">
      <c r="B35" s="24" t="s">
        <v>284</v>
      </c>
      <c r="C35" s="50" t="n">
        <f aca="false">MAX(0,C31+C32+C33+C34)</f>
        <v>93305.7846153846</v>
      </c>
      <c r="D35" s="50" t="n">
        <f aca="false">MAX(0,D31+D32+D33+D34)</f>
        <v>107157.083110925</v>
      </c>
      <c r="E35" s="50" t="n">
        <f aca="false">MAX(0,E31+E32+E33+E34)</f>
        <v>126146.538312034</v>
      </c>
      <c r="F35" s="50" t="n">
        <f aca="false">MAX(0,F31+F32+F33+F34)</f>
        <v>155942.797822124</v>
      </c>
      <c r="G35" s="50" t="n">
        <f aca="false">MAX(0,G31+G32+G33+G34)</f>
        <v>189459.219106114</v>
      </c>
      <c r="H35" s="50" t="n">
        <f aca="false">MAX(0,H31+H32+H33+H34)</f>
        <v>226705.102311515</v>
      </c>
      <c r="I35" s="50" t="n">
        <f aca="false">MAX(0,I31+I32+I33+I34)</f>
        <v>268073.461257353</v>
      </c>
      <c r="J35" s="50" t="n">
        <f aca="false">MAX(0,J31+J32+J33+J34)</f>
        <v>313993.730924202</v>
      </c>
      <c r="K35" s="50" t="n">
        <f aca="false">MAX(0,K31+K32+K33+K34)</f>
        <v>367041.747216622</v>
      </c>
      <c r="L35" s="50" t="n">
        <f aca="false">MAX(0,L31+L32+L33+L34)</f>
        <v>425827.538002284</v>
      </c>
      <c r="M35" s="50" t="n">
        <f aca="false">MAX(0,M31+M32+M33+M34)</f>
        <v>490933.540187792</v>
      </c>
      <c r="N35" s="50" t="n">
        <f aca="false">MAX(0,N31+N32+N33+N34)</f>
        <v>563000.607559557</v>
      </c>
      <c r="O35" s="50" t="n">
        <f aca="false">MAX(0,O31+O32+O33+O34)</f>
        <v>642733.855935558</v>
      </c>
      <c r="P35" s="50" t="n">
        <f aca="false">MAX(0,P31+P32+P33+P34)</f>
        <v>730909.09290156</v>
      </c>
      <c r="Q35" s="50" t="n">
        <f aca="false">MAX(0,Q31+Q32+Q33+Q34)</f>
        <v>828379.890591612</v>
      </c>
      <c r="R35" s="50" t="n">
        <f aca="false">MAX(0,R31+R32+R33+R34)</f>
        <v>936085.365818666</v>
      </c>
      <c r="S35" s="50" t="n">
        <f aca="false">MAX(0,S31+S32+S33+S34)</f>
        <v>1055058.73829178</v>
      </c>
      <c r="T35" s="50" t="n">
        <f aca="false">MAX(0,T31+T32+T33+T34)</f>
        <v>1186436.74473004</v>
      </c>
      <c r="U35" s="50" t="n">
        <f aca="false">MAX(0,U31+U32+U33+U34)</f>
        <v>1331469.9944643</v>
      </c>
      <c r="V35" s="50" t="n">
        <f aca="false">MAX(0,V31+V32+V33+V34)</f>
        <v>1491534.36067721</v>
      </c>
      <c r="W35" s="50" t="n">
        <f aca="false">MAX(0,W31+W32+W33+W34)</f>
        <v>1668143.51084674</v>
      </c>
      <c r="X35" s="50" t="n">
        <f aca="false">MAX(0,X31+X32+X33+X34)</f>
        <v>1862962.69031527</v>
      </c>
      <c r="Y35" s="50" t="n">
        <f aca="false">MAX(0,Y31+Y32+Y33+Y34)</f>
        <v>2077823.88429832</v>
      </c>
      <c r="Z35" s="50" t="n">
        <f aca="false">MAX(0,Z31+Z32+Z33+Z34)</f>
        <v>2314742.49617871</v>
      </c>
      <c r="AA35" s="50" t="n">
        <f aca="false">MAX(0,AA31+AA32+AA33+AA34)</f>
        <v>2575935.69371615</v>
      </c>
      <c r="AB35" s="50" t="n">
        <f aca="false">MAX(0,AB31+AB32+AB33+AB34)</f>
        <v>2863842.58996572</v>
      </c>
      <c r="AC35" s="50" t="n">
        <f aca="false">MAX(0,AC31+AC32+AC33+AC34)</f>
        <v>3181146.44237781</v>
      </c>
      <c r="AD35" s="50" t="n">
        <f aca="false">MAX(0,AD31+AD32+AD33+AD34)</f>
        <v>3530799.07189942</v>
      </c>
      <c r="AE35" s="50" t="n">
        <f aca="false">MAX(0,AE31+AE32+AE33+AE34)</f>
        <v>3916047.72407886</v>
      </c>
      <c r="AF35" s="50" t="n">
        <f aca="false">MAX(0,AF31+AF32+AF33+AF34)</f>
        <v>4340464.61637604</v>
      </c>
    </row>
    <row r="37" customFormat="false" ht="15" hidden="false" customHeight="true" outlineLevel="0" collapsed="false">
      <c r="A37" s="23" t="s">
        <v>287</v>
      </c>
      <c r="B37" s="23"/>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row>
    <row r="38" customFormat="false" ht="15" hidden="false" customHeight="true" outlineLevel="0" collapsed="false">
      <c r="B38" s="49" t="s">
        <v>288</v>
      </c>
    </row>
    <row r="39" customFormat="false" ht="15" hidden="false" customHeight="true" outlineLevel="0" collapsed="false">
      <c r="B39" s="49" t="s">
        <v>289</v>
      </c>
      <c r="C39" s="45" t="n">
        <f aca="false">MAX(0,Tax_Bands!C$7-MAX(0,C8-Tax_Bands!C$8)/2)</f>
        <v>0</v>
      </c>
      <c r="D39" s="45" t="n">
        <f aca="false">MAX(0,Tax_Bands!D$7-MAX(0,D8-Tax_Bands!D$8)/2)</f>
        <v>0</v>
      </c>
      <c r="E39" s="45" t="n">
        <f aca="false">MAX(0,Tax_Bands!E$7-MAX(0,E8-Tax_Bands!E$8)/2)</f>
        <v>0</v>
      </c>
      <c r="F39" s="45" t="n">
        <f aca="false">MAX(0,Tax_Bands!F$7-MAX(0,F8-Tax_Bands!F$8)/2)</f>
        <v>0</v>
      </c>
      <c r="G39" s="45" t="n">
        <f aca="false">MAX(0,Tax_Bands!G$7-MAX(0,G8-Tax_Bands!G$8)/2)</f>
        <v>0</v>
      </c>
      <c r="H39" s="45" t="n">
        <f aca="false">MAX(0,Tax_Bands!H$7-MAX(0,H8-Tax_Bands!H$8)/2)</f>
        <v>0</v>
      </c>
      <c r="I39" s="45" t="n">
        <f aca="false">MAX(0,Tax_Bands!I$7-MAX(0,I8-Tax_Bands!I$8)/2)</f>
        <v>0</v>
      </c>
      <c r="J39" s="45" t="n">
        <f aca="false">MAX(0,Tax_Bands!J$7-MAX(0,J8-Tax_Bands!J$8)/2)</f>
        <v>0</v>
      </c>
      <c r="K39" s="45" t="n">
        <f aca="false">MAX(0,Tax_Bands!K$7-MAX(0,K8-Tax_Bands!K$8)/2)</f>
        <v>0</v>
      </c>
      <c r="L39" s="45" t="n">
        <f aca="false">MAX(0,Tax_Bands!L$7-MAX(0,L8-Tax_Bands!L$8)/2)</f>
        <v>0</v>
      </c>
      <c r="M39" s="45" t="n">
        <f aca="false">MAX(0,Tax_Bands!M$7-MAX(0,M8-Tax_Bands!M$8)/2)</f>
        <v>0</v>
      </c>
      <c r="N39" s="45" t="n">
        <f aca="false">MAX(0,Tax_Bands!N$7-MAX(0,N8-Tax_Bands!N$8)/2)</f>
        <v>0</v>
      </c>
      <c r="O39" s="45" t="n">
        <f aca="false">MAX(0,Tax_Bands!O$7-MAX(0,O8-Tax_Bands!O$8)/2)</f>
        <v>0</v>
      </c>
      <c r="P39" s="45" t="n">
        <f aca="false">MAX(0,Tax_Bands!P$7-MAX(0,P8-Tax_Bands!P$8)/2)</f>
        <v>0</v>
      </c>
      <c r="Q39" s="45" t="n">
        <f aca="false">MAX(0,Tax_Bands!Q$7-MAX(0,Q8-Tax_Bands!Q$8)/2)</f>
        <v>0</v>
      </c>
      <c r="R39" s="45" t="n">
        <f aca="false">MAX(0,Tax_Bands!R$7-MAX(0,R8-Tax_Bands!R$8)/2)</f>
        <v>0</v>
      </c>
      <c r="S39" s="45" t="n">
        <f aca="false">MAX(0,Tax_Bands!S$7-MAX(0,S8-Tax_Bands!S$8)/2)</f>
        <v>0</v>
      </c>
      <c r="T39" s="45" t="n">
        <f aca="false">MAX(0,Tax_Bands!T$7-MAX(0,T8-Tax_Bands!T$8)/2)</f>
        <v>0</v>
      </c>
      <c r="U39" s="45" t="n">
        <f aca="false">MAX(0,Tax_Bands!U$7-MAX(0,U8-Tax_Bands!U$8)/2)</f>
        <v>0</v>
      </c>
      <c r="V39" s="45" t="n">
        <f aca="false">MAX(0,Tax_Bands!V$7-MAX(0,V8-Tax_Bands!V$8)/2)</f>
        <v>0</v>
      </c>
      <c r="W39" s="45" t="n">
        <f aca="false">MAX(0,Tax_Bands!W$7-MAX(0,W8-Tax_Bands!W$8)/2)</f>
        <v>0</v>
      </c>
      <c r="X39" s="45" t="n">
        <f aca="false">MAX(0,Tax_Bands!X$7-MAX(0,X8-Tax_Bands!X$8)/2)</f>
        <v>0</v>
      </c>
      <c r="Y39" s="45" t="n">
        <f aca="false">MAX(0,Tax_Bands!Y$7-MAX(0,Y8-Tax_Bands!Y$8)/2)</f>
        <v>0</v>
      </c>
      <c r="Z39" s="45" t="n">
        <f aca="false">MAX(0,Tax_Bands!Z$7-MAX(0,Z8-Tax_Bands!Z$8)/2)</f>
        <v>0</v>
      </c>
      <c r="AA39" s="45" t="n">
        <f aca="false">MAX(0,Tax_Bands!AA$7-MAX(0,AA8-Tax_Bands!AA$8)/2)</f>
        <v>0</v>
      </c>
      <c r="AB39" s="45" t="n">
        <f aca="false">MAX(0,Tax_Bands!AB$7-MAX(0,AB8-Tax_Bands!AB$8)/2)</f>
        <v>0</v>
      </c>
      <c r="AC39" s="45" t="n">
        <f aca="false">MAX(0,Tax_Bands!AC$7-MAX(0,AC8-Tax_Bands!AC$8)/2)</f>
        <v>0</v>
      </c>
      <c r="AD39" s="45" t="n">
        <f aca="false">MAX(0,Tax_Bands!AD$7-MAX(0,AD8-Tax_Bands!AD$8)/2)</f>
        <v>0</v>
      </c>
      <c r="AE39" s="45" t="n">
        <f aca="false">MAX(0,Tax_Bands!AE$7-MAX(0,AE8-Tax_Bands!AE$8)/2)</f>
        <v>0</v>
      </c>
      <c r="AF39" s="45" t="n">
        <f aca="false">MAX(0,Tax_Bands!AF$7-MAX(0,AF8-Tax_Bands!AF$8)/2)</f>
        <v>0</v>
      </c>
    </row>
    <row r="40" customFormat="false" ht="15" hidden="false" customHeight="true" outlineLevel="0" collapsed="false">
      <c r="B40" s="49" t="s">
        <v>290</v>
      </c>
      <c r="C40" s="45" t="n">
        <f aca="false">MAX(0,C8-C39)</f>
        <v>170000</v>
      </c>
      <c r="D40" s="45" t="n">
        <f aca="false">MAX(0,D8-D39)</f>
        <v>176800</v>
      </c>
      <c r="E40" s="45" t="n">
        <f aca="false">MAX(0,E8-E39)</f>
        <v>183872</v>
      </c>
      <c r="F40" s="45" t="n">
        <f aca="false">MAX(0,F8-F39)</f>
        <v>187549.44</v>
      </c>
      <c r="G40" s="45" t="n">
        <f aca="false">MAX(0,G8-G39)</f>
        <v>191300.4288</v>
      </c>
      <c r="H40" s="45" t="n">
        <f aca="false">MAX(0,H8-H39)</f>
        <v>195126.437376</v>
      </c>
      <c r="I40" s="45" t="n">
        <f aca="false">MAX(0,I8-I39)</f>
        <v>199028.96612352</v>
      </c>
      <c r="J40" s="45" t="n">
        <f aca="false">MAX(0,J8-J39)</f>
        <v>203009.54544599</v>
      </c>
      <c r="K40" s="45" t="n">
        <f aca="false">MAX(0,K8-K39)</f>
        <v>207069.73635491</v>
      </c>
      <c r="L40" s="45" t="n">
        <f aca="false">MAX(0,L8-L39)</f>
        <v>211211.131082008</v>
      </c>
      <c r="M40" s="45" t="n">
        <f aca="false">MAX(0,M8-M39)</f>
        <v>215435.353703649</v>
      </c>
      <c r="N40" s="45" t="n">
        <f aca="false">MAX(0,N8-N39)</f>
        <v>219744.060777722</v>
      </c>
      <c r="O40" s="45" t="n">
        <f aca="false">MAX(0,O8-O39)</f>
        <v>224138.941993276</v>
      </c>
      <c r="P40" s="45" t="n">
        <f aca="false">MAX(0,P8-P39)</f>
        <v>228621.720833142</v>
      </c>
      <c r="Q40" s="45" t="n">
        <f aca="false">MAX(0,Q8-Q39)</f>
        <v>233194.155249804</v>
      </c>
      <c r="R40" s="45" t="n">
        <f aca="false">MAX(0,R8-R39)</f>
        <v>237858.038354801</v>
      </c>
      <c r="S40" s="45" t="n">
        <f aca="false">MAX(0,S8-S39)</f>
        <v>242615.199121897</v>
      </c>
      <c r="T40" s="45" t="n">
        <f aca="false">MAX(0,T8-T39)</f>
        <v>247467.503104334</v>
      </c>
      <c r="U40" s="45" t="n">
        <f aca="false">MAX(0,U8-U39)</f>
        <v>252416.853166421</v>
      </c>
      <c r="V40" s="45" t="n">
        <f aca="false">MAX(0,V8-V39)</f>
        <v>257465.19022975</v>
      </c>
      <c r="W40" s="45" t="n">
        <f aca="false">MAX(0,W8-W39)</f>
        <v>262614.494034345</v>
      </c>
      <c r="X40" s="45" t="n">
        <f aca="false">MAX(0,X8-X39)</f>
        <v>267866.783915031</v>
      </c>
      <c r="Y40" s="45" t="n">
        <f aca="false">MAX(0,Y8-Y39)</f>
        <v>273224.119593332</v>
      </c>
      <c r="Z40" s="45" t="n">
        <f aca="false">MAX(0,Z8-Z39)</f>
        <v>278688.601985199</v>
      </c>
      <c r="AA40" s="45" t="n">
        <f aca="false">MAX(0,AA8-AA39)</f>
        <v>284262.374024903</v>
      </c>
      <c r="AB40" s="45" t="n">
        <f aca="false">MAX(0,AB8-AB39)</f>
        <v>289947.621505401</v>
      </c>
      <c r="AC40" s="45" t="n">
        <f aca="false">MAX(0,AC8-AC39)</f>
        <v>295746.573935509</v>
      </c>
      <c r="AD40" s="45" t="n">
        <f aca="false">MAX(0,AD8-AD39)</f>
        <v>301661.505414219</v>
      </c>
      <c r="AE40" s="45" t="n">
        <f aca="false">MAX(0,AE8-AE39)</f>
        <v>307694.735522503</v>
      </c>
      <c r="AF40" s="45" t="n">
        <f aca="false">MAX(0,AF8-AF39)</f>
        <v>313848.630232953</v>
      </c>
    </row>
    <row r="41" customFormat="false" ht="15" hidden="false" customHeight="true" outlineLevel="0" collapsed="false">
      <c r="B41" s="49" t="s">
        <v>291</v>
      </c>
      <c r="C41" s="45" t="n">
        <f aca="false">Tax_Bands!C$18*MIN(C40,Tax_Bands!C$9)+Tax_Bands!C$19*MAX(0,MIN(C40,Tax_Bands!C$10)-Tax_Bands!C$9)+Tax_Bands!C$20*MAX(0,C40-Tax_Bands!C$10)</f>
        <v>62703</v>
      </c>
      <c r="D41" s="45" t="n">
        <f aca="false">Tax_Bands!D$18*MIN(D40,Tax_Bands!D$9)+Tax_Bands!D$19*MAX(0,MIN(D40,Tax_Bands!D$10)-Tax_Bands!D$9)+Tax_Bands!D$20*MAX(0,D40-Tax_Bands!D$10)</f>
        <v>65763</v>
      </c>
      <c r="E41" s="45" t="n">
        <f aca="false">Tax_Bands!E$18*MIN(E40,Tax_Bands!E$9)+Tax_Bands!E$19*MAX(0,MIN(E40,Tax_Bands!E$10)-Tax_Bands!E$9)+Tax_Bands!E$20*MAX(0,E40-Tax_Bands!E$10)</f>
        <v>68945.4</v>
      </c>
      <c r="F41" s="45" t="n">
        <f aca="false">Tax_Bands!F$18*MIN(F40,Tax_Bands!F$9)+Tax_Bands!F$19*MAX(0,MIN(F40,Tax_Bands!F$10)-Tax_Bands!F$9)+Tax_Bands!F$20*MAX(0,F40-Tax_Bands!F$10)</f>
        <v>70600.248</v>
      </c>
      <c r="G41" s="45" t="n">
        <f aca="false">Tax_Bands!G$18*MIN(G40,Tax_Bands!G$9)+Tax_Bands!G$19*MAX(0,MIN(G40,Tax_Bands!G$10)-Tax_Bands!G$9)+Tax_Bands!G$20*MAX(0,G40-Tax_Bands!G$10)</f>
        <v>72288.19296</v>
      </c>
      <c r="H41" s="45" t="n">
        <f aca="false">Tax_Bands!H$18*MIN(H40,Tax_Bands!H$9)+Tax_Bands!H$19*MAX(0,MIN(H40,Tax_Bands!H$10)-Tax_Bands!H$9)+Tax_Bands!H$20*MAX(0,H40-Tax_Bands!H$10)</f>
        <v>73733.9568192</v>
      </c>
      <c r="I41" s="45" t="n">
        <f aca="false">Tax_Bands!I$18*MIN(I40,Tax_Bands!I$9)+Tax_Bands!I$19*MAX(0,MIN(I40,Tax_Bands!I$10)-Tax_Bands!I$9)+Tax_Bands!I$20*MAX(0,I40-Tax_Bands!I$10)</f>
        <v>75208.635955584</v>
      </c>
      <c r="J41" s="45" t="n">
        <f aca="false">Tax_Bands!J$18*MIN(J40,Tax_Bands!J$9)+Tax_Bands!J$19*MAX(0,MIN(J40,Tax_Bands!J$10)-Tax_Bands!J$9)+Tax_Bands!J$20*MAX(0,J40-Tax_Bands!J$10)</f>
        <v>76712.8086746957</v>
      </c>
      <c r="K41" s="45" t="n">
        <f aca="false">Tax_Bands!K$18*MIN(K40,Tax_Bands!K$9)+Tax_Bands!K$19*MAX(0,MIN(K40,Tax_Bands!K$10)-Tax_Bands!K$9)+Tax_Bands!K$20*MAX(0,K40-Tax_Bands!K$10)</f>
        <v>78247.0648481896</v>
      </c>
      <c r="L41" s="45" t="n">
        <f aca="false">Tax_Bands!L$18*MIN(L40,Tax_Bands!L$9)+Tax_Bands!L$19*MAX(0,MIN(L40,Tax_Bands!L$10)-Tax_Bands!L$9)+Tax_Bands!L$20*MAX(0,L40-Tax_Bands!L$10)</f>
        <v>79812.0061451534</v>
      </c>
      <c r="M41" s="45" t="n">
        <f aca="false">Tax_Bands!M$18*MIN(M40,Tax_Bands!M$9)+Tax_Bands!M$19*MAX(0,MIN(M40,Tax_Bands!M$10)-Tax_Bands!M$9)+Tax_Bands!M$20*MAX(0,M40-Tax_Bands!M$10)</f>
        <v>81408.2462680565</v>
      </c>
      <c r="N41" s="45" t="n">
        <f aca="false">Tax_Bands!N$18*MIN(N40,Tax_Bands!N$9)+Tax_Bands!N$19*MAX(0,MIN(N40,Tax_Bands!N$10)-Tax_Bands!N$9)+Tax_Bands!N$20*MAX(0,N40-Tax_Bands!N$10)</f>
        <v>83036.4111934176</v>
      </c>
      <c r="O41" s="45" t="n">
        <f aca="false">Tax_Bands!O$18*MIN(O40,Tax_Bands!O$9)+Tax_Bands!O$19*MAX(0,MIN(O40,Tax_Bands!O$10)-Tax_Bands!O$9)+Tax_Bands!O$20*MAX(0,O40-Tax_Bands!O$10)</f>
        <v>84697.139417286</v>
      </c>
      <c r="P41" s="45" t="n">
        <f aca="false">Tax_Bands!P$18*MIN(P40,Tax_Bands!P$9)+Tax_Bands!P$19*MAX(0,MIN(P40,Tax_Bands!P$10)-Tax_Bands!P$9)+Tax_Bands!P$20*MAX(0,P40-Tax_Bands!P$10)</f>
        <v>86391.0822056317</v>
      </c>
      <c r="Q41" s="45" t="n">
        <f aca="false">Tax_Bands!Q$18*MIN(Q40,Tax_Bands!Q$9)+Tax_Bands!Q$19*MAX(0,MIN(Q40,Tax_Bands!Q$10)-Tax_Bands!Q$9)+Tax_Bands!Q$20*MAX(0,Q40-Tax_Bands!Q$10)</f>
        <v>88118.9038497443</v>
      </c>
      <c r="R41" s="45" t="n">
        <f aca="false">Tax_Bands!R$18*MIN(R40,Tax_Bands!R$9)+Tax_Bands!R$19*MAX(0,MIN(R40,Tax_Bands!R$10)-Tax_Bands!R$9)+Tax_Bands!R$20*MAX(0,R40-Tax_Bands!R$10)</f>
        <v>89881.2819267392</v>
      </c>
      <c r="S41" s="45" t="n">
        <f aca="false">Tax_Bands!S$18*MIN(S40,Tax_Bands!S$9)+Tax_Bands!S$19*MAX(0,MIN(S40,Tax_Bands!S$10)-Tax_Bands!S$9)+Tax_Bands!S$20*MAX(0,S40-Tax_Bands!S$10)</f>
        <v>91678.907565274</v>
      </c>
      <c r="T41" s="45" t="n">
        <f aca="false">Tax_Bands!T$18*MIN(T40,Tax_Bands!T$9)+Tax_Bands!T$19*MAX(0,MIN(T40,Tax_Bands!T$10)-Tax_Bands!T$9)+Tax_Bands!T$20*MAX(0,T40-Tax_Bands!T$10)</f>
        <v>93512.4857165795</v>
      </c>
      <c r="U41" s="45" t="n">
        <f aca="false">Tax_Bands!U$18*MIN(U40,Tax_Bands!U$9)+Tax_Bands!U$19*MAX(0,MIN(U40,Tax_Bands!U$10)-Tax_Bands!U$9)+Tax_Bands!U$20*MAX(0,U40-Tax_Bands!U$10)</f>
        <v>95382.7354309111</v>
      </c>
      <c r="V41" s="45" t="n">
        <f aca="false">Tax_Bands!V$18*MIN(V40,Tax_Bands!V$9)+Tax_Bands!V$19*MAX(0,MIN(V40,Tax_Bands!V$10)-Tax_Bands!V$9)+Tax_Bands!V$20*MAX(0,V40-Tax_Bands!V$10)</f>
        <v>97290.3901395293</v>
      </c>
      <c r="W41" s="45" t="n">
        <f aca="false">Tax_Bands!W$18*MIN(W40,Tax_Bands!W$9)+Tax_Bands!W$19*MAX(0,MIN(W40,Tax_Bands!W$10)-Tax_Bands!W$9)+Tax_Bands!W$20*MAX(0,W40-Tax_Bands!W$10)</f>
        <v>99236.1979423199</v>
      </c>
      <c r="X41" s="45" t="n">
        <f aca="false">Tax_Bands!X$18*MIN(X40,Tax_Bands!X$9)+Tax_Bands!X$19*MAX(0,MIN(X40,Tax_Bands!X$10)-Tax_Bands!X$9)+Tax_Bands!X$20*MAX(0,X40-Tax_Bands!X$10)</f>
        <v>101220.921901166</v>
      </c>
      <c r="Y41" s="45" t="n">
        <f aca="false">Tax_Bands!Y$18*MIN(Y40,Tax_Bands!Y$9)+Tax_Bands!Y$19*MAX(0,MIN(Y40,Tax_Bands!Y$10)-Tax_Bands!Y$9)+Tax_Bands!Y$20*MAX(0,Y40-Tax_Bands!Y$10)</f>
        <v>103245.34033919</v>
      </c>
      <c r="Z41" s="45" t="n">
        <f aca="false">Tax_Bands!Z$18*MIN(Z40,Tax_Bands!Z$9)+Tax_Bands!Z$19*MAX(0,MIN(Z40,Tax_Bands!Z$10)-Tax_Bands!Z$9)+Tax_Bands!Z$20*MAX(0,Z40-Tax_Bands!Z$10)</f>
        <v>105310.247145973</v>
      </c>
      <c r="AA41" s="45" t="n">
        <f aca="false">Tax_Bands!AA$18*MIN(AA40,Tax_Bands!AA$9)+Tax_Bands!AA$19*MAX(0,MIN(AA40,Tax_Bands!AA$10)-Tax_Bands!AA$9)+Tax_Bands!AA$20*MAX(0,AA40-Tax_Bands!AA$10)</f>
        <v>107416.452088893</v>
      </c>
      <c r="AB41" s="45" t="n">
        <f aca="false">Tax_Bands!AB$18*MIN(AB40,Tax_Bands!AB$9)+Tax_Bands!AB$19*MAX(0,MIN(AB40,Tax_Bands!AB$10)-Tax_Bands!AB$9)+Tax_Bands!AB$20*MAX(0,AB40-Tax_Bands!AB$10)</f>
        <v>109564.781130671</v>
      </c>
      <c r="AC41" s="45" t="n">
        <f aca="false">Tax_Bands!AC$18*MIN(AC40,Tax_Bands!AC$9)+Tax_Bands!AC$19*MAX(0,MIN(AC40,Tax_Bands!AC$10)-Tax_Bands!AC$9)+Tax_Bands!AC$20*MAX(0,AC40-Tax_Bands!AC$10)</f>
        <v>111756.076753284</v>
      </c>
      <c r="AD41" s="45" t="n">
        <f aca="false">Tax_Bands!AD$18*MIN(AD40,Tax_Bands!AD$9)+Tax_Bands!AD$19*MAX(0,MIN(AD40,Tax_Bands!AD$10)-Tax_Bands!AD$9)+Tax_Bands!AD$20*MAX(0,AD40-Tax_Bands!AD$10)</f>
        <v>113991.19828835</v>
      </c>
      <c r="AE41" s="45" t="n">
        <f aca="false">Tax_Bands!AE$18*MIN(AE40,Tax_Bands!AE$9)+Tax_Bands!AE$19*MAX(0,MIN(AE40,Tax_Bands!AE$10)-Tax_Bands!AE$9)+Tax_Bands!AE$20*MAX(0,AE40-Tax_Bands!AE$10)</f>
        <v>116271.022254117</v>
      </c>
      <c r="AF41" s="45" t="n">
        <f aca="false">Tax_Bands!AF$18*MIN(AF40,Tax_Bands!AF$9)+Tax_Bands!AF$19*MAX(0,MIN(AF40,Tax_Bands!AF$10)-Tax_Bands!AF$9)+Tax_Bands!AF$20*MAX(0,AF40-Tax_Bands!AF$10)</f>
        <v>118596.442699199</v>
      </c>
    </row>
    <row r="42" customFormat="false" ht="15" hidden="false" customHeight="true" outlineLevel="0" collapsed="false">
      <c r="B42" s="24" t="s">
        <v>292</v>
      </c>
      <c r="C42" s="50" t="n">
        <f aca="false">C8-C41-C16</f>
        <v>101886.4</v>
      </c>
      <c r="D42" s="50" t="n">
        <f aca="false">D8-D41-D16</f>
        <v>105490.4</v>
      </c>
      <c r="E42" s="50" t="n">
        <f aca="false">E8-E41-E16</f>
        <v>109238.56</v>
      </c>
      <c r="F42" s="50" t="n">
        <f aca="false">F8-F41-F16</f>
        <v>111187.6032</v>
      </c>
      <c r="G42" s="50" t="n">
        <f aca="false">G8-G41-G16</f>
        <v>113175.627264</v>
      </c>
      <c r="H42" s="50" t="n">
        <f aca="false">H8-H41-H16</f>
        <v>115439.13980928</v>
      </c>
      <c r="I42" s="50" t="n">
        <f aca="false">I8-I41-I16</f>
        <v>117747.922605466</v>
      </c>
      <c r="J42" s="50" t="n">
        <f aca="false">J8-J41-J16</f>
        <v>120102.881057575</v>
      </c>
      <c r="K42" s="50" t="n">
        <f aca="false">K8-K41-K16</f>
        <v>122504.938678726</v>
      </c>
      <c r="L42" s="50" t="n">
        <f aca="false">L8-L41-L16</f>
        <v>124955.037452301</v>
      </c>
      <c r="M42" s="50" t="n">
        <f aca="false">M8-M41-M16</f>
        <v>127454.138201347</v>
      </c>
      <c r="N42" s="50" t="n">
        <f aca="false">N8-N41-N16</f>
        <v>130003.220965374</v>
      </c>
      <c r="O42" s="50" t="n">
        <f aca="false">O8-O41-O16</f>
        <v>132603.285384681</v>
      </c>
      <c r="P42" s="50" t="n">
        <f aca="false">P8-P41-P16</f>
        <v>135255.351092375</v>
      </c>
      <c r="Q42" s="50" t="n">
        <f aca="false">Q8-Q41-Q16</f>
        <v>137960.458114223</v>
      </c>
      <c r="R42" s="50" t="n">
        <f aca="false">R8-R41-R16</f>
        <v>140719.667276507</v>
      </c>
      <c r="S42" s="50" t="n">
        <f aca="false">S8-S41-S16</f>
        <v>143534.060622037</v>
      </c>
      <c r="T42" s="50" t="n">
        <f aca="false">T8-T41-T16</f>
        <v>146404.741834478</v>
      </c>
      <c r="U42" s="50" t="n">
        <f aca="false">U8-U41-U16</f>
        <v>149332.836671167</v>
      </c>
      <c r="V42" s="50" t="n">
        <f aca="false">V8-V41-V16</f>
        <v>152319.493404591</v>
      </c>
      <c r="W42" s="50" t="n">
        <f aca="false">W8-W41-W16</f>
        <v>155365.883272683</v>
      </c>
      <c r="X42" s="50" t="n">
        <f aca="false">X8-X41-X16</f>
        <v>158473.200938136</v>
      </c>
      <c r="Y42" s="50" t="n">
        <f aca="false">Y8-Y41-Y16</f>
        <v>161642.664956899</v>
      </c>
      <c r="Z42" s="50" t="n">
        <f aca="false">Z8-Z41-Z16</f>
        <v>164875.518256037</v>
      </c>
      <c r="AA42" s="50" t="n">
        <f aca="false">AA8-AA41-AA16</f>
        <v>168173.028621158</v>
      </c>
      <c r="AB42" s="50" t="n">
        <f aca="false">AB8-AB41-AB16</f>
        <v>171536.489193581</v>
      </c>
      <c r="AC42" s="50" t="n">
        <f aca="false">AC8-AC41-AC16</f>
        <v>174967.218977453</v>
      </c>
      <c r="AD42" s="50" t="n">
        <f aca="false">AD8-AD41-AD16</f>
        <v>178466.563357002</v>
      </c>
      <c r="AE42" s="50" t="n">
        <f aca="false">AE8-AE41-AE16</f>
        <v>182035.894624142</v>
      </c>
      <c r="AF42" s="50" t="n">
        <f aca="false">AF8-AF41-AF16</f>
        <v>185676.612516624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48"/>
    <col collapsed="false" customWidth="true" hidden="false" outlineLevel="0" max="32" min="3" style="20" width="13"/>
  </cols>
  <sheetData>
    <row r="1" customFormat="false" ht="17.25" hidden="false" customHeight="true" outlineLevel="0" collapsed="false">
      <c r="A1" s="21" t="s">
        <v>293</v>
      </c>
    </row>
    <row r="2" customFormat="false" ht="15" hidden="false" customHeight="true" outlineLevel="0" collapsed="false">
      <c r="A2" s="22" t="s">
        <v>263</v>
      </c>
    </row>
    <row r="4" customFormat="false" ht="15" hidden="false" customHeight="true" outlineLevel="0" collapsed="false">
      <c r="A4" s="23" t="s">
        <v>294</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row>
    <row r="5" customFormat="false" ht="15" hidden="false" customHeight="true" outlineLevel="0" collapsed="false">
      <c r="B5" s="24" t="s">
        <v>123</v>
      </c>
      <c r="C5" s="25" t="n">
        <v>2026</v>
      </c>
      <c r="D5" s="25" t="n">
        <v>2027</v>
      </c>
      <c r="E5" s="25" t="n">
        <v>2028</v>
      </c>
      <c r="F5" s="25" t="n">
        <v>2029</v>
      </c>
      <c r="G5" s="25" t="n">
        <v>2030</v>
      </c>
      <c r="H5" s="25" t="n">
        <v>2031</v>
      </c>
      <c r="I5" s="25" t="n">
        <v>2032</v>
      </c>
      <c r="J5" s="25" t="n">
        <v>2033</v>
      </c>
      <c r="K5" s="25" t="n">
        <v>2034</v>
      </c>
      <c r="L5" s="25" t="n">
        <v>2035</v>
      </c>
      <c r="M5" s="25" t="n">
        <v>2036</v>
      </c>
      <c r="N5" s="25" t="n">
        <v>2037</v>
      </c>
      <c r="O5" s="25" t="n">
        <v>2038</v>
      </c>
      <c r="P5" s="25" t="n">
        <v>2039</v>
      </c>
      <c r="Q5" s="25" t="n">
        <v>2040</v>
      </c>
      <c r="R5" s="25" t="n">
        <v>2041</v>
      </c>
      <c r="S5" s="25" t="n">
        <v>2042</v>
      </c>
      <c r="T5" s="25" t="n">
        <v>2043</v>
      </c>
      <c r="U5" s="25" t="n">
        <v>2044</v>
      </c>
      <c r="V5" s="25" t="n">
        <v>2045</v>
      </c>
      <c r="W5" s="25" t="n">
        <v>2046</v>
      </c>
      <c r="X5" s="25" t="n">
        <v>2047</v>
      </c>
      <c r="Y5" s="25" t="n">
        <v>2048</v>
      </c>
      <c r="Z5" s="25" t="n">
        <v>2049</v>
      </c>
      <c r="AA5" s="25" t="n">
        <v>2050</v>
      </c>
      <c r="AB5" s="25" t="n">
        <v>2051</v>
      </c>
      <c r="AC5" s="25" t="n">
        <v>2052</v>
      </c>
      <c r="AD5" s="25" t="n">
        <v>2053</v>
      </c>
      <c r="AE5" s="25" t="n">
        <v>2054</v>
      </c>
      <c r="AF5" s="25" t="n">
        <v>2055</v>
      </c>
    </row>
    <row r="6" customFormat="false" ht="15" hidden="false" customHeight="true" outlineLevel="0" collapsed="false">
      <c r="B6" s="26" t="s">
        <v>265</v>
      </c>
      <c r="C6" s="47" t="n">
        <f aca="false">Assumptions!C$13</f>
        <v>44</v>
      </c>
      <c r="D6" s="47" t="n">
        <f aca="false">Assumptions!D$13</f>
        <v>45</v>
      </c>
      <c r="E6" s="47" t="n">
        <f aca="false">Assumptions!E$13</f>
        <v>46</v>
      </c>
      <c r="F6" s="47" t="n">
        <f aca="false">Assumptions!F$13</f>
        <v>47</v>
      </c>
      <c r="G6" s="47" t="n">
        <f aca="false">Assumptions!G$13</f>
        <v>48</v>
      </c>
      <c r="H6" s="47" t="n">
        <f aca="false">Assumptions!H$13</f>
        <v>49</v>
      </c>
      <c r="I6" s="47" t="n">
        <f aca="false">Assumptions!I$13</f>
        <v>50</v>
      </c>
      <c r="J6" s="47" t="n">
        <f aca="false">Assumptions!J$13</f>
        <v>51</v>
      </c>
      <c r="K6" s="47" t="n">
        <f aca="false">Assumptions!K$13</f>
        <v>52</v>
      </c>
      <c r="L6" s="47" t="n">
        <f aca="false">Assumptions!L$13</f>
        <v>53</v>
      </c>
      <c r="M6" s="47" t="n">
        <f aca="false">Assumptions!M$13</f>
        <v>54</v>
      </c>
      <c r="N6" s="47" t="n">
        <f aca="false">Assumptions!N$13</f>
        <v>55</v>
      </c>
      <c r="O6" s="47" t="n">
        <f aca="false">Assumptions!O$13</f>
        <v>56</v>
      </c>
      <c r="P6" s="47" t="n">
        <f aca="false">Assumptions!P$13</f>
        <v>57</v>
      </c>
      <c r="Q6" s="47" t="n">
        <f aca="false">Assumptions!Q$13</f>
        <v>58</v>
      </c>
      <c r="R6" s="47" t="n">
        <f aca="false">Assumptions!R$13</f>
        <v>59</v>
      </c>
      <c r="S6" s="47" t="n">
        <f aca="false">Assumptions!S$13</f>
        <v>60</v>
      </c>
      <c r="T6" s="47" t="n">
        <f aca="false">Assumptions!T$13</f>
        <v>61</v>
      </c>
      <c r="U6" s="47" t="n">
        <f aca="false">Assumptions!U$13</f>
        <v>62</v>
      </c>
      <c r="V6" s="47" t="n">
        <f aca="false">Assumptions!V$13</f>
        <v>63</v>
      </c>
      <c r="W6" s="47" t="n">
        <f aca="false">Assumptions!W$13</f>
        <v>64</v>
      </c>
      <c r="X6" s="47" t="n">
        <f aca="false">Assumptions!X$13</f>
        <v>65</v>
      </c>
      <c r="Y6" s="47" t="n">
        <f aca="false">Assumptions!Y$13</f>
        <v>66</v>
      </c>
      <c r="Z6" s="47" t="n">
        <f aca="false">Assumptions!Z$13</f>
        <v>67</v>
      </c>
      <c r="AA6" s="47" t="n">
        <f aca="false">Assumptions!AA$13</f>
        <v>68</v>
      </c>
      <c r="AB6" s="47" t="n">
        <f aca="false">Assumptions!AB$13</f>
        <v>69</v>
      </c>
      <c r="AC6" s="47" t="n">
        <f aca="false">Assumptions!AC$13</f>
        <v>70</v>
      </c>
      <c r="AD6" s="47" t="n">
        <f aca="false">Assumptions!AD$13</f>
        <v>71</v>
      </c>
      <c r="AE6" s="47" t="n">
        <f aca="false">Assumptions!AE$13</f>
        <v>72</v>
      </c>
      <c r="AF6" s="47" t="n">
        <f aca="false">Assumptions!AF$13</f>
        <v>73</v>
      </c>
    </row>
    <row r="8" customFormat="false" ht="15" hidden="false" customHeight="true" outlineLevel="0" collapsed="false">
      <c r="B8" s="24" t="s">
        <v>266</v>
      </c>
      <c r="C8" s="48" t="n">
        <f aca="false">Assumptions!$D$20*Assumptions!C$9</f>
        <v>190000</v>
      </c>
      <c r="D8" s="48" t="n">
        <f aca="false">Assumptions!$D$20*Assumptions!D$9</f>
        <v>197600</v>
      </c>
      <c r="E8" s="48" t="n">
        <f aca="false">Assumptions!$D$20*Assumptions!E$9</f>
        <v>205504</v>
      </c>
      <c r="F8" s="48" t="n">
        <f aca="false">Assumptions!$D$20*Assumptions!F$9</f>
        <v>209614.08</v>
      </c>
      <c r="G8" s="48" t="n">
        <f aca="false">Assumptions!$D$20*Assumptions!G$9</f>
        <v>213806.3616</v>
      </c>
      <c r="H8" s="48" t="n">
        <f aca="false">Assumptions!$D$20*Assumptions!H$9</f>
        <v>218082.488832</v>
      </c>
      <c r="I8" s="48" t="n">
        <f aca="false">Assumptions!$D$20*Assumptions!I$9</f>
        <v>222444.13860864</v>
      </c>
      <c r="J8" s="48" t="n">
        <f aca="false">Assumptions!$D$20*Assumptions!J$9</f>
        <v>226893.021380813</v>
      </c>
      <c r="K8" s="48" t="n">
        <f aca="false">Assumptions!$D$20*Assumptions!K$9</f>
        <v>231430.881808429</v>
      </c>
      <c r="L8" s="48" t="n">
        <f aca="false">Assumptions!$D$20*Assumptions!L$9</f>
        <v>236059.499444598</v>
      </c>
      <c r="M8" s="48" t="n">
        <f aca="false">Assumptions!$D$20*Assumptions!M$9</f>
        <v>240780.68943349</v>
      </c>
      <c r="N8" s="48" t="n">
        <f aca="false">Assumptions!$D$20*Assumptions!N$9</f>
        <v>245596.303222159</v>
      </c>
      <c r="O8" s="48" t="n">
        <f aca="false">Assumptions!$D$20*Assumptions!O$9</f>
        <v>250508.229286603</v>
      </c>
      <c r="P8" s="48" t="n">
        <f aca="false">Assumptions!$D$20*Assumptions!P$9</f>
        <v>255518.393872335</v>
      </c>
      <c r="Q8" s="48" t="n">
        <f aca="false">Assumptions!$D$20*Assumptions!Q$9</f>
        <v>260628.761749781</v>
      </c>
      <c r="R8" s="48" t="n">
        <f aca="false">Assumptions!$D$20*Assumptions!R$9</f>
        <v>265841.336984777</v>
      </c>
      <c r="S8" s="48" t="n">
        <f aca="false">Assumptions!$D$20*Assumptions!S$9</f>
        <v>271158.163724473</v>
      </c>
      <c r="T8" s="48" t="n">
        <f aca="false">Assumptions!$D$20*Assumptions!T$9</f>
        <v>276581.326998962</v>
      </c>
      <c r="U8" s="48" t="n">
        <f aca="false">Assumptions!$D$20*Assumptions!U$9</f>
        <v>282112.953538941</v>
      </c>
      <c r="V8" s="48" t="n">
        <f aca="false">Assumptions!$D$20*Assumptions!V$9</f>
        <v>287755.21260972</v>
      </c>
      <c r="W8" s="48" t="n">
        <f aca="false">Assumptions!$D$20*Assumptions!W$9</f>
        <v>293510.316861915</v>
      </c>
      <c r="X8" s="48" t="n">
        <f aca="false">Assumptions!$D$20*Assumptions!X$9</f>
        <v>299380.523199153</v>
      </c>
      <c r="Y8" s="48" t="n">
        <f aca="false">Assumptions!$D$20*Assumptions!Y$9</f>
        <v>305368.133663136</v>
      </c>
      <c r="Z8" s="48" t="n">
        <f aca="false">Assumptions!$D$20*Assumptions!Z$9</f>
        <v>311475.496336399</v>
      </c>
      <c r="AA8" s="48" t="n">
        <f aca="false">Assumptions!$D$20*Assumptions!AA$9</f>
        <v>317705.006263127</v>
      </c>
      <c r="AB8" s="48" t="n">
        <f aca="false">Assumptions!$D$20*Assumptions!AB$9</f>
        <v>324059.106388389</v>
      </c>
      <c r="AC8" s="48" t="n">
        <f aca="false">Assumptions!$D$20*Assumptions!AC$9</f>
        <v>330540.288516157</v>
      </c>
      <c r="AD8" s="48" t="n">
        <f aca="false">Assumptions!$D$20*Assumptions!AD$9</f>
        <v>337151.09428648</v>
      </c>
      <c r="AE8" s="48" t="n">
        <f aca="false">Assumptions!$D$20*Assumptions!AE$9</f>
        <v>343894.11617221</v>
      </c>
      <c r="AF8" s="48" t="n">
        <f aca="false">Assumptions!$D$20*Assumptions!AF$9</f>
        <v>350771.998495654</v>
      </c>
    </row>
    <row r="9" customFormat="false" ht="15" hidden="false" customHeight="true" outlineLevel="0" collapsed="false">
      <c r="B9" s="26" t="s">
        <v>267</v>
      </c>
      <c r="C9" s="45" t="n">
        <f aca="false">MIN(C8,MAX(Tax_Bands!C$15,Tax_Bands!C$13-MAX(0,C8-Tax_Bands!C$14)/2))</f>
        <v>60000</v>
      </c>
      <c r="D9" s="45" t="n">
        <f aca="false">MIN(D8,MAX(Tax_Bands!D$15,Tax_Bands!D$13-MAX(0,D8-Tax_Bands!D$14)/2))</f>
        <v>60000</v>
      </c>
      <c r="E9" s="45" t="n">
        <f aca="false">MIN(E8,MAX(Tax_Bands!E$15,Tax_Bands!E$13-MAX(0,E8-Tax_Bands!E$14)/2))</f>
        <v>60000</v>
      </c>
      <c r="F9" s="45" t="n">
        <f aca="false">MIN(F8,MAX(Tax_Bands!F$15,Tax_Bands!F$13-MAX(0,F8-Tax_Bands!F$14)/2))</f>
        <v>60000</v>
      </c>
      <c r="G9" s="45" t="n">
        <f aca="false">MIN(G8,MAX(Tax_Bands!G$15,Tax_Bands!G$13-MAX(0,G8-Tax_Bands!G$14)/2))</f>
        <v>60000</v>
      </c>
      <c r="H9" s="45" t="n">
        <f aca="false">MIN(H8,MAX(Tax_Bands!H$15,Tax_Bands!H$13-MAX(0,H8-Tax_Bands!H$14)/2))</f>
        <v>61200</v>
      </c>
      <c r="I9" s="45" t="n">
        <f aca="false">MIN(I8,MAX(Tax_Bands!I$15,Tax_Bands!I$13-MAX(0,I8-Tax_Bands!I$14)/2))</f>
        <v>62424</v>
      </c>
      <c r="J9" s="45" t="n">
        <f aca="false">MIN(J8,MAX(Tax_Bands!J$15,Tax_Bands!J$13-MAX(0,J8-Tax_Bands!J$14)/2))</f>
        <v>63672.48</v>
      </c>
      <c r="K9" s="45" t="n">
        <f aca="false">MIN(K8,MAX(Tax_Bands!K$15,Tax_Bands!K$13-MAX(0,K8-Tax_Bands!K$14)/2))</f>
        <v>64945.9296</v>
      </c>
      <c r="L9" s="45" t="n">
        <f aca="false">MIN(L8,MAX(Tax_Bands!L$15,Tax_Bands!L$13-MAX(0,L8-Tax_Bands!L$14)/2))</f>
        <v>66244.848192</v>
      </c>
      <c r="M9" s="45" t="n">
        <f aca="false">MIN(M8,MAX(Tax_Bands!M$15,Tax_Bands!M$13-MAX(0,M8-Tax_Bands!M$14)/2))</f>
        <v>67569.74515584</v>
      </c>
      <c r="N9" s="45" t="n">
        <f aca="false">MIN(N8,MAX(Tax_Bands!N$15,Tax_Bands!N$13-MAX(0,N8-Tax_Bands!N$14)/2))</f>
        <v>68921.1400589568</v>
      </c>
      <c r="O9" s="45" t="n">
        <f aca="false">MIN(O8,MAX(Tax_Bands!O$15,Tax_Bands!O$13-MAX(0,O8-Tax_Bands!O$14)/2))</f>
        <v>70299.562860136</v>
      </c>
      <c r="P9" s="45" t="n">
        <f aca="false">MIN(P8,MAX(Tax_Bands!P$15,Tax_Bands!P$13-MAX(0,P8-Tax_Bands!P$14)/2))</f>
        <v>71705.5541173387</v>
      </c>
      <c r="Q9" s="45" t="n">
        <f aca="false">MIN(Q8,MAX(Tax_Bands!Q$15,Tax_Bands!Q$13-MAX(0,Q8-Tax_Bands!Q$14)/2))</f>
        <v>73139.6651996854</v>
      </c>
      <c r="R9" s="45" t="n">
        <f aca="false">MIN(R8,MAX(Tax_Bands!R$15,Tax_Bands!R$13-MAX(0,R8-Tax_Bands!R$14)/2))</f>
        <v>74602.4585036792</v>
      </c>
      <c r="S9" s="45" t="n">
        <f aca="false">MIN(S8,MAX(Tax_Bands!S$15,Tax_Bands!S$13-MAX(0,S8-Tax_Bands!S$14)/2))</f>
        <v>76094.5076737527</v>
      </c>
      <c r="T9" s="45" t="n">
        <f aca="false">MIN(T8,MAX(Tax_Bands!T$15,Tax_Bands!T$13-MAX(0,T8-Tax_Bands!T$14)/2))</f>
        <v>77616.3978272278</v>
      </c>
      <c r="U9" s="45" t="n">
        <f aca="false">MIN(U8,MAX(Tax_Bands!U$15,Tax_Bands!U$13-MAX(0,U8-Tax_Bands!U$14)/2))</f>
        <v>79168.7257837723</v>
      </c>
      <c r="V9" s="45" t="n">
        <f aca="false">MIN(V8,MAX(Tax_Bands!V$15,Tax_Bands!V$13-MAX(0,V8-Tax_Bands!V$14)/2))</f>
        <v>80752.1002994478</v>
      </c>
      <c r="W9" s="45" t="n">
        <f aca="false">MIN(W8,MAX(Tax_Bands!W$15,Tax_Bands!W$13-MAX(0,W8-Tax_Bands!W$14)/2))</f>
        <v>82367.1423054368</v>
      </c>
      <c r="X9" s="45" t="n">
        <f aca="false">MIN(X8,MAX(Tax_Bands!X$15,Tax_Bands!X$13-MAX(0,X8-Tax_Bands!X$14)/2))</f>
        <v>84014.4851515455</v>
      </c>
      <c r="Y9" s="45" t="n">
        <f aca="false">MIN(Y8,MAX(Tax_Bands!Y$15,Tax_Bands!Y$13-MAX(0,Y8-Tax_Bands!Y$14)/2))</f>
        <v>85694.7748545764</v>
      </c>
      <c r="Z9" s="45" t="n">
        <f aca="false">MIN(Z8,MAX(Tax_Bands!Z$15,Tax_Bands!Z$13-MAX(0,Z8-Tax_Bands!Z$14)/2))</f>
        <v>87408.6703516679</v>
      </c>
      <c r="AA9" s="45" t="n">
        <f aca="false">MIN(AA8,MAX(Tax_Bands!AA$15,Tax_Bands!AA$13-MAX(0,AA8-Tax_Bands!AA$14)/2))</f>
        <v>89156.8437587013</v>
      </c>
      <c r="AB9" s="45" t="n">
        <f aca="false">MIN(AB8,MAX(Tax_Bands!AB$15,Tax_Bands!AB$13-MAX(0,AB8-Tax_Bands!AB$14)/2))</f>
        <v>90939.9806338753</v>
      </c>
      <c r="AC9" s="45" t="n">
        <f aca="false">MIN(AC8,MAX(Tax_Bands!AC$15,Tax_Bands!AC$13-MAX(0,AC8-Tax_Bands!AC$14)/2))</f>
        <v>92758.7802465528</v>
      </c>
      <c r="AD9" s="45" t="n">
        <f aca="false">MIN(AD8,MAX(Tax_Bands!AD$15,Tax_Bands!AD$13-MAX(0,AD8-Tax_Bands!AD$14)/2))</f>
        <v>94613.9558514839</v>
      </c>
      <c r="AE9" s="45" t="n">
        <f aca="false">MIN(AE8,MAX(Tax_Bands!AE$15,Tax_Bands!AE$13-MAX(0,AE8-Tax_Bands!AE$14)/2))</f>
        <v>96506.2349685136</v>
      </c>
      <c r="AF9" s="45" t="n">
        <f aca="false">MIN(AF8,MAX(Tax_Bands!AF$15,Tax_Bands!AF$13-MAX(0,AF8-Tax_Bands!AF$14)/2))</f>
        <v>98436.3596678838</v>
      </c>
    </row>
    <row r="10" customFormat="false" ht="15" hidden="false" customHeight="true" outlineLevel="0" collapsed="false">
      <c r="B10" s="49" t="s">
        <v>268</v>
      </c>
      <c r="C10" s="45" t="n">
        <f aca="false">C8-C9</f>
        <v>130000</v>
      </c>
      <c r="D10" s="45" t="n">
        <f aca="false">D8-D9</f>
        <v>137600</v>
      </c>
      <c r="E10" s="45" t="n">
        <f aca="false">E8-E9</f>
        <v>145504</v>
      </c>
      <c r="F10" s="45" t="n">
        <f aca="false">F8-F9</f>
        <v>149614.08</v>
      </c>
      <c r="G10" s="45" t="n">
        <f aca="false">G8-G9</f>
        <v>153806.3616</v>
      </c>
      <c r="H10" s="45" t="n">
        <f aca="false">H8-H9</f>
        <v>156882.488832</v>
      </c>
      <c r="I10" s="45" t="n">
        <f aca="false">I8-I9</f>
        <v>160020.13860864</v>
      </c>
      <c r="J10" s="45" t="n">
        <f aca="false">J8-J9</f>
        <v>163220.541380813</v>
      </c>
      <c r="K10" s="45" t="n">
        <f aca="false">K8-K9</f>
        <v>166484.952208429</v>
      </c>
      <c r="L10" s="45" t="n">
        <f aca="false">L8-L9</f>
        <v>169814.651252598</v>
      </c>
      <c r="M10" s="45" t="n">
        <f aca="false">M8-M9</f>
        <v>173210.94427765</v>
      </c>
      <c r="N10" s="45" t="n">
        <f aca="false">N8-N9</f>
        <v>176675.163163203</v>
      </c>
      <c r="O10" s="45" t="n">
        <f aca="false">O8-O9</f>
        <v>180208.666426467</v>
      </c>
      <c r="P10" s="45" t="n">
        <f aca="false">P8-P9</f>
        <v>183812.839754996</v>
      </c>
      <c r="Q10" s="45" t="n">
        <f aca="false">Q8-Q9</f>
        <v>187489.096550096</v>
      </c>
      <c r="R10" s="45" t="n">
        <f aca="false">R8-R9</f>
        <v>191238.878481098</v>
      </c>
      <c r="S10" s="45" t="n">
        <f aca="false">S8-S9</f>
        <v>195063.65605072</v>
      </c>
      <c r="T10" s="45" t="n">
        <f aca="false">T8-T9</f>
        <v>198964.929171734</v>
      </c>
      <c r="U10" s="45" t="n">
        <f aca="false">U8-U9</f>
        <v>202944.227755169</v>
      </c>
      <c r="V10" s="45" t="n">
        <f aca="false">V8-V9</f>
        <v>207003.112310272</v>
      </c>
      <c r="W10" s="45" t="n">
        <f aca="false">W8-W9</f>
        <v>211143.174556478</v>
      </c>
      <c r="X10" s="45" t="n">
        <f aca="false">X8-X9</f>
        <v>215366.038047607</v>
      </c>
      <c r="Y10" s="45" t="n">
        <f aca="false">Y8-Y9</f>
        <v>219673.358808559</v>
      </c>
      <c r="Z10" s="45" t="n">
        <f aca="false">Z8-Z9</f>
        <v>224066.825984731</v>
      </c>
      <c r="AA10" s="45" t="n">
        <f aca="false">AA8-AA9</f>
        <v>228548.162504425</v>
      </c>
      <c r="AB10" s="45" t="n">
        <f aca="false">AB8-AB9</f>
        <v>233119.125754514</v>
      </c>
      <c r="AC10" s="45" t="n">
        <f aca="false">AC8-AC9</f>
        <v>237781.508269604</v>
      </c>
      <c r="AD10" s="45" t="n">
        <f aca="false">AD8-AD9</f>
        <v>242537.138434996</v>
      </c>
      <c r="AE10" s="45" t="n">
        <f aca="false">AE8-AE9</f>
        <v>247387.881203696</v>
      </c>
      <c r="AF10" s="45" t="n">
        <f aca="false">AF8-AF9</f>
        <v>252335.63882777</v>
      </c>
    </row>
    <row r="11" customFormat="false" ht="15" hidden="false" customHeight="true" outlineLevel="0" collapsed="false">
      <c r="B11" s="49" t="s">
        <v>269</v>
      </c>
      <c r="C11" s="45" t="n">
        <f aca="false">MAX(0,Tax_Bands!C$7-MAX(0,C10-Tax_Bands!C$8)/2)</f>
        <v>0</v>
      </c>
      <c r="D11" s="45" t="n">
        <f aca="false">MAX(0,Tax_Bands!D$7-MAX(0,D10-Tax_Bands!D$8)/2)</f>
        <v>0</v>
      </c>
      <c r="E11" s="45" t="n">
        <f aca="false">MAX(0,Tax_Bands!E$7-MAX(0,E10-Tax_Bands!E$8)/2)</f>
        <v>0</v>
      </c>
      <c r="F11" s="45" t="n">
        <f aca="false">MAX(0,Tax_Bands!F$7-MAX(0,F10-Tax_Bands!F$8)/2)</f>
        <v>0</v>
      </c>
      <c r="G11" s="45" t="n">
        <f aca="false">MAX(0,Tax_Bands!G$7-MAX(0,G10-Tax_Bands!G$8)/2)</f>
        <v>0</v>
      </c>
      <c r="H11" s="45" t="n">
        <f aca="false">MAX(0,Tax_Bands!H$7-MAX(0,H10-Tax_Bands!H$8)/2)</f>
        <v>0</v>
      </c>
      <c r="I11" s="45" t="n">
        <f aca="false">MAX(0,Tax_Bands!I$7-MAX(0,I10-Tax_Bands!I$8)/2)</f>
        <v>0</v>
      </c>
      <c r="J11" s="45" t="n">
        <f aca="false">MAX(0,Tax_Bands!J$7-MAX(0,J10-Tax_Bands!J$8)/2)</f>
        <v>0</v>
      </c>
      <c r="K11" s="45" t="n">
        <f aca="false">MAX(0,Tax_Bands!K$7-MAX(0,K10-Tax_Bands!K$8)/2)</f>
        <v>0</v>
      </c>
      <c r="L11" s="45" t="n">
        <f aca="false">MAX(0,Tax_Bands!L$7-MAX(0,L10-Tax_Bands!L$8)/2)</f>
        <v>0</v>
      </c>
      <c r="M11" s="45" t="n">
        <f aca="false">MAX(0,Tax_Bands!M$7-MAX(0,M10-Tax_Bands!M$8)/2)</f>
        <v>0</v>
      </c>
      <c r="N11" s="45" t="n">
        <f aca="false">MAX(0,Tax_Bands!N$7-MAX(0,N10-Tax_Bands!N$8)/2)</f>
        <v>0</v>
      </c>
      <c r="O11" s="45" t="n">
        <f aca="false">MAX(0,Tax_Bands!O$7-MAX(0,O10-Tax_Bands!O$8)/2)</f>
        <v>0</v>
      </c>
      <c r="P11" s="45" t="n">
        <f aca="false">MAX(0,Tax_Bands!P$7-MAX(0,P10-Tax_Bands!P$8)/2)</f>
        <v>0</v>
      </c>
      <c r="Q11" s="45" t="n">
        <f aca="false">MAX(0,Tax_Bands!Q$7-MAX(0,Q10-Tax_Bands!Q$8)/2)</f>
        <v>0</v>
      </c>
      <c r="R11" s="45" t="n">
        <f aca="false">MAX(0,Tax_Bands!R$7-MAX(0,R10-Tax_Bands!R$8)/2)</f>
        <v>0</v>
      </c>
      <c r="S11" s="45" t="n">
        <f aca="false">MAX(0,Tax_Bands!S$7-MAX(0,S10-Tax_Bands!S$8)/2)</f>
        <v>0</v>
      </c>
      <c r="T11" s="45" t="n">
        <f aca="false">MAX(0,Tax_Bands!T$7-MAX(0,T10-Tax_Bands!T$8)/2)</f>
        <v>0</v>
      </c>
      <c r="U11" s="45" t="n">
        <f aca="false">MAX(0,Tax_Bands!U$7-MAX(0,U10-Tax_Bands!U$8)/2)</f>
        <v>0</v>
      </c>
      <c r="V11" s="45" t="n">
        <f aca="false">MAX(0,Tax_Bands!V$7-MAX(0,V10-Tax_Bands!V$8)/2)</f>
        <v>0</v>
      </c>
      <c r="W11" s="45" t="n">
        <f aca="false">MAX(0,Tax_Bands!W$7-MAX(0,W10-Tax_Bands!W$8)/2)</f>
        <v>0</v>
      </c>
      <c r="X11" s="45" t="n">
        <f aca="false">MAX(0,Tax_Bands!X$7-MAX(0,X10-Tax_Bands!X$8)/2)</f>
        <v>0</v>
      </c>
      <c r="Y11" s="45" t="n">
        <f aca="false">MAX(0,Tax_Bands!Y$7-MAX(0,Y10-Tax_Bands!Y$8)/2)</f>
        <v>0</v>
      </c>
      <c r="Z11" s="45" t="n">
        <f aca="false">MAX(0,Tax_Bands!Z$7-MAX(0,Z10-Tax_Bands!Z$8)/2)</f>
        <v>0</v>
      </c>
      <c r="AA11" s="45" t="n">
        <f aca="false">MAX(0,Tax_Bands!AA$7-MAX(0,AA10-Tax_Bands!AA$8)/2)</f>
        <v>0</v>
      </c>
      <c r="AB11" s="45" t="n">
        <f aca="false">MAX(0,Tax_Bands!AB$7-MAX(0,AB10-Tax_Bands!AB$8)/2)</f>
        <v>0</v>
      </c>
      <c r="AC11" s="45" t="n">
        <f aca="false">MAX(0,Tax_Bands!AC$7-MAX(0,AC10-Tax_Bands!AC$8)/2)</f>
        <v>0</v>
      </c>
      <c r="AD11" s="45" t="n">
        <f aca="false">MAX(0,Tax_Bands!AD$7-MAX(0,AD10-Tax_Bands!AD$8)/2)</f>
        <v>0</v>
      </c>
      <c r="AE11" s="45" t="n">
        <f aca="false">MAX(0,Tax_Bands!AE$7-MAX(0,AE10-Tax_Bands!AE$8)/2)</f>
        <v>0</v>
      </c>
      <c r="AF11" s="45" t="n">
        <f aca="false">MAX(0,Tax_Bands!AF$7-MAX(0,AF10-Tax_Bands!AF$8)/2)</f>
        <v>0</v>
      </c>
    </row>
    <row r="12" customFormat="false" ht="15" hidden="false" customHeight="true" outlineLevel="0" collapsed="false">
      <c r="B12" s="49" t="s">
        <v>270</v>
      </c>
      <c r="C12" s="45" t="n">
        <f aca="false">MAX(0,C8-C11)</f>
        <v>190000</v>
      </c>
      <c r="D12" s="45" t="n">
        <f aca="false">MAX(0,D8-D11)</f>
        <v>197600</v>
      </c>
      <c r="E12" s="45" t="n">
        <f aca="false">MAX(0,E8-E11)</f>
        <v>205504</v>
      </c>
      <c r="F12" s="45" t="n">
        <f aca="false">MAX(0,F8-F11)</f>
        <v>209614.08</v>
      </c>
      <c r="G12" s="45" t="n">
        <f aca="false">MAX(0,G8-G11)</f>
        <v>213806.3616</v>
      </c>
      <c r="H12" s="45" t="n">
        <f aca="false">MAX(0,H8-H11)</f>
        <v>218082.488832</v>
      </c>
      <c r="I12" s="45" t="n">
        <f aca="false">MAX(0,I8-I11)</f>
        <v>222444.13860864</v>
      </c>
      <c r="J12" s="45" t="n">
        <f aca="false">MAX(0,J8-J11)</f>
        <v>226893.021380813</v>
      </c>
      <c r="K12" s="45" t="n">
        <f aca="false">MAX(0,K8-K11)</f>
        <v>231430.881808429</v>
      </c>
      <c r="L12" s="45" t="n">
        <f aca="false">MAX(0,L8-L11)</f>
        <v>236059.499444598</v>
      </c>
      <c r="M12" s="45" t="n">
        <f aca="false">MAX(0,M8-M11)</f>
        <v>240780.68943349</v>
      </c>
      <c r="N12" s="45" t="n">
        <f aca="false">MAX(0,N8-N11)</f>
        <v>245596.303222159</v>
      </c>
      <c r="O12" s="45" t="n">
        <f aca="false">MAX(0,O8-O11)</f>
        <v>250508.229286603</v>
      </c>
      <c r="P12" s="45" t="n">
        <f aca="false">MAX(0,P8-P11)</f>
        <v>255518.393872335</v>
      </c>
      <c r="Q12" s="45" t="n">
        <f aca="false">MAX(0,Q8-Q11)</f>
        <v>260628.761749781</v>
      </c>
      <c r="R12" s="45" t="n">
        <f aca="false">MAX(0,R8-R11)</f>
        <v>265841.336984777</v>
      </c>
      <c r="S12" s="45" t="n">
        <f aca="false">MAX(0,S8-S11)</f>
        <v>271158.163724473</v>
      </c>
      <c r="T12" s="45" t="n">
        <f aca="false">MAX(0,T8-T11)</f>
        <v>276581.326998962</v>
      </c>
      <c r="U12" s="45" t="n">
        <f aca="false">MAX(0,U8-U11)</f>
        <v>282112.953538941</v>
      </c>
      <c r="V12" s="45" t="n">
        <f aca="false">MAX(0,V8-V11)</f>
        <v>287755.21260972</v>
      </c>
      <c r="W12" s="45" t="n">
        <f aca="false">MAX(0,W8-W11)</f>
        <v>293510.316861915</v>
      </c>
      <c r="X12" s="45" t="n">
        <f aca="false">MAX(0,X8-X11)</f>
        <v>299380.523199153</v>
      </c>
      <c r="Y12" s="45" t="n">
        <f aca="false">MAX(0,Y8-Y11)</f>
        <v>305368.133663136</v>
      </c>
      <c r="Z12" s="45" t="n">
        <f aca="false">MAX(0,Z8-Z11)</f>
        <v>311475.496336399</v>
      </c>
      <c r="AA12" s="45" t="n">
        <f aca="false">MAX(0,AA8-AA11)</f>
        <v>317705.006263127</v>
      </c>
      <c r="AB12" s="45" t="n">
        <f aca="false">MAX(0,AB8-AB11)</f>
        <v>324059.106388389</v>
      </c>
      <c r="AC12" s="45" t="n">
        <f aca="false">MAX(0,AC8-AC11)</f>
        <v>330540.288516157</v>
      </c>
      <c r="AD12" s="45" t="n">
        <f aca="false">MAX(0,AD8-AD11)</f>
        <v>337151.09428648</v>
      </c>
      <c r="AE12" s="45" t="n">
        <f aca="false">MAX(0,AE8-AE11)</f>
        <v>343894.11617221</v>
      </c>
      <c r="AF12" s="45" t="n">
        <f aca="false">MAX(0,AF8-AF11)</f>
        <v>350771.998495654</v>
      </c>
    </row>
    <row r="13" customFormat="false" ht="15" hidden="false" customHeight="true" outlineLevel="0" collapsed="false">
      <c r="B13" s="49" t="s">
        <v>271</v>
      </c>
      <c r="C13" s="45" t="n">
        <f aca="false">Tax_Bands!C$9+C9</f>
        <v>97700</v>
      </c>
      <c r="D13" s="45" t="n">
        <f aca="false">Tax_Bands!D$9+D9</f>
        <v>97700</v>
      </c>
      <c r="E13" s="45" t="n">
        <f aca="false">Tax_Bands!E$9+E9</f>
        <v>97700</v>
      </c>
      <c r="F13" s="45" t="n">
        <f aca="false">Tax_Bands!F$9+F9</f>
        <v>97700</v>
      </c>
      <c r="G13" s="45" t="n">
        <f aca="false">Tax_Bands!G$9+G9</f>
        <v>97700</v>
      </c>
      <c r="H13" s="45" t="n">
        <f aca="false">Tax_Bands!H$9+H9</f>
        <v>99654</v>
      </c>
      <c r="I13" s="45" t="n">
        <f aca="false">Tax_Bands!I$9+I9</f>
        <v>101647.08</v>
      </c>
      <c r="J13" s="45" t="n">
        <f aca="false">Tax_Bands!J$9+J9</f>
        <v>103680.0216</v>
      </c>
      <c r="K13" s="45" t="n">
        <f aca="false">Tax_Bands!K$9+K9</f>
        <v>105753.622032</v>
      </c>
      <c r="L13" s="45" t="n">
        <f aca="false">Tax_Bands!L$9+L9</f>
        <v>107868.69447264</v>
      </c>
      <c r="M13" s="45" t="n">
        <f aca="false">Tax_Bands!M$9+M9</f>
        <v>110026.068362093</v>
      </c>
      <c r="N13" s="45" t="n">
        <f aca="false">Tax_Bands!N$9+N9</f>
        <v>112226.589729335</v>
      </c>
      <c r="O13" s="45" t="n">
        <f aca="false">Tax_Bands!O$9+O9</f>
        <v>114471.121523921</v>
      </c>
      <c r="P13" s="45" t="n">
        <f aca="false">Tax_Bands!P$9+P9</f>
        <v>116760.5439544</v>
      </c>
      <c r="Q13" s="45" t="n">
        <f aca="false">Tax_Bands!Q$9+Q9</f>
        <v>119095.754833488</v>
      </c>
      <c r="R13" s="45" t="n">
        <f aca="false">Tax_Bands!R$9+R9</f>
        <v>121477.669930158</v>
      </c>
      <c r="S13" s="45" t="n">
        <f aca="false">Tax_Bands!S$9+S9</f>
        <v>123907.223328761</v>
      </c>
      <c r="T13" s="45" t="n">
        <f aca="false">Tax_Bands!T$9+T9</f>
        <v>126385.367795336</v>
      </c>
      <c r="U13" s="45" t="n">
        <f aca="false">Tax_Bands!U$9+U9</f>
        <v>128913.075151243</v>
      </c>
      <c r="V13" s="45" t="n">
        <f aca="false">Tax_Bands!V$9+V9</f>
        <v>131491.336654267</v>
      </c>
      <c r="W13" s="45" t="n">
        <f aca="false">Tax_Bands!W$9+W9</f>
        <v>134121.163387353</v>
      </c>
      <c r="X13" s="45" t="n">
        <f aca="false">Tax_Bands!X$9+X9</f>
        <v>136803.5866551</v>
      </c>
      <c r="Y13" s="45" t="n">
        <f aca="false">Tax_Bands!Y$9+Y9</f>
        <v>139539.658388202</v>
      </c>
      <c r="Z13" s="45" t="n">
        <f aca="false">Tax_Bands!Z$9+Z9</f>
        <v>142330.451555966</v>
      </c>
      <c r="AA13" s="45" t="n">
        <f aca="false">Tax_Bands!AA$9+AA9</f>
        <v>145177.060587085</v>
      </c>
      <c r="AB13" s="45" t="n">
        <f aca="false">Tax_Bands!AB$9+AB9</f>
        <v>148080.601798827</v>
      </c>
      <c r="AC13" s="45" t="n">
        <f aca="false">Tax_Bands!AC$9+AC9</f>
        <v>151042.213834804</v>
      </c>
      <c r="AD13" s="45" t="n">
        <f aca="false">Tax_Bands!AD$9+AD9</f>
        <v>154063.0581115</v>
      </c>
      <c r="AE13" s="45" t="n">
        <f aca="false">Tax_Bands!AE$9+AE9</f>
        <v>157144.31927373</v>
      </c>
      <c r="AF13" s="45" t="n">
        <f aca="false">Tax_Bands!AF$9+AF9</f>
        <v>160287.205659204</v>
      </c>
    </row>
    <row r="14" customFormat="false" ht="15" hidden="false" customHeight="true" outlineLevel="0" collapsed="false">
      <c r="B14" s="49" t="s">
        <v>272</v>
      </c>
      <c r="C14" s="45" t="n">
        <f aca="false">Tax_Bands!C$10+C9</f>
        <v>185140</v>
      </c>
      <c r="D14" s="45" t="n">
        <f aca="false">Tax_Bands!D$10+D9</f>
        <v>185140</v>
      </c>
      <c r="E14" s="45" t="n">
        <f aca="false">Tax_Bands!E$10+E9</f>
        <v>185140</v>
      </c>
      <c r="F14" s="45" t="n">
        <f aca="false">Tax_Bands!F$10+F9</f>
        <v>185140</v>
      </c>
      <c r="G14" s="45" t="n">
        <f aca="false">Tax_Bands!G$10+G9</f>
        <v>185140</v>
      </c>
      <c r="H14" s="45" t="n">
        <f aca="false">Tax_Bands!H$10+H9</f>
        <v>188842.8</v>
      </c>
      <c r="I14" s="45" t="n">
        <f aca="false">Tax_Bands!I$10+I9</f>
        <v>192619.656</v>
      </c>
      <c r="J14" s="45" t="n">
        <f aca="false">Tax_Bands!J$10+J9</f>
        <v>196472.04912</v>
      </c>
      <c r="K14" s="45" t="n">
        <f aca="false">Tax_Bands!K$10+K9</f>
        <v>200401.4901024</v>
      </c>
      <c r="L14" s="45" t="n">
        <f aca="false">Tax_Bands!L$10+L9</f>
        <v>204409.519904448</v>
      </c>
      <c r="M14" s="45" t="n">
        <f aca="false">Tax_Bands!M$10+M9</f>
        <v>208497.710302537</v>
      </c>
      <c r="N14" s="45" t="n">
        <f aca="false">Tax_Bands!N$10+N9</f>
        <v>212667.664508588</v>
      </c>
      <c r="O14" s="45" t="n">
        <f aca="false">Tax_Bands!O$10+O9</f>
        <v>216921.017798759</v>
      </c>
      <c r="P14" s="45" t="n">
        <f aca="false">Tax_Bands!P$10+P9</f>
        <v>221259.438154735</v>
      </c>
      <c r="Q14" s="45" t="n">
        <f aca="false">Tax_Bands!Q$10+Q9</f>
        <v>225684.626917829</v>
      </c>
      <c r="R14" s="45" t="n">
        <f aca="false">Tax_Bands!R$10+R9</f>
        <v>230198.319456186</v>
      </c>
      <c r="S14" s="45" t="n">
        <f aca="false">Tax_Bands!S$10+S9</f>
        <v>234802.28584531</v>
      </c>
      <c r="T14" s="45" t="n">
        <f aca="false">Tax_Bands!T$10+T9</f>
        <v>239498.331562216</v>
      </c>
      <c r="U14" s="45" t="n">
        <f aca="false">Tax_Bands!U$10+U9</f>
        <v>244288.29819346</v>
      </c>
      <c r="V14" s="45" t="n">
        <f aca="false">Tax_Bands!V$10+V9</f>
        <v>249174.064157329</v>
      </c>
      <c r="W14" s="45" t="n">
        <f aca="false">Tax_Bands!W$10+W9</f>
        <v>254157.545440476</v>
      </c>
      <c r="X14" s="45" t="n">
        <f aca="false">Tax_Bands!X$10+X9</f>
        <v>259240.696349286</v>
      </c>
      <c r="Y14" s="45" t="n">
        <f aca="false">Tax_Bands!Y$10+Y9</f>
        <v>264425.510276271</v>
      </c>
      <c r="Z14" s="45" t="n">
        <f aca="false">Tax_Bands!Z$10+Z9</f>
        <v>269714.020481797</v>
      </c>
      <c r="AA14" s="45" t="n">
        <f aca="false">Tax_Bands!AA$10+AA9</f>
        <v>275108.300891433</v>
      </c>
      <c r="AB14" s="45" t="n">
        <f aca="false">Tax_Bands!AB$10+AB9</f>
        <v>280610.466909261</v>
      </c>
      <c r="AC14" s="45" t="n">
        <f aca="false">Tax_Bands!AC$10+AC9</f>
        <v>286222.676247447</v>
      </c>
      <c r="AD14" s="45" t="n">
        <f aca="false">Tax_Bands!AD$10+AD9</f>
        <v>291947.129772396</v>
      </c>
      <c r="AE14" s="45" t="n">
        <f aca="false">Tax_Bands!AE$10+AE9</f>
        <v>297786.072367843</v>
      </c>
      <c r="AF14" s="45" t="n">
        <f aca="false">Tax_Bands!AF$10+AF9</f>
        <v>303741.7938152</v>
      </c>
    </row>
    <row r="15" customFormat="false" ht="15" hidden="false" customHeight="true" outlineLevel="0" collapsed="false">
      <c r="B15" s="26" t="s">
        <v>273</v>
      </c>
      <c r="C15" s="45" t="n">
        <f aca="false">Tax_Bands!C$18*MIN(C12,C13)+Tax_Bands!C$19*MAX(0,MIN(C12,C14)-C13)+Tax_Bands!C$20*MAX(0,C12-C14)</f>
        <v>56703</v>
      </c>
      <c r="D15" s="45" t="n">
        <f aca="false">Tax_Bands!D$18*MIN(D12,D13)+Tax_Bands!D$19*MAX(0,MIN(D12,D14)-D13)+Tax_Bands!D$20*MAX(0,D12-D14)</f>
        <v>60123</v>
      </c>
      <c r="E15" s="45" t="n">
        <f aca="false">Tax_Bands!E$18*MIN(E12,E13)+Tax_Bands!E$19*MAX(0,MIN(E12,E14)-E13)+Tax_Bands!E$20*MAX(0,E12-E14)</f>
        <v>63679.8</v>
      </c>
      <c r="F15" s="45" t="n">
        <f aca="false">Tax_Bands!F$18*MIN(F12,F13)+Tax_Bands!F$19*MAX(0,MIN(F12,F14)-F13)+Tax_Bands!F$20*MAX(0,F12-F14)</f>
        <v>65529.336</v>
      </c>
      <c r="G15" s="45" t="n">
        <f aca="false">Tax_Bands!G$18*MIN(G12,G13)+Tax_Bands!G$19*MAX(0,MIN(G12,G14)-G13)+Tax_Bands!G$20*MAX(0,G12-G14)</f>
        <v>67415.86272</v>
      </c>
      <c r="H15" s="45" t="n">
        <f aca="false">Tax_Bands!H$18*MIN(H12,H13)+Tax_Bands!H$19*MAX(0,MIN(H12,H14)-H13)+Tax_Bands!H$20*MAX(0,H12-H14)</f>
        <v>68764.1799744</v>
      </c>
      <c r="I15" s="45" t="n">
        <f aca="false">Tax_Bands!I$18*MIN(I12,I13)+Tax_Bands!I$19*MAX(0,MIN(I12,I14)-I13)+Tax_Bands!I$20*MAX(0,I12-I14)</f>
        <v>70139.4635738881</v>
      </c>
      <c r="J15" s="45" t="n">
        <f aca="false">Tax_Bands!J$18*MIN(J12,J13)+Tax_Bands!J$19*MAX(0,MIN(J12,J14)-J13)+Tax_Bands!J$20*MAX(0,J12-J14)</f>
        <v>71542.2528453658</v>
      </c>
      <c r="K15" s="45" t="n">
        <f aca="false">Tax_Bands!K$18*MIN(K12,K13)+Tax_Bands!K$19*MAX(0,MIN(K12,K14)-K13)+Tax_Bands!K$20*MAX(0,K12-K14)</f>
        <v>72973.0979022731</v>
      </c>
      <c r="L15" s="45" t="n">
        <f aca="false">Tax_Bands!L$18*MIN(L12,L13)+Tax_Bands!L$19*MAX(0,MIN(L12,L14)-L13)+Tax_Bands!L$20*MAX(0,L12-L14)</f>
        <v>74432.5598603186</v>
      </c>
      <c r="M15" s="45" t="n">
        <f aca="false">Tax_Bands!M$18*MIN(M12,M13)+Tax_Bands!M$19*MAX(0,MIN(M12,M14)-M13)+Tax_Bands!M$20*MAX(0,M12-M14)</f>
        <v>75921.2110575249</v>
      </c>
      <c r="N15" s="45" t="n">
        <f aca="false">Tax_Bands!N$18*MIN(N12,N13)+Tax_Bands!N$19*MAX(0,MIN(N12,N14)-N13)+Tax_Bands!N$20*MAX(0,N12-N14)</f>
        <v>77439.6352786754</v>
      </c>
      <c r="O15" s="45" t="n">
        <f aca="false">Tax_Bands!O$18*MIN(O12,O13)+Tax_Bands!O$19*MAX(0,MIN(O12,O14)-O13)+Tax_Bands!O$20*MAX(0,O12-O14)</f>
        <v>78988.4279842489</v>
      </c>
      <c r="P15" s="45" t="n">
        <f aca="false">Tax_Bands!P$18*MIN(P12,P13)+Tax_Bands!P$19*MAX(0,MIN(P12,P14)-P13)+Tax_Bands!P$20*MAX(0,P12-P14)</f>
        <v>80568.1965439339</v>
      </c>
      <c r="Q15" s="45" t="n">
        <f aca="false">Tax_Bands!Q$18*MIN(Q12,Q13)+Tax_Bands!Q$19*MAX(0,MIN(Q12,Q14)-Q13)+Tax_Bands!Q$20*MAX(0,Q12-Q14)</f>
        <v>82179.5604748126</v>
      </c>
      <c r="R15" s="45" t="n">
        <f aca="false">Tax_Bands!R$18*MIN(R12,R13)+Tax_Bands!R$19*MAX(0,MIN(R12,R14)-R13)+Tax_Bands!R$20*MAX(0,R12-R14)</f>
        <v>83823.1516843089</v>
      </c>
      <c r="S15" s="45" t="n">
        <f aca="false">Tax_Bands!S$18*MIN(S12,S13)+Tax_Bands!S$19*MAX(0,MIN(S12,S14)-S13)+Tax_Bands!S$20*MAX(0,S12-S14)</f>
        <v>85499.614717995</v>
      </c>
      <c r="T15" s="45" t="n">
        <f aca="false">Tax_Bands!T$18*MIN(T12,T13)+Tax_Bands!T$19*MAX(0,MIN(T12,T14)-T13)+Tax_Bands!T$20*MAX(0,T12-T14)</f>
        <v>87209.6070123549</v>
      </c>
      <c r="U15" s="45" t="n">
        <f aca="false">Tax_Bands!U$18*MIN(U12,U13)+Tax_Bands!U$19*MAX(0,MIN(U12,U14)-U13)+Tax_Bands!U$20*MAX(0,U12-U14)</f>
        <v>88953.7991526021</v>
      </c>
      <c r="V15" s="45" t="n">
        <f aca="false">Tax_Bands!V$18*MIN(V12,V13)+Tax_Bands!V$19*MAX(0,MIN(V12,V14)-V13)+Tax_Bands!V$20*MAX(0,V12-V14)</f>
        <v>90732.8751356541</v>
      </c>
      <c r="W15" s="45" t="n">
        <f aca="false">Tax_Bands!W$18*MIN(W12,W13)+Tax_Bands!W$19*MAX(0,MIN(W12,W14)-W13)+Tax_Bands!W$20*MAX(0,W12-W14)</f>
        <v>92547.5326383672</v>
      </c>
      <c r="X15" s="45" t="n">
        <f aca="false">Tax_Bands!X$18*MIN(X12,X13)+Tax_Bands!X$19*MAX(0,MIN(X12,X14)-X13)+Tax_Bands!X$20*MAX(0,X12-X14)</f>
        <v>94398.4832911345</v>
      </c>
      <c r="Y15" s="45" t="n">
        <f aca="false">Tax_Bands!Y$18*MIN(Y12,Y13)+Tax_Bands!Y$19*MAX(0,MIN(Y12,Y14)-Y13)+Tax_Bands!Y$20*MAX(0,Y12-Y14)</f>
        <v>96286.4529569572</v>
      </c>
      <c r="Z15" s="45" t="n">
        <f aca="false">Tax_Bands!Z$18*MIN(Z12,Z13)+Tax_Bands!Z$19*MAX(0,MIN(Z12,Z14)-Z13)+Tax_Bands!Z$20*MAX(0,Z12-Z14)</f>
        <v>98212.1820160964</v>
      </c>
      <c r="AA15" s="45" t="n">
        <f aca="false">Tax_Bands!AA$18*MIN(AA12,AA13)+Tax_Bands!AA$19*MAX(0,MIN(AA12,AA14)-AA13)+Tax_Bands!AA$20*MAX(0,AA12-AA14)</f>
        <v>100176.425656418</v>
      </c>
      <c r="AB15" s="45" t="n">
        <f aca="false">Tax_Bands!AB$18*MIN(AB12,AB13)+Tax_Bands!AB$19*MAX(0,MIN(AB12,AB14)-AB13)+Tax_Bands!AB$20*MAX(0,AB12-AB14)</f>
        <v>102179.954169547</v>
      </c>
      <c r="AC15" s="45" t="n">
        <f aca="false">Tax_Bands!AC$18*MIN(AC12,AC13)+Tax_Bands!AC$19*MAX(0,MIN(AC12,AC14)-AC13)+Tax_Bands!AC$20*MAX(0,AC12-AC14)</f>
        <v>104223.553252938</v>
      </c>
      <c r="AD15" s="45" t="n">
        <f aca="false">Tax_Bands!AD$18*MIN(AD12,AD13)+Tax_Bands!AD$19*MAX(0,MIN(AD12,AD14)-AD13)+Tax_Bands!AD$20*MAX(0,AD12-AD14)</f>
        <v>106308.024317996</v>
      </c>
      <c r="AE15" s="45" t="n">
        <f aca="false">Tax_Bands!AE$18*MIN(AE12,AE13)+Tax_Bands!AE$19*MAX(0,MIN(AE12,AE14)-AE13)+Tax_Bands!AE$20*MAX(0,AE12-AE14)</f>
        <v>108434.184804356</v>
      </c>
      <c r="AF15" s="45" t="n">
        <f aca="false">Tax_Bands!AF$18*MIN(AF12,AF13)+Tax_Bands!AF$19*MAX(0,MIN(AF12,AF14)-AF13)+Tax_Bands!AF$20*MAX(0,AF12-AF14)</f>
        <v>110602.868500443</v>
      </c>
    </row>
    <row r="16" customFormat="false" ht="15" hidden="false" customHeight="true" outlineLevel="0" collapsed="false">
      <c r="B16" s="26" t="s">
        <v>274</v>
      </c>
      <c r="C16" s="45" t="n">
        <f aca="false">Tax_Bands!C$21*MAX(0,MIN(C8,Tax_Bands!C$12)-Tax_Bands!C$11)+Tax_Bands!C$22*MAX(0,C8-Tax_Bands!C$12)</f>
        <v>5810.6</v>
      </c>
      <c r="D16" s="45" t="n">
        <f aca="false">Tax_Bands!D$21*MAX(0,MIN(D8,Tax_Bands!D$12)-Tax_Bands!D$11)+Tax_Bands!D$22*MAX(0,D8-Tax_Bands!D$12)</f>
        <v>5962.6</v>
      </c>
      <c r="E16" s="45" t="n">
        <f aca="false">Tax_Bands!E$21*MAX(0,MIN(E8,Tax_Bands!E$12)-Tax_Bands!E$11)+Tax_Bands!E$22*MAX(0,E8-Tax_Bands!E$12)</f>
        <v>6120.68</v>
      </c>
      <c r="F16" s="45" t="n">
        <f aca="false">Tax_Bands!F$21*MAX(0,MIN(F8,Tax_Bands!F$12)-Tax_Bands!F$11)+Tax_Bands!F$22*MAX(0,F8-Tax_Bands!F$12)</f>
        <v>6202.8816</v>
      </c>
      <c r="G16" s="45" t="n">
        <f aca="false">Tax_Bands!G$21*MAX(0,MIN(G8,Tax_Bands!G$12)-Tax_Bands!G$11)+Tax_Bands!G$22*MAX(0,G8-Tax_Bands!G$12)</f>
        <v>6286.727232</v>
      </c>
      <c r="H16" s="45" t="n">
        <f aca="false">Tax_Bands!H$21*MAX(0,MIN(H8,Tax_Bands!H$12)-Tax_Bands!H$11)+Tax_Bands!H$22*MAX(0,H8-Tax_Bands!H$12)</f>
        <v>6412.46177664</v>
      </c>
      <c r="I16" s="45" t="n">
        <f aca="false">Tax_Bands!I$21*MAX(0,MIN(I8,Tax_Bands!I$12)-Tax_Bands!I$11)+Tax_Bands!I$22*MAX(0,I8-Tax_Bands!I$12)</f>
        <v>6540.7110121728</v>
      </c>
      <c r="J16" s="45" t="n">
        <f aca="false">Tax_Bands!J$21*MAX(0,MIN(J8,Tax_Bands!J$12)-Tax_Bands!J$11)+Tax_Bands!J$22*MAX(0,J8-Tax_Bands!J$12)</f>
        <v>6671.52523241626</v>
      </c>
      <c r="K16" s="45" t="n">
        <f aca="false">Tax_Bands!K$21*MAX(0,MIN(K8,Tax_Bands!K$12)-Tax_Bands!K$11)+Tax_Bands!K$22*MAX(0,K8-Tax_Bands!K$12)</f>
        <v>6804.95573706458</v>
      </c>
      <c r="L16" s="45" t="n">
        <f aca="false">Tax_Bands!L$21*MAX(0,MIN(L8,Tax_Bands!L$12)-Tax_Bands!L$11)+Tax_Bands!L$22*MAX(0,L8-Tax_Bands!L$12)</f>
        <v>6941.05485180588</v>
      </c>
      <c r="M16" s="45" t="n">
        <f aca="false">Tax_Bands!M$21*MAX(0,MIN(M8,Tax_Bands!M$12)-Tax_Bands!M$11)+Tax_Bands!M$22*MAX(0,M8-Tax_Bands!M$12)</f>
        <v>7079.87594884199</v>
      </c>
      <c r="N16" s="45" t="n">
        <f aca="false">Tax_Bands!N$21*MAX(0,MIN(N8,Tax_Bands!N$12)-Tax_Bands!N$11)+Tax_Bands!N$22*MAX(0,N8-Tax_Bands!N$12)</f>
        <v>7221.47346781883</v>
      </c>
      <c r="O16" s="45" t="n">
        <f aca="false">Tax_Bands!O$21*MAX(0,MIN(O8,Tax_Bands!O$12)-Tax_Bands!O$11)+Tax_Bands!O$22*MAX(0,O8-Tax_Bands!O$12)</f>
        <v>7365.90293717521</v>
      </c>
      <c r="P16" s="45" t="n">
        <f aca="false">Tax_Bands!P$21*MAX(0,MIN(P8,Tax_Bands!P$12)-Tax_Bands!P$11)+Tax_Bands!P$22*MAX(0,P8-Tax_Bands!P$12)</f>
        <v>7513.22099591871</v>
      </c>
      <c r="Q16" s="45" t="n">
        <f aca="false">Tax_Bands!Q$21*MAX(0,MIN(Q8,Tax_Bands!Q$12)-Tax_Bands!Q$11)+Tax_Bands!Q$22*MAX(0,Q8-Tax_Bands!Q$12)</f>
        <v>7663.48541583709</v>
      </c>
      <c r="R16" s="45" t="n">
        <f aca="false">Tax_Bands!R$21*MAX(0,MIN(R8,Tax_Bands!R$12)-Tax_Bands!R$11)+Tax_Bands!R$22*MAX(0,R8-Tax_Bands!R$12)</f>
        <v>7816.75512415383</v>
      </c>
      <c r="S16" s="45" t="n">
        <f aca="false">Tax_Bands!S$21*MAX(0,MIN(S8,Tax_Bands!S$12)-Tax_Bands!S$11)+Tax_Bands!S$22*MAX(0,S8-Tax_Bands!S$12)</f>
        <v>7973.09022663691</v>
      </c>
      <c r="T16" s="45" t="n">
        <f aca="false">Tax_Bands!T$21*MAX(0,MIN(T8,Tax_Bands!T$12)-Tax_Bands!T$11)+Tax_Bands!T$22*MAX(0,T8-Tax_Bands!T$12)</f>
        <v>8132.55203116964</v>
      </c>
      <c r="U16" s="45" t="n">
        <f aca="false">Tax_Bands!U$21*MAX(0,MIN(U8,Tax_Bands!U$12)-Tax_Bands!U$11)+Tax_Bands!U$22*MAX(0,U8-Tax_Bands!U$12)</f>
        <v>8295.20307179304</v>
      </c>
      <c r="V16" s="45" t="n">
        <f aca="false">Tax_Bands!V$21*MAX(0,MIN(V8,Tax_Bands!V$12)-Tax_Bands!V$11)+Tax_Bands!V$22*MAX(0,V8-Tax_Bands!V$12)</f>
        <v>8461.1071332289</v>
      </c>
      <c r="W16" s="45" t="n">
        <f aca="false">Tax_Bands!W$21*MAX(0,MIN(W8,Tax_Bands!W$12)-Tax_Bands!W$11)+Tax_Bands!W$22*MAX(0,W8-Tax_Bands!W$12)</f>
        <v>8630.32927589348</v>
      </c>
      <c r="X16" s="45" t="n">
        <f aca="false">Tax_Bands!X$21*MAX(0,MIN(X8,Tax_Bands!X$12)-Tax_Bands!X$11)+Tax_Bands!X$22*MAX(0,X8-Tax_Bands!X$12)</f>
        <v>8802.93586141134</v>
      </c>
      <c r="Y16" s="45" t="n">
        <f aca="false">Tax_Bands!Y$21*MAX(0,MIN(Y8,Tax_Bands!Y$12)-Tax_Bands!Y$11)+Tax_Bands!Y$22*MAX(0,Y8-Tax_Bands!Y$12)</f>
        <v>8978.99457863957</v>
      </c>
      <c r="Z16" s="45" t="n">
        <f aca="false">Tax_Bands!Z$21*MAX(0,MIN(Z8,Tax_Bands!Z$12)-Tax_Bands!Z$11)+Tax_Bands!Z$22*MAX(0,Z8-Tax_Bands!Z$12)</f>
        <v>9158.57447021236</v>
      </c>
      <c r="AA16" s="45" t="n">
        <f aca="false">Tax_Bands!AA$21*MAX(0,MIN(AA8,Tax_Bands!AA$12)-Tax_Bands!AA$11)+Tax_Bands!AA$22*MAX(0,AA8-Tax_Bands!AA$12)</f>
        <v>9341.74595961661</v>
      </c>
      <c r="AB16" s="45" t="n">
        <f aca="false">Tax_Bands!AB$21*MAX(0,MIN(AB8,Tax_Bands!AB$12)-Tax_Bands!AB$11)+Tax_Bands!AB$22*MAX(0,AB8-Tax_Bands!AB$12)</f>
        <v>9528.58087880895</v>
      </c>
      <c r="AC16" s="45" t="n">
        <f aca="false">Tax_Bands!AC$21*MAX(0,MIN(AC8,Tax_Bands!AC$12)-Tax_Bands!AC$11)+Tax_Bands!AC$22*MAX(0,AC8-Tax_Bands!AC$12)</f>
        <v>9719.15249638512</v>
      </c>
      <c r="AD16" s="45" t="n">
        <f aca="false">Tax_Bands!AD$21*MAX(0,MIN(AD8,Tax_Bands!AD$12)-Tax_Bands!AD$11)+Tax_Bands!AD$22*MAX(0,AD8-Tax_Bands!AD$12)</f>
        <v>9913.53554631283</v>
      </c>
      <c r="AE16" s="45" t="n">
        <f aca="false">Tax_Bands!AE$21*MAX(0,MIN(AE8,Tax_Bands!AE$12)-Tax_Bands!AE$11)+Tax_Bands!AE$22*MAX(0,AE8-Tax_Bands!AE$12)</f>
        <v>10111.8062572391</v>
      </c>
      <c r="AF16" s="45" t="n">
        <f aca="false">Tax_Bands!AF$21*MAX(0,MIN(AF8,Tax_Bands!AF$12)-Tax_Bands!AF$11)+Tax_Bands!AF$22*MAX(0,AF8-Tax_Bands!AF$12)</f>
        <v>10314.0423823839</v>
      </c>
    </row>
    <row r="17" customFormat="false" ht="15" hidden="false" customHeight="true" outlineLevel="0" collapsed="false">
      <c r="B17" s="24" t="s">
        <v>275</v>
      </c>
      <c r="C17" s="50" t="n">
        <f aca="false">C8-C15-C16</f>
        <v>127486.4</v>
      </c>
      <c r="D17" s="50" t="n">
        <f aca="false">D8-D15-D16</f>
        <v>131514.4</v>
      </c>
      <c r="E17" s="50" t="n">
        <f aca="false">E8-E15-E16</f>
        <v>135703.52</v>
      </c>
      <c r="F17" s="50" t="n">
        <f aca="false">F8-F15-F16</f>
        <v>137881.8624</v>
      </c>
      <c r="G17" s="50" t="n">
        <f aca="false">G8-G15-G16</f>
        <v>140103.771648</v>
      </c>
      <c r="H17" s="50" t="n">
        <f aca="false">H8-H15-H16</f>
        <v>142905.84708096</v>
      </c>
      <c r="I17" s="50" t="n">
        <f aca="false">I8-I15-I16</f>
        <v>145763.964022579</v>
      </c>
      <c r="J17" s="50" t="n">
        <f aca="false">J8-J15-J16</f>
        <v>148679.243303031</v>
      </c>
      <c r="K17" s="50" t="n">
        <f aca="false">K8-K15-K16</f>
        <v>151652.828169091</v>
      </c>
      <c r="L17" s="50" t="n">
        <f aca="false">L8-L15-L16</f>
        <v>154685.884732473</v>
      </c>
      <c r="M17" s="50" t="n">
        <f aca="false">M8-M15-M16</f>
        <v>157779.602427123</v>
      </c>
      <c r="N17" s="50" t="n">
        <f aca="false">N8-N15-N16</f>
        <v>160935.194475665</v>
      </c>
      <c r="O17" s="50" t="n">
        <f aca="false">O8-O15-O16</f>
        <v>164153.898365179</v>
      </c>
      <c r="P17" s="50" t="n">
        <f aca="false">P8-P15-P16</f>
        <v>167436.976332482</v>
      </c>
      <c r="Q17" s="50" t="n">
        <f aca="false">Q8-Q15-Q16</f>
        <v>170785.715859132</v>
      </c>
      <c r="R17" s="50" t="n">
        <f aca="false">R8-R15-R16</f>
        <v>174201.430176314</v>
      </c>
      <c r="S17" s="50" t="n">
        <f aca="false">S8-S15-S16</f>
        <v>177685.458779841</v>
      </c>
      <c r="T17" s="50" t="n">
        <f aca="false">T8-T15-T16</f>
        <v>181239.167955437</v>
      </c>
      <c r="U17" s="50" t="n">
        <f aca="false">U8-U15-U16</f>
        <v>184863.951314546</v>
      </c>
      <c r="V17" s="50" t="n">
        <f aca="false">V8-V15-V16</f>
        <v>188561.230340837</v>
      </c>
      <c r="W17" s="50" t="n">
        <f aca="false">W8-W15-W16</f>
        <v>192332.454947654</v>
      </c>
      <c r="X17" s="50" t="n">
        <f aca="false">X8-X15-X16</f>
        <v>196179.104046607</v>
      </c>
      <c r="Y17" s="50" t="n">
        <f aca="false">Y8-Y15-Y16</f>
        <v>200102.686127539</v>
      </c>
      <c r="Z17" s="50" t="n">
        <f aca="false">Z8-Z15-Z16</f>
        <v>204104.73985009</v>
      </c>
      <c r="AA17" s="50" t="n">
        <f aca="false">AA8-AA15-AA16</f>
        <v>208186.834647092</v>
      </c>
      <c r="AB17" s="50" t="n">
        <f aca="false">AB8-AB15-AB16</f>
        <v>212350.571340034</v>
      </c>
      <c r="AC17" s="50" t="n">
        <f aca="false">AC8-AC15-AC16</f>
        <v>216597.582766834</v>
      </c>
      <c r="AD17" s="50" t="n">
        <f aca="false">AD8-AD15-AD16</f>
        <v>220929.534422171</v>
      </c>
      <c r="AE17" s="50" t="n">
        <f aca="false">AE8-AE15-AE16</f>
        <v>225348.125110614</v>
      </c>
      <c r="AF17" s="50" t="n">
        <f aca="false">AF8-AF15-AF16</f>
        <v>229855.087612827</v>
      </c>
    </row>
    <row r="18" customFormat="false" ht="15" hidden="false" customHeight="true" outlineLevel="0" collapsed="false">
      <c r="B18" s="49" t="s">
        <v>276</v>
      </c>
      <c r="C18" s="36" t="n">
        <f aca="false">IF(C8=0,0,(C15+C16)/C8)</f>
        <v>0.329018947368421</v>
      </c>
      <c r="D18" s="36" t="n">
        <f aca="false">IF(D8=0,0,(D15+D16)/D8)</f>
        <v>0.334441295546559</v>
      </c>
      <c r="E18" s="36" t="n">
        <f aca="false">IF(E8=0,0,(E15+E16)/E8)</f>
        <v>0.339655091871691</v>
      </c>
      <c r="F18" s="36" t="n">
        <f aca="false">IF(F8=0,0,(F15+F16)/F8)</f>
        <v>0.342210874384011</v>
      </c>
      <c r="G18" s="36" t="n">
        <f aca="false">IF(G8=0,0,(G15+G16)/G8)</f>
        <v>0.344716543513736</v>
      </c>
      <c r="H18" s="36" t="n">
        <f aca="false">IF(H8=0,0,(H15+H16)/H8)</f>
        <v>0.344716543513736</v>
      </c>
      <c r="I18" s="36" t="n">
        <f aca="false">IF(I8=0,0,(I15+I16)/I8)</f>
        <v>0.344716543513736</v>
      </c>
      <c r="J18" s="36" t="n">
        <f aca="false">IF(J8=0,0,(J15+J16)/J8)</f>
        <v>0.344716543513736</v>
      </c>
      <c r="K18" s="36" t="n">
        <f aca="false">IF(K8=0,0,(K15+K16)/K8)</f>
        <v>0.344716543513736</v>
      </c>
      <c r="L18" s="36" t="n">
        <f aca="false">IF(L8=0,0,(L15+L16)/L8)</f>
        <v>0.344716543513736</v>
      </c>
      <c r="M18" s="36" t="n">
        <f aca="false">IF(M8=0,0,(M15+M16)/M8)</f>
        <v>0.344716543513736</v>
      </c>
      <c r="N18" s="36" t="n">
        <f aca="false">IF(N8=0,0,(N15+N16)/N8)</f>
        <v>0.344716543513736</v>
      </c>
      <c r="O18" s="36" t="n">
        <f aca="false">IF(O8=0,0,(O15+O16)/O8)</f>
        <v>0.344716543513736</v>
      </c>
      <c r="P18" s="36" t="n">
        <f aca="false">IF(P8=0,0,(P15+P16)/P8)</f>
        <v>0.344716543513736</v>
      </c>
      <c r="Q18" s="36" t="n">
        <f aca="false">IF(Q8=0,0,(Q15+Q16)/Q8)</f>
        <v>0.344716543513736</v>
      </c>
      <c r="R18" s="36" t="n">
        <f aca="false">IF(R8=0,0,(R15+R16)/R8)</f>
        <v>0.344716543513736</v>
      </c>
      <c r="S18" s="36" t="n">
        <f aca="false">IF(S8=0,0,(S15+S16)/S8)</f>
        <v>0.344716543513736</v>
      </c>
      <c r="T18" s="36" t="n">
        <f aca="false">IF(T8=0,0,(T15+T16)/T8)</f>
        <v>0.344716543513736</v>
      </c>
      <c r="U18" s="36" t="n">
        <f aca="false">IF(U8=0,0,(U15+U16)/U8)</f>
        <v>0.344716543513736</v>
      </c>
      <c r="V18" s="36" t="n">
        <f aca="false">IF(V8=0,0,(V15+V16)/V8)</f>
        <v>0.344716543513736</v>
      </c>
      <c r="W18" s="36" t="n">
        <f aca="false">IF(W8=0,0,(W15+W16)/W8)</f>
        <v>0.344716543513736</v>
      </c>
      <c r="X18" s="36" t="n">
        <f aca="false">IF(X8=0,0,(X15+X16)/X8)</f>
        <v>0.344716543513736</v>
      </c>
      <c r="Y18" s="36" t="n">
        <f aca="false">IF(Y8=0,0,(Y15+Y16)/Y8)</f>
        <v>0.344716543513736</v>
      </c>
      <c r="Z18" s="36" t="n">
        <f aca="false">IF(Z8=0,0,(Z15+Z16)/Z8)</f>
        <v>0.344716543513736</v>
      </c>
      <c r="AA18" s="36" t="n">
        <f aca="false">IF(AA8=0,0,(AA15+AA16)/AA8)</f>
        <v>0.344716543513736</v>
      </c>
      <c r="AB18" s="36" t="n">
        <f aca="false">IF(AB8=0,0,(AB15+AB16)/AB8)</f>
        <v>0.344716543513736</v>
      </c>
      <c r="AC18" s="36" t="n">
        <f aca="false">IF(AC8=0,0,(AC15+AC16)/AC8)</f>
        <v>0.344716543513736</v>
      </c>
      <c r="AD18" s="36" t="n">
        <f aca="false">IF(AD8=0,0,(AD15+AD16)/AD8)</f>
        <v>0.344716543513736</v>
      </c>
      <c r="AE18" s="36" t="n">
        <f aca="false">IF(AE8=0,0,(AE15+AE16)/AE8)</f>
        <v>0.344716543513736</v>
      </c>
      <c r="AF18" s="36" t="n">
        <f aca="false">IF(AF8=0,0,(AF15+AF16)/AF8)</f>
        <v>0.344716543513736</v>
      </c>
    </row>
    <row r="20" customFormat="false" ht="15" hidden="false" customHeight="true" outlineLevel="0" collapsed="false">
      <c r="B20" s="26" t="s">
        <v>277</v>
      </c>
      <c r="C20" s="45" t="n">
        <f aca="false">-C9</f>
        <v>-60000</v>
      </c>
      <c r="D20" s="45" t="n">
        <f aca="false">-D9</f>
        <v>-60000</v>
      </c>
      <c r="E20" s="45" t="n">
        <f aca="false">-E9</f>
        <v>-60000</v>
      </c>
      <c r="F20" s="45" t="n">
        <f aca="false">-F9</f>
        <v>-60000</v>
      </c>
      <c r="G20" s="45" t="n">
        <f aca="false">-G9</f>
        <v>-60000</v>
      </c>
      <c r="H20" s="45" t="n">
        <f aca="false">-H9</f>
        <v>-61200</v>
      </c>
      <c r="I20" s="45" t="n">
        <f aca="false">-I9</f>
        <v>-62424</v>
      </c>
      <c r="J20" s="45" t="n">
        <f aca="false">-J9</f>
        <v>-63672.48</v>
      </c>
      <c r="K20" s="45" t="n">
        <f aca="false">-K9</f>
        <v>-64945.9296</v>
      </c>
      <c r="L20" s="45" t="n">
        <f aca="false">-L9</f>
        <v>-66244.848192</v>
      </c>
      <c r="M20" s="45" t="n">
        <f aca="false">-M9</f>
        <v>-67569.74515584</v>
      </c>
      <c r="N20" s="45" t="n">
        <f aca="false">-N9</f>
        <v>-68921.1400589568</v>
      </c>
      <c r="O20" s="45" t="n">
        <f aca="false">-O9</f>
        <v>-70299.562860136</v>
      </c>
      <c r="P20" s="45" t="n">
        <f aca="false">-P9</f>
        <v>-71705.5541173387</v>
      </c>
      <c r="Q20" s="45" t="n">
        <f aca="false">-Q9</f>
        <v>-73139.6651996854</v>
      </c>
      <c r="R20" s="45" t="n">
        <f aca="false">-R9</f>
        <v>-74602.4585036792</v>
      </c>
      <c r="S20" s="45" t="n">
        <f aca="false">-S9</f>
        <v>-76094.5076737527</v>
      </c>
      <c r="T20" s="45" t="n">
        <f aca="false">-T9</f>
        <v>-77616.3978272278</v>
      </c>
      <c r="U20" s="45" t="n">
        <f aca="false">-U9</f>
        <v>-79168.7257837723</v>
      </c>
      <c r="V20" s="45" t="n">
        <f aca="false">-V9</f>
        <v>-80752.1002994478</v>
      </c>
      <c r="W20" s="45" t="n">
        <f aca="false">-W9</f>
        <v>-82367.1423054368</v>
      </c>
      <c r="X20" s="45" t="n">
        <f aca="false">-X9</f>
        <v>-84014.4851515455</v>
      </c>
      <c r="Y20" s="45" t="n">
        <f aca="false">-Y9</f>
        <v>-85694.7748545764</v>
      </c>
      <c r="Z20" s="45" t="n">
        <f aca="false">-Z9</f>
        <v>-87408.6703516679</v>
      </c>
      <c r="AA20" s="45" t="n">
        <f aca="false">-AA9</f>
        <v>-89156.8437587013</v>
      </c>
      <c r="AB20" s="45" t="n">
        <f aca="false">-AB9</f>
        <v>-90939.9806338753</v>
      </c>
      <c r="AC20" s="45" t="n">
        <f aca="false">-AC9</f>
        <v>-92758.7802465528</v>
      </c>
      <c r="AD20" s="45" t="n">
        <f aca="false">-AD9</f>
        <v>-94613.9558514839</v>
      </c>
      <c r="AE20" s="45" t="n">
        <f aca="false">-AE9</f>
        <v>-96506.2349685136</v>
      </c>
      <c r="AF20" s="45" t="n">
        <f aca="false">-AF9</f>
        <v>-98436.3596678838</v>
      </c>
    </row>
    <row r="21" customFormat="false" ht="15" hidden="false" customHeight="true" outlineLevel="0" collapsed="false">
      <c r="B21" s="26" t="s">
        <v>278</v>
      </c>
      <c r="C21" s="45" t="n">
        <f aca="false">-MIN(Tax_Bands!C$16,MAX(0,C17+C20))</f>
        <v>-20000</v>
      </c>
      <c r="D21" s="45" t="n">
        <f aca="false">-MIN(Tax_Bands!D$16,MAX(0,D17+D20))</f>
        <v>-20000</v>
      </c>
      <c r="E21" s="45" t="n">
        <f aca="false">-MIN(Tax_Bands!E$16,MAX(0,E17+E20))</f>
        <v>-20000</v>
      </c>
      <c r="F21" s="45" t="n">
        <f aca="false">-MIN(Tax_Bands!F$16,MAX(0,F17+F20))</f>
        <v>-20000</v>
      </c>
      <c r="G21" s="45" t="n">
        <f aca="false">-MIN(Tax_Bands!G$16,MAX(0,G17+G20))</f>
        <v>-20000</v>
      </c>
      <c r="H21" s="45" t="n">
        <f aca="false">-MIN(Tax_Bands!H$16,MAX(0,H17+H20))</f>
        <v>-20400</v>
      </c>
      <c r="I21" s="45" t="n">
        <f aca="false">-MIN(Tax_Bands!I$16,MAX(0,I17+I20))</f>
        <v>-20808</v>
      </c>
      <c r="J21" s="45" t="n">
        <f aca="false">-MIN(Tax_Bands!J$16,MAX(0,J17+J20))</f>
        <v>-21224.16</v>
      </c>
      <c r="K21" s="45" t="n">
        <f aca="false">-MIN(Tax_Bands!K$16,MAX(0,K17+K20))</f>
        <v>-21648.6432</v>
      </c>
      <c r="L21" s="45" t="n">
        <f aca="false">-MIN(Tax_Bands!L$16,MAX(0,L17+L20))</f>
        <v>-22081.616064</v>
      </c>
      <c r="M21" s="45" t="n">
        <f aca="false">-MIN(Tax_Bands!M$16,MAX(0,M17+M20))</f>
        <v>-22523.24838528</v>
      </c>
      <c r="N21" s="45" t="n">
        <f aca="false">-MIN(Tax_Bands!N$16,MAX(0,N17+N20))</f>
        <v>-22973.7133529856</v>
      </c>
      <c r="O21" s="45" t="n">
        <f aca="false">-MIN(Tax_Bands!O$16,MAX(0,O17+O20))</f>
        <v>-23433.1876200453</v>
      </c>
      <c r="P21" s="45" t="n">
        <f aca="false">-MIN(Tax_Bands!P$16,MAX(0,P17+P20))</f>
        <v>-23901.8513724462</v>
      </c>
      <c r="Q21" s="45" t="n">
        <f aca="false">-MIN(Tax_Bands!Q$16,MAX(0,Q17+Q20))</f>
        <v>-24379.8883998951</v>
      </c>
      <c r="R21" s="45" t="n">
        <f aca="false">-MIN(Tax_Bands!R$16,MAX(0,R17+R20))</f>
        <v>-24867.4861678931</v>
      </c>
      <c r="S21" s="45" t="n">
        <f aca="false">-MIN(Tax_Bands!S$16,MAX(0,S17+S20))</f>
        <v>-25364.8358912509</v>
      </c>
      <c r="T21" s="45" t="n">
        <f aca="false">-MIN(Tax_Bands!T$16,MAX(0,T17+T20))</f>
        <v>-25872.1326090759</v>
      </c>
      <c r="U21" s="45" t="n">
        <f aca="false">-MIN(Tax_Bands!U$16,MAX(0,U17+U20))</f>
        <v>-26389.5752612574</v>
      </c>
      <c r="V21" s="45" t="n">
        <f aca="false">-MIN(Tax_Bands!V$16,MAX(0,V17+V20))</f>
        <v>-26917.3667664826</v>
      </c>
      <c r="W21" s="45" t="n">
        <f aca="false">-MIN(Tax_Bands!W$16,MAX(0,W17+W20))</f>
        <v>-27455.7141018123</v>
      </c>
      <c r="X21" s="45" t="n">
        <f aca="false">-MIN(Tax_Bands!X$16,MAX(0,X17+X20))</f>
        <v>-28004.8283838485</v>
      </c>
      <c r="Y21" s="45" t="n">
        <f aca="false">-MIN(Tax_Bands!Y$16,MAX(0,Y17+Y20))</f>
        <v>-28564.9249515255</v>
      </c>
      <c r="Z21" s="45" t="n">
        <f aca="false">-MIN(Tax_Bands!Z$16,MAX(0,Z17+Z20))</f>
        <v>-29136.223450556</v>
      </c>
      <c r="AA21" s="45" t="n">
        <f aca="false">-MIN(Tax_Bands!AA$16,MAX(0,AA17+AA20))</f>
        <v>-29718.9479195671</v>
      </c>
      <c r="AB21" s="45" t="n">
        <f aca="false">-MIN(Tax_Bands!AB$16,MAX(0,AB17+AB20))</f>
        <v>-30313.3268779584</v>
      </c>
      <c r="AC21" s="45" t="n">
        <f aca="false">-MIN(Tax_Bands!AC$16,MAX(0,AC17+AC20))</f>
        <v>-30919.5934155176</v>
      </c>
      <c r="AD21" s="45" t="n">
        <f aca="false">-MIN(Tax_Bands!AD$16,MAX(0,AD17+AD20))</f>
        <v>-31537.985283828</v>
      </c>
      <c r="AE21" s="45" t="n">
        <f aca="false">-MIN(Tax_Bands!AE$16,MAX(0,AE17+AE20))</f>
        <v>-32168.7449895045</v>
      </c>
      <c r="AF21" s="45" t="n">
        <f aca="false">-MIN(Tax_Bands!AF$16,MAX(0,AF17+AF20))</f>
        <v>-32812.1198892946</v>
      </c>
    </row>
    <row r="22" customFormat="false" ht="15" hidden="false" customHeight="true" outlineLevel="0" collapsed="false">
      <c r="B22" s="24" t="s">
        <v>279</v>
      </c>
      <c r="C22" s="50" t="n">
        <f aca="false">C17+C20+C21</f>
        <v>47486.4</v>
      </c>
      <c r="D22" s="50" t="n">
        <f aca="false">D17+D20+D21</f>
        <v>51514.4</v>
      </c>
      <c r="E22" s="50" t="n">
        <f aca="false">E17+E20+E21</f>
        <v>55703.52</v>
      </c>
      <c r="F22" s="50" t="n">
        <f aca="false">F17+F20+F21</f>
        <v>57881.8624</v>
      </c>
      <c r="G22" s="50" t="n">
        <f aca="false">G17+G20+G21</f>
        <v>60103.771648</v>
      </c>
      <c r="H22" s="50" t="n">
        <f aca="false">H17+H20+H21</f>
        <v>61305.84708096</v>
      </c>
      <c r="I22" s="50" t="n">
        <f aca="false">I17+I20+I21</f>
        <v>62531.9640225793</v>
      </c>
      <c r="J22" s="50" t="n">
        <f aca="false">J17+J20+J21</f>
        <v>63782.6033030308</v>
      </c>
      <c r="K22" s="50" t="n">
        <f aca="false">K17+K20+K21</f>
        <v>65058.2553690914</v>
      </c>
      <c r="L22" s="50" t="n">
        <f aca="false">L17+L20+L21</f>
        <v>66359.4204764733</v>
      </c>
      <c r="M22" s="50" t="n">
        <f aca="false">M17+M20+M21</f>
        <v>67686.6088860027</v>
      </c>
      <c r="N22" s="50" t="n">
        <f aca="false">N17+N20+N21</f>
        <v>69040.3410637228</v>
      </c>
      <c r="O22" s="50" t="n">
        <f aca="false">O17+O20+O21</f>
        <v>70421.1478849972</v>
      </c>
      <c r="P22" s="50" t="n">
        <f aca="false">P17+P20+P21</f>
        <v>71829.5708426972</v>
      </c>
      <c r="Q22" s="50" t="n">
        <f aca="false">Q17+Q20+Q21</f>
        <v>73266.1622595511</v>
      </c>
      <c r="R22" s="50" t="n">
        <f aca="false">R17+R20+R21</f>
        <v>74731.4855047421</v>
      </c>
      <c r="S22" s="50" t="n">
        <f aca="false">S17+S20+S21</f>
        <v>76226.115214837</v>
      </c>
      <c r="T22" s="50" t="n">
        <f aca="false">T17+T20+T21</f>
        <v>77750.6375191337</v>
      </c>
      <c r="U22" s="50" t="n">
        <f aca="false">U17+U20+U21</f>
        <v>79305.6502695164</v>
      </c>
      <c r="V22" s="50" t="n">
        <f aca="false">V17+V20+V21</f>
        <v>80891.7632749067</v>
      </c>
      <c r="W22" s="50" t="n">
        <f aca="false">W17+W20+W21</f>
        <v>82509.5985404049</v>
      </c>
      <c r="X22" s="50" t="n">
        <f aca="false">X17+X20+X21</f>
        <v>84159.7905112129</v>
      </c>
      <c r="Y22" s="50" t="n">
        <f aca="false">Y17+Y20+Y21</f>
        <v>85842.9863214372</v>
      </c>
      <c r="Z22" s="50" t="n">
        <f aca="false">Z17+Z20+Z21</f>
        <v>87559.846047866</v>
      </c>
      <c r="AA22" s="50" t="n">
        <f aca="false">AA17+AA20+AA21</f>
        <v>89311.0429688233</v>
      </c>
      <c r="AB22" s="50" t="n">
        <f aca="false">AB17+AB20+AB21</f>
        <v>91097.2638281998</v>
      </c>
      <c r="AC22" s="50" t="n">
        <f aca="false">AC17+AC20+AC21</f>
        <v>92919.2091047638</v>
      </c>
      <c r="AD22" s="50" t="n">
        <f aca="false">AD17+AD20+AD21</f>
        <v>94777.593286859</v>
      </c>
      <c r="AE22" s="50" t="n">
        <f aca="false">AE17+AE20+AE21</f>
        <v>96673.1451525963</v>
      </c>
      <c r="AF22" s="50" t="n">
        <f aca="false">AF17+AF20+AF21</f>
        <v>98606.6080556482</v>
      </c>
    </row>
    <row r="24" customFormat="false" ht="15" hidden="false" customHeight="true" outlineLevel="0" collapsed="false">
      <c r="A24" s="23" t="s">
        <v>295</v>
      </c>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row>
    <row r="25" customFormat="false" ht="15" hidden="false" customHeight="true" outlineLevel="0" collapsed="false">
      <c r="B25" s="26" t="s">
        <v>281</v>
      </c>
      <c r="C25" s="45" t="n">
        <f aca="false">Assumptions!$D$23</f>
        <v>760000</v>
      </c>
      <c r="D25" s="45" t="n">
        <f aca="false">C28</f>
        <v>896000</v>
      </c>
      <c r="E25" s="45" t="n">
        <f aca="false">D28</f>
        <v>1045600</v>
      </c>
      <c r="F25" s="45" t="n">
        <f aca="false">E28</f>
        <v>1210160</v>
      </c>
      <c r="G25" s="45" t="n">
        <f aca="false">F28</f>
        <v>1391176</v>
      </c>
      <c r="H25" s="45" t="n">
        <f aca="false">G28</f>
        <v>1590293.6</v>
      </c>
      <c r="I25" s="45" t="n">
        <f aca="false">H28</f>
        <v>1810522.96</v>
      </c>
      <c r="J25" s="45" t="n">
        <f aca="false">I28</f>
        <v>2053999.256</v>
      </c>
      <c r="K25" s="45" t="n">
        <f aca="false">J28</f>
        <v>2323071.6616</v>
      </c>
      <c r="L25" s="45" t="n">
        <f aca="false">K28</f>
        <v>2620324.75736</v>
      </c>
      <c r="M25" s="45" t="n">
        <f aca="false">L28</f>
        <v>2948602.081288</v>
      </c>
      <c r="N25" s="45" t="n">
        <f aca="false">M28</f>
        <v>3311032.03457264</v>
      </c>
      <c r="O25" s="45" t="n">
        <f aca="false">N28</f>
        <v>3711056.37808886</v>
      </c>
      <c r="P25" s="45" t="n">
        <f aca="false">O28</f>
        <v>4152461.57875788</v>
      </c>
      <c r="Q25" s="45" t="n">
        <f aca="false">P28</f>
        <v>4639413.29075101</v>
      </c>
      <c r="R25" s="45" t="n">
        <f aca="false">Q28</f>
        <v>5176494.2850258</v>
      </c>
      <c r="S25" s="45" t="n">
        <f aca="false">R28</f>
        <v>5768746.17203206</v>
      </c>
      <c r="T25" s="45" t="n">
        <f aca="false">S28</f>
        <v>6421715.29690902</v>
      </c>
      <c r="U25" s="45" t="n">
        <f aca="false">T28</f>
        <v>7141503.22442715</v>
      </c>
      <c r="V25" s="45" t="n">
        <f aca="false">U28</f>
        <v>7934822.27265363</v>
      </c>
      <c r="W25" s="45" t="n">
        <f aca="false">V28</f>
        <v>8809056.60021844</v>
      </c>
      <c r="X25" s="45" t="n">
        <f aca="false">W28</f>
        <v>9772329.40254572</v>
      </c>
      <c r="Y25" s="45" t="n">
        <f aca="false">X28</f>
        <v>10833576.8279518</v>
      </c>
      <c r="Z25" s="45" t="n">
        <f aca="false">Y28</f>
        <v>12002629.2856016</v>
      </c>
      <c r="AA25" s="45" t="n">
        <f aca="false">Z28</f>
        <v>13290300.8845134</v>
      </c>
      <c r="AB25" s="45" t="n">
        <f aca="false">AA28</f>
        <v>14708487.8167235</v>
      </c>
      <c r="AC25" s="45" t="n">
        <f aca="false">AB28</f>
        <v>16270276.5790297</v>
      </c>
      <c r="AD25" s="45" t="n">
        <f aca="false">AC28</f>
        <v>17990063.0171792</v>
      </c>
      <c r="AE25" s="45" t="n">
        <f aca="false">AD28</f>
        <v>19883683.2747486</v>
      </c>
      <c r="AF25" s="45" t="n">
        <f aca="false">AE28</f>
        <v>21968557.837192</v>
      </c>
    </row>
    <row r="26" customFormat="false" ht="15" hidden="false" customHeight="true" outlineLevel="0" collapsed="false">
      <c r="B26" s="49" t="s">
        <v>282</v>
      </c>
      <c r="C26" s="45" t="n">
        <f aca="false">C9</f>
        <v>60000</v>
      </c>
      <c r="D26" s="45" t="n">
        <f aca="false">D9</f>
        <v>60000</v>
      </c>
      <c r="E26" s="45" t="n">
        <f aca="false">E9</f>
        <v>60000</v>
      </c>
      <c r="F26" s="45" t="n">
        <f aca="false">F9</f>
        <v>60000</v>
      </c>
      <c r="G26" s="45" t="n">
        <f aca="false">G9</f>
        <v>60000</v>
      </c>
      <c r="H26" s="45" t="n">
        <f aca="false">H9</f>
        <v>61200</v>
      </c>
      <c r="I26" s="45" t="n">
        <f aca="false">I9</f>
        <v>62424</v>
      </c>
      <c r="J26" s="45" t="n">
        <f aca="false">J9</f>
        <v>63672.48</v>
      </c>
      <c r="K26" s="45" t="n">
        <f aca="false">K9</f>
        <v>64945.9296</v>
      </c>
      <c r="L26" s="45" t="n">
        <f aca="false">L9</f>
        <v>66244.848192</v>
      </c>
      <c r="M26" s="45" t="n">
        <f aca="false">M9</f>
        <v>67569.74515584</v>
      </c>
      <c r="N26" s="45" t="n">
        <f aca="false">N9</f>
        <v>68921.1400589568</v>
      </c>
      <c r="O26" s="45" t="n">
        <f aca="false">O9</f>
        <v>70299.562860136</v>
      </c>
      <c r="P26" s="45" t="n">
        <f aca="false">P9</f>
        <v>71705.5541173387</v>
      </c>
      <c r="Q26" s="45" t="n">
        <f aca="false">Q9</f>
        <v>73139.6651996854</v>
      </c>
      <c r="R26" s="45" t="n">
        <f aca="false">R9</f>
        <v>74602.4585036792</v>
      </c>
      <c r="S26" s="45" t="n">
        <f aca="false">S9</f>
        <v>76094.5076737527</v>
      </c>
      <c r="T26" s="45" t="n">
        <f aca="false">T9</f>
        <v>77616.3978272278</v>
      </c>
      <c r="U26" s="45" t="n">
        <f aca="false">U9</f>
        <v>79168.7257837723</v>
      </c>
      <c r="V26" s="45" t="n">
        <f aca="false">V9</f>
        <v>80752.1002994478</v>
      </c>
      <c r="W26" s="45" t="n">
        <f aca="false">W9</f>
        <v>82367.1423054368</v>
      </c>
      <c r="X26" s="45" t="n">
        <f aca="false">X9</f>
        <v>84014.4851515455</v>
      </c>
      <c r="Y26" s="45" t="n">
        <f aca="false">Y9</f>
        <v>85694.7748545764</v>
      </c>
      <c r="Z26" s="45" t="n">
        <f aca="false">Z9</f>
        <v>87408.6703516679</v>
      </c>
      <c r="AA26" s="45" t="n">
        <f aca="false">AA9</f>
        <v>89156.8437587013</v>
      </c>
      <c r="AB26" s="45" t="n">
        <f aca="false">AB9</f>
        <v>90939.9806338753</v>
      </c>
      <c r="AC26" s="45" t="n">
        <f aca="false">AC9</f>
        <v>92758.7802465528</v>
      </c>
      <c r="AD26" s="45" t="n">
        <f aca="false">AD9</f>
        <v>94613.9558514839</v>
      </c>
      <c r="AE26" s="45" t="n">
        <f aca="false">AE9</f>
        <v>96506.2349685136</v>
      </c>
      <c r="AF26" s="45" t="n">
        <f aca="false">AF9</f>
        <v>98436.3596678838</v>
      </c>
    </row>
    <row r="27" customFormat="false" ht="15" hidden="false" customHeight="true" outlineLevel="0" collapsed="false">
      <c r="B27" s="49" t="s">
        <v>283</v>
      </c>
      <c r="C27" s="45" t="n">
        <f aca="false">C25*Assumptions!$C$27</f>
        <v>76000</v>
      </c>
      <c r="D27" s="45" t="n">
        <f aca="false">D25*Assumptions!$C$27</f>
        <v>89600</v>
      </c>
      <c r="E27" s="45" t="n">
        <f aca="false">E25*Assumptions!$C$27</f>
        <v>104560</v>
      </c>
      <c r="F27" s="45" t="n">
        <f aca="false">F25*Assumptions!$C$27</f>
        <v>121016</v>
      </c>
      <c r="G27" s="45" t="n">
        <f aca="false">G25*Assumptions!$C$27</f>
        <v>139117.6</v>
      </c>
      <c r="H27" s="45" t="n">
        <f aca="false">H25*Assumptions!$C$27</f>
        <v>159029.36</v>
      </c>
      <c r="I27" s="45" t="n">
        <f aca="false">I25*Assumptions!$C$27</f>
        <v>181052.296</v>
      </c>
      <c r="J27" s="45" t="n">
        <f aca="false">J25*Assumptions!$C$27</f>
        <v>205399.9256</v>
      </c>
      <c r="K27" s="45" t="n">
        <f aca="false">K25*Assumptions!$C$27</f>
        <v>232307.16616</v>
      </c>
      <c r="L27" s="45" t="n">
        <f aca="false">L25*Assumptions!$C$27</f>
        <v>262032.475736</v>
      </c>
      <c r="M27" s="45" t="n">
        <f aca="false">M25*Assumptions!$C$27</f>
        <v>294860.2081288</v>
      </c>
      <c r="N27" s="45" t="n">
        <f aca="false">N25*Assumptions!$C$27</f>
        <v>331103.203457264</v>
      </c>
      <c r="O27" s="45" t="n">
        <f aca="false">O25*Assumptions!$C$27</f>
        <v>371105.637808886</v>
      </c>
      <c r="P27" s="45" t="n">
        <f aca="false">P25*Assumptions!$C$27</f>
        <v>415246.157875788</v>
      </c>
      <c r="Q27" s="45" t="n">
        <f aca="false">Q25*Assumptions!$C$27</f>
        <v>463941.329075101</v>
      </c>
      <c r="R27" s="45" t="n">
        <f aca="false">R25*Assumptions!$C$27</f>
        <v>517649.42850258</v>
      </c>
      <c r="S27" s="45" t="n">
        <f aca="false">S25*Assumptions!$C$27</f>
        <v>576874.617203206</v>
      </c>
      <c r="T27" s="45" t="n">
        <f aca="false">T25*Assumptions!$C$27</f>
        <v>642171.529690902</v>
      </c>
      <c r="U27" s="45" t="n">
        <f aca="false">U25*Assumptions!$C$27</f>
        <v>714150.322442715</v>
      </c>
      <c r="V27" s="45" t="n">
        <f aca="false">V25*Assumptions!$C$27</f>
        <v>793482.227265363</v>
      </c>
      <c r="W27" s="45" t="n">
        <f aca="false">W25*Assumptions!$C$27</f>
        <v>880905.660021844</v>
      </c>
      <c r="X27" s="45" t="n">
        <f aca="false">X25*Assumptions!$C$27</f>
        <v>977232.940254572</v>
      </c>
      <c r="Y27" s="45" t="n">
        <f aca="false">Y25*Assumptions!$C$27</f>
        <v>1083357.68279518</v>
      </c>
      <c r="Z27" s="45" t="n">
        <f aca="false">Z25*Assumptions!$C$27</f>
        <v>1200262.92856016</v>
      </c>
      <c r="AA27" s="45" t="n">
        <f aca="false">AA25*Assumptions!$C$27</f>
        <v>1329030.08845134</v>
      </c>
      <c r="AB27" s="45" t="n">
        <f aca="false">AB25*Assumptions!$C$27</f>
        <v>1470848.78167235</v>
      </c>
      <c r="AC27" s="45" t="n">
        <f aca="false">AC25*Assumptions!$C$27</f>
        <v>1627027.65790297</v>
      </c>
      <c r="AD27" s="45" t="n">
        <f aca="false">AD25*Assumptions!$C$27</f>
        <v>1799006.30171792</v>
      </c>
      <c r="AE27" s="45" t="n">
        <f aca="false">AE25*Assumptions!$C$27</f>
        <v>1988368.32747486</v>
      </c>
      <c r="AF27" s="45" t="n">
        <f aca="false">AF25*Assumptions!$C$27</f>
        <v>2196855.7837192</v>
      </c>
    </row>
    <row r="28" customFormat="false" ht="15" hidden="false" customHeight="true" outlineLevel="0" collapsed="false">
      <c r="B28" s="24" t="s">
        <v>284</v>
      </c>
      <c r="C28" s="50" t="n">
        <f aca="false">C25+C26+C27</f>
        <v>896000</v>
      </c>
      <c r="D28" s="50" t="n">
        <f aca="false">D25+D26+D27</f>
        <v>1045600</v>
      </c>
      <c r="E28" s="50" t="n">
        <f aca="false">E25+E26+E27</f>
        <v>1210160</v>
      </c>
      <c r="F28" s="50" t="n">
        <f aca="false">F25+F26+F27</f>
        <v>1391176</v>
      </c>
      <c r="G28" s="50" t="n">
        <f aca="false">G25+G26+G27</f>
        <v>1590293.6</v>
      </c>
      <c r="H28" s="50" t="n">
        <f aca="false">H25+H26+H27</f>
        <v>1810522.96</v>
      </c>
      <c r="I28" s="50" t="n">
        <f aca="false">I25+I26+I27</f>
        <v>2053999.256</v>
      </c>
      <c r="J28" s="50" t="n">
        <f aca="false">J25+J26+J27</f>
        <v>2323071.6616</v>
      </c>
      <c r="K28" s="50" t="n">
        <f aca="false">K25+K26+K27</f>
        <v>2620324.75736</v>
      </c>
      <c r="L28" s="50" t="n">
        <f aca="false">L25+L26+L27</f>
        <v>2948602.081288</v>
      </c>
      <c r="M28" s="50" t="n">
        <f aca="false">M25+M26+M27</f>
        <v>3311032.03457264</v>
      </c>
      <c r="N28" s="50" t="n">
        <f aca="false">N25+N26+N27</f>
        <v>3711056.37808886</v>
      </c>
      <c r="O28" s="50" t="n">
        <f aca="false">O25+O26+O27</f>
        <v>4152461.57875788</v>
      </c>
      <c r="P28" s="50" t="n">
        <f aca="false">P25+P26+P27</f>
        <v>4639413.29075101</v>
      </c>
      <c r="Q28" s="50" t="n">
        <f aca="false">Q25+Q26+Q27</f>
        <v>5176494.2850258</v>
      </c>
      <c r="R28" s="50" t="n">
        <f aca="false">R25+R26+R27</f>
        <v>5768746.17203206</v>
      </c>
      <c r="S28" s="50" t="n">
        <f aca="false">S25+S26+S27</f>
        <v>6421715.29690902</v>
      </c>
      <c r="T28" s="50" t="n">
        <f aca="false">T25+T26+T27</f>
        <v>7141503.22442715</v>
      </c>
      <c r="U28" s="50" t="n">
        <f aca="false">U25+U26+U27</f>
        <v>7934822.27265363</v>
      </c>
      <c r="V28" s="50" t="n">
        <f aca="false">V25+V26+V27</f>
        <v>8809056.60021844</v>
      </c>
      <c r="W28" s="50" t="n">
        <f aca="false">W25+W26+W27</f>
        <v>9772329.40254572</v>
      </c>
      <c r="X28" s="50" t="n">
        <f aca="false">X25+X26+X27</f>
        <v>10833576.8279518</v>
      </c>
      <c r="Y28" s="50" t="n">
        <f aca="false">Y25+Y26+Y27</f>
        <v>12002629.2856016</v>
      </c>
      <c r="Z28" s="50" t="n">
        <f aca="false">Z25+Z26+Z27</f>
        <v>13290300.8845134</v>
      </c>
      <c r="AA28" s="50" t="n">
        <f aca="false">AA25+AA26+AA27</f>
        <v>14708487.8167235</v>
      </c>
      <c r="AB28" s="50" t="n">
        <f aca="false">AB25+AB26+AB27</f>
        <v>16270276.5790297</v>
      </c>
      <c r="AC28" s="50" t="n">
        <f aca="false">AC25+AC26+AC27</f>
        <v>17990063.0171792</v>
      </c>
      <c r="AD28" s="50" t="n">
        <f aca="false">AD25+AD26+AD27</f>
        <v>19883683.2747486</v>
      </c>
      <c r="AE28" s="50" t="n">
        <f aca="false">AE25+AE26+AE27</f>
        <v>21968557.837192</v>
      </c>
      <c r="AF28" s="50" t="n">
        <f aca="false">AF25+AF26+AF27</f>
        <v>24263849.9805791</v>
      </c>
    </row>
    <row r="30" customFormat="false" ht="15" hidden="false" customHeight="true" outlineLevel="0" collapsed="false">
      <c r="A30" s="23" t="s">
        <v>296</v>
      </c>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row>
    <row r="31" customFormat="false" ht="15" hidden="false" customHeight="true" outlineLevel="0" collapsed="false">
      <c r="B31" s="26" t="s">
        <v>281</v>
      </c>
      <c r="C31" s="45" t="n">
        <f aca="false">Assumptions!$D$22</f>
        <v>180000</v>
      </c>
      <c r="D31" s="45" t="n">
        <f aca="false">C35</f>
        <v>184938.015384615</v>
      </c>
      <c r="E31" s="45" t="n">
        <f aca="false">D35</f>
        <v>192750.896889075</v>
      </c>
      <c r="F31" s="45" t="n">
        <f aca="false">E35</f>
        <v>210933.159687966</v>
      </c>
      <c r="G31" s="45" t="n">
        <f aca="false">F35</f>
        <v>247313.759577876</v>
      </c>
      <c r="H31" s="45" t="n">
        <f aca="false">G35</f>
        <v>288749.805425886</v>
      </c>
      <c r="I31" s="45" t="n">
        <f aca="false">H35</f>
        <v>334824.172293525</v>
      </c>
      <c r="J31" s="45" t="n">
        <f aca="false">I35</f>
        <v>385998.075380428</v>
      </c>
      <c r="K31" s="45" t="n">
        <f aca="false">J35</f>
        <v>442782.080641039</v>
      </c>
      <c r="L31" s="45" t="n">
        <f aca="false">K35</f>
        <v>508708.931905143</v>
      </c>
      <c r="M31" s="45" t="n">
        <f aca="false">L35</f>
        <v>581661.441159657</v>
      </c>
      <c r="N31" s="45" t="n">
        <f aca="false">M35</f>
        <v>662350.833660903</v>
      </c>
      <c r="O31" s="45" t="n">
        <f aca="false">N35</f>
        <v>751559.630379979</v>
      </c>
      <c r="P31" s="45" t="n">
        <f aca="false">O35</f>
        <v>850148.781038022</v>
      </c>
      <c r="Q31" s="45" t="n">
        <f aca="false">P35</f>
        <v>959065.51051427</v>
      </c>
      <c r="R31" s="45" t="n">
        <f aca="false">Q35</f>
        <v>1079351.94996559</v>
      </c>
      <c r="S31" s="45" t="n">
        <f aca="false">R35</f>
        <v>1212154.63113004</v>
      </c>
      <c r="T31" s="45" t="n">
        <f aca="false">S35</f>
        <v>1358734.9301343</v>
      </c>
      <c r="U31" s="45" t="n">
        <f aca="false">T35</f>
        <v>1520480.55575681</v>
      </c>
      <c r="V31" s="45" t="n">
        <f aca="false">U35</f>
        <v>1698918.18659374</v>
      </c>
      <c r="W31" s="45" t="n">
        <f aca="false">V35</f>
        <v>1895727.3720196</v>
      </c>
      <c r="X31" s="45" t="n">
        <f aca="false">W35</f>
        <v>2112755.82332337</v>
      </c>
      <c r="Y31" s="45" t="n">
        <f aca="false">X35</f>
        <v>2352036.23403956</v>
      </c>
      <c r="Z31" s="45" t="n">
        <f aca="false">Y35</f>
        <v>2615804.78239504</v>
      </c>
      <c r="AA31" s="45" t="n">
        <f aca="false">Z35</f>
        <v>2906521.4840851</v>
      </c>
      <c r="AB31" s="45" t="n">
        <f aca="false">AA35</f>
        <v>3226892.58041318</v>
      </c>
      <c r="AC31" s="45" t="n">
        <f aca="false">AB35</f>
        <v>3579895.16533245</v>
      </c>
      <c r="AD31" s="45" t="n">
        <f aca="false">AC35</f>
        <v>3968804.27528122</v>
      </c>
      <c r="AE31" s="45" t="n">
        <f aca="false">AD35</f>
        <v>4397222.68809317</v>
      </c>
      <c r="AF31" s="45" t="n">
        <f aca="false">AE35</f>
        <v>4869113.70189199</v>
      </c>
    </row>
    <row r="32" customFormat="false" ht="15" hidden="false" customHeight="true" outlineLevel="0" collapsed="false">
      <c r="B32" s="49" t="s">
        <v>282</v>
      </c>
      <c r="C32" s="45" t="n">
        <f aca="false">-C21</f>
        <v>20000</v>
      </c>
      <c r="D32" s="45" t="n">
        <f aca="false">-D21</f>
        <v>20000</v>
      </c>
      <c r="E32" s="45" t="n">
        <f aca="false">-E21</f>
        <v>20000</v>
      </c>
      <c r="F32" s="45" t="n">
        <f aca="false">-F21</f>
        <v>20000</v>
      </c>
      <c r="G32" s="45" t="n">
        <f aca="false">-G21</f>
        <v>20000</v>
      </c>
      <c r="H32" s="45" t="n">
        <f aca="false">-H21</f>
        <v>20400</v>
      </c>
      <c r="I32" s="45" t="n">
        <f aca="false">-I21</f>
        <v>20808</v>
      </c>
      <c r="J32" s="45" t="n">
        <f aca="false">-J21</f>
        <v>21224.16</v>
      </c>
      <c r="K32" s="45" t="n">
        <f aca="false">-K21</f>
        <v>21648.6432</v>
      </c>
      <c r="L32" s="45" t="n">
        <f aca="false">-L21</f>
        <v>22081.616064</v>
      </c>
      <c r="M32" s="45" t="n">
        <f aca="false">-M21</f>
        <v>22523.24838528</v>
      </c>
      <c r="N32" s="45" t="n">
        <f aca="false">-N21</f>
        <v>22973.7133529856</v>
      </c>
      <c r="O32" s="45" t="n">
        <f aca="false">-O21</f>
        <v>23433.1876200453</v>
      </c>
      <c r="P32" s="45" t="n">
        <f aca="false">-P21</f>
        <v>23901.8513724462</v>
      </c>
      <c r="Q32" s="45" t="n">
        <f aca="false">-Q21</f>
        <v>24379.8883998951</v>
      </c>
      <c r="R32" s="45" t="n">
        <f aca="false">-R21</f>
        <v>24867.4861678931</v>
      </c>
      <c r="S32" s="45" t="n">
        <f aca="false">-S21</f>
        <v>25364.8358912509</v>
      </c>
      <c r="T32" s="45" t="n">
        <f aca="false">-T21</f>
        <v>25872.1326090759</v>
      </c>
      <c r="U32" s="45" t="n">
        <f aca="false">-U21</f>
        <v>26389.5752612574</v>
      </c>
      <c r="V32" s="45" t="n">
        <f aca="false">-V21</f>
        <v>26917.3667664826</v>
      </c>
      <c r="W32" s="45" t="n">
        <f aca="false">-W21</f>
        <v>27455.7141018123</v>
      </c>
      <c r="X32" s="45" t="n">
        <f aca="false">-X21</f>
        <v>28004.8283838485</v>
      </c>
      <c r="Y32" s="45" t="n">
        <f aca="false">-Y21</f>
        <v>28564.9249515255</v>
      </c>
      <c r="Z32" s="45" t="n">
        <f aca="false">-Z21</f>
        <v>29136.223450556</v>
      </c>
      <c r="AA32" s="45" t="n">
        <f aca="false">-AA21</f>
        <v>29718.9479195671</v>
      </c>
      <c r="AB32" s="45" t="n">
        <f aca="false">-AB21</f>
        <v>30313.3268779584</v>
      </c>
      <c r="AC32" s="45" t="n">
        <f aca="false">-AC21</f>
        <v>30919.5934155176</v>
      </c>
      <c r="AD32" s="45" t="n">
        <f aca="false">-AD21</f>
        <v>31537.985283828</v>
      </c>
      <c r="AE32" s="45" t="n">
        <f aca="false">-AE21</f>
        <v>32168.7449895045</v>
      </c>
      <c r="AF32" s="45" t="n">
        <f aca="false">-AF21</f>
        <v>32812.1198892946</v>
      </c>
    </row>
    <row r="33" customFormat="false" ht="15" hidden="false" customHeight="true" outlineLevel="0" collapsed="false">
      <c r="B33" s="49" t="s">
        <v>283</v>
      </c>
      <c r="C33" s="45" t="n">
        <f aca="false">C31*Assumptions!$C$27</f>
        <v>18000</v>
      </c>
      <c r="D33" s="45" t="n">
        <f aca="false">D31*Assumptions!$C$27</f>
        <v>18493.8015384615</v>
      </c>
      <c r="E33" s="45" t="n">
        <f aca="false">E31*Assumptions!$C$27</f>
        <v>19275.0896889075</v>
      </c>
      <c r="F33" s="45" t="n">
        <f aca="false">F31*Assumptions!$C$27</f>
        <v>21093.3159687966</v>
      </c>
      <c r="G33" s="45" t="n">
        <f aca="false">G31*Assumptions!$C$27</f>
        <v>24731.3759577876</v>
      </c>
      <c r="H33" s="45" t="n">
        <f aca="false">H31*Assumptions!$C$27</f>
        <v>28874.9805425886</v>
      </c>
      <c r="I33" s="45" t="n">
        <f aca="false">I31*Assumptions!$C$27</f>
        <v>33482.4172293525</v>
      </c>
      <c r="J33" s="45" t="n">
        <f aca="false">J31*Assumptions!$C$27</f>
        <v>38599.8075380428</v>
      </c>
      <c r="K33" s="45" t="n">
        <f aca="false">K31*Assumptions!$C$27</f>
        <v>44278.2080641039</v>
      </c>
      <c r="L33" s="45" t="n">
        <f aca="false">L31*Assumptions!$C$27</f>
        <v>50870.8931905143</v>
      </c>
      <c r="M33" s="45" t="n">
        <f aca="false">M31*Assumptions!$C$27</f>
        <v>58166.1441159657</v>
      </c>
      <c r="N33" s="45" t="n">
        <f aca="false">N31*Assumptions!$C$27</f>
        <v>66235.0833660903</v>
      </c>
      <c r="O33" s="45" t="n">
        <f aca="false">O31*Assumptions!$C$27</f>
        <v>75155.9630379979</v>
      </c>
      <c r="P33" s="45" t="n">
        <f aca="false">P31*Assumptions!$C$27</f>
        <v>85014.8781038022</v>
      </c>
      <c r="Q33" s="45" t="n">
        <f aca="false">Q31*Assumptions!$C$27</f>
        <v>95906.551051427</v>
      </c>
      <c r="R33" s="45" t="n">
        <f aca="false">R31*Assumptions!$C$27</f>
        <v>107935.194996559</v>
      </c>
      <c r="S33" s="45" t="n">
        <f aca="false">S31*Assumptions!$C$27</f>
        <v>121215.463113004</v>
      </c>
      <c r="T33" s="45" t="n">
        <f aca="false">T31*Assumptions!$C$27</f>
        <v>135873.49301343</v>
      </c>
      <c r="U33" s="45" t="n">
        <f aca="false">U31*Assumptions!$C$27</f>
        <v>152048.055575681</v>
      </c>
      <c r="V33" s="45" t="n">
        <f aca="false">V31*Assumptions!$C$27</f>
        <v>169891.818659374</v>
      </c>
      <c r="W33" s="45" t="n">
        <f aca="false">W31*Assumptions!$C$27</f>
        <v>189572.73720196</v>
      </c>
      <c r="X33" s="45" t="n">
        <f aca="false">X31*Assumptions!$C$27</f>
        <v>211275.582332337</v>
      </c>
      <c r="Y33" s="45" t="n">
        <f aca="false">Y31*Assumptions!$C$27</f>
        <v>235203.623403956</v>
      </c>
      <c r="Z33" s="45" t="n">
        <f aca="false">Z31*Assumptions!$C$27</f>
        <v>261580.478239504</v>
      </c>
      <c r="AA33" s="45" t="n">
        <f aca="false">AA31*Assumptions!$C$27</f>
        <v>290652.14840851</v>
      </c>
      <c r="AB33" s="45" t="n">
        <f aca="false">AB31*Assumptions!$C$27</f>
        <v>322689.258041318</v>
      </c>
      <c r="AC33" s="45" t="n">
        <f aca="false">AC31*Assumptions!$C$27</f>
        <v>357989.516533245</v>
      </c>
      <c r="AD33" s="45" t="n">
        <f aca="false">AD31*Assumptions!$C$27</f>
        <v>396880.427528122</v>
      </c>
      <c r="AE33" s="45" t="n">
        <f aca="false">AE31*Assumptions!$C$27</f>
        <v>439722.268809317</v>
      </c>
      <c r="AF33" s="45" t="n">
        <f aca="false">AF31*Assumptions!$C$27</f>
        <v>486911.370189199</v>
      </c>
    </row>
    <row r="34" customFormat="false" ht="15" hidden="false" customHeight="true" outlineLevel="0" collapsed="false">
      <c r="B34" s="49" t="s">
        <v>286</v>
      </c>
      <c r="C34" s="51" t="n">
        <f aca="false">-Household_Base!C$47</f>
        <v>-33061.9846153846</v>
      </c>
      <c r="D34" s="51" t="n">
        <f aca="false">-Household_Base!D$47</f>
        <v>-30680.9200340023</v>
      </c>
      <c r="E34" s="51" t="n">
        <f aca="false">-Household_Base!E$47</f>
        <v>-21092.8268900157</v>
      </c>
      <c r="F34" s="51" t="n">
        <f aca="false">-Household_Base!F$47</f>
        <v>-4712.71607888682</v>
      </c>
      <c r="G34" s="51" t="n">
        <f aca="false">-Household_Base!G$47</f>
        <v>-3295.33010977765</v>
      </c>
      <c r="H34" s="51" t="n">
        <f aca="false">-Household_Base!H$47</f>
        <v>-3200.61367494966</v>
      </c>
      <c r="I34" s="51" t="n">
        <f aca="false">-Household_Base!I$47</f>
        <v>-3116.51414244943</v>
      </c>
      <c r="J34" s="51" t="n">
        <f aca="false">-Household_Base!J$47</f>
        <v>-3039.96227743228</v>
      </c>
      <c r="K34" s="51" t="n">
        <f aca="false">-Household_Base!K$47</f>
        <v>-0</v>
      </c>
      <c r="L34" s="51" t="n">
        <f aca="false">-Household_Base!L$47</f>
        <v>-0</v>
      </c>
      <c r="M34" s="51" t="n">
        <f aca="false">-Household_Base!M$47</f>
        <v>-0</v>
      </c>
      <c r="N34" s="51" t="n">
        <f aca="false">-Household_Base!N$47</f>
        <v>-0</v>
      </c>
      <c r="O34" s="51" t="n">
        <f aca="false">-Household_Base!O$47</f>
        <v>-0</v>
      </c>
      <c r="P34" s="51" t="n">
        <f aca="false">-Household_Base!P$47</f>
        <v>-0</v>
      </c>
      <c r="Q34" s="51" t="n">
        <f aca="false">-Household_Base!Q$47</f>
        <v>-0</v>
      </c>
      <c r="R34" s="51" t="n">
        <f aca="false">-Household_Base!R$47</f>
        <v>-0</v>
      </c>
      <c r="S34" s="51" t="n">
        <f aca="false">-Household_Base!S$47</f>
        <v>-0</v>
      </c>
      <c r="T34" s="51" t="n">
        <f aca="false">-Household_Base!T$47</f>
        <v>-0</v>
      </c>
      <c r="U34" s="51" t="n">
        <f aca="false">-Household_Base!U$47</f>
        <v>-0</v>
      </c>
      <c r="V34" s="51" t="n">
        <f aca="false">-Household_Base!V$47</f>
        <v>-0</v>
      </c>
      <c r="W34" s="51" t="n">
        <f aca="false">-Household_Base!W$47</f>
        <v>-0</v>
      </c>
      <c r="X34" s="51" t="n">
        <f aca="false">-Household_Base!X$47</f>
        <v>-0</v>
      </c>
      <c r="Y34" s="51" t="n">
        <f aca="false">-Household_Base!Y$47</f>
        <v>-0</v>
      </c>
      <c r="Z34" s="51" t="n">
        <f aca="false">-Household_Base!Z$47</f>
        <v>-0</v>
      </c>
      <c r="AA34" s="51" t="n">
        <f aca="false">-Household_Base!AA$47</f>
        <v>-0</v>
      </c>
      <c r="AB34" s="51" t="n">
        <f aca="false">-Household_Base!AB$47</f>
        <v>-0</v>
      </c>
      <c r="AC34" s="51" t="n">
        <f aca="false">-Household_Base!AC$47</f>
        <v>-0</v>
      </c>
      <c r="AD34" s="51" t="n">
        <f aca="false">-Household_Base!AD$47</f>
        <v>-0</v>
      </c>
      <c r="AE34" s="51" t="n">
        <f aca="false">-Household_Base!AE$47</f>
        <v>-0</v>
      </c>
      <c r="AF34" s="51" t="n">
        <f aca="false">-Household_Base!AF$47</f>
        <v>-0</v>
      </c>
    </row>
    <row r="35" customFormat="false" ht="15" hidden="false" customHeight="true" outlineLevel="0" collapsed="false">
      <c r="B35" s="24" t="s">
        <v>284</v>
      </c>
      <c r="C35" s="50" t="n">
        <f aca="false">MAX(0,C31+C32+C33+C34)</f>
        <v>184938.015384615</v>
      </c>
      <c r="D35" s="50" t="n">
        <f aca="false">MAX(0,D31+D32+D33+D34)</f>
        <v>192750.896889075</v>
      </c>
      <c r="E35" s="50" t="n">
        <f aca="false">MAX(0,E31+E32+E33+E34)</f>
        <v>210933.159687966</v>
      </c>
      <c r="F35" s="50" t="n">
        <f aca="false">MAX(0,F31+F32+F33+F34)</f>
        <v>247313.759577876</v>
      </c>
      <c r="G35" s="50" t="n">
        <f aca="false">MAX(0,G31+G32+G33+G34)</f>
        <v>288749.805425886</v>
      </c>
      <c r="H35" s="50" t="n">
        <f aca="false">MAX(0,H31+H32+H33+H34)</f>
        <v>334824.172293525</v>
      </c>
      <c r="I35" s="50" t="n">
        <f aca="false">MAX(0,I31+I32+I33+I34)</f>
        <v>385998.075380428</v>
      </c>
      <c r="J35" s="50" t="n">
        <f aca="false">MAX(0,J31+J32+J33+J34)</f>
        <v>442782.080641039</v>
      </c>
      <c r="K35" s="50" t="n">
        <f aca="false">MAX(0,K31+K32+K33+K34)</f>
        <v>508708.931905143</v>
      </c>
      <c r="L35" s="50" t="n">
        <f aca="false">MAX(0,L31+L32+L33+L34)</f>
        <v>581661.441159657</v>
      </c>
      <c r="M35" s="50" t="n">
        <f aca="false">MAX(0,M31+M32+M33+M34)</f>
        <v>662350.833660903</v>
      </c>
      <c r="N35" s="50" t="n">
        <f aca="false">MAX(0,N31+N32+N33+N34)</f>
        <v>751559.630379979</v>
      </c>
      <c r="O35" s="50" t="n">
        <f aca="false">MAX(0,O31+O32+O33+O34)</f>
        <v>850148.781038022</v>
      </c>
      <c r="P35" s="50" t="n">
        <f aca="false">MAX(0,P31+P32+P33+P34)</f>
        <v>959065.51051427</v>
      </c>
      <c r="Q35" s="50" t="n">
        <f aca="false">MAX(0,Q31+Q32+Q33+Q34)</f>
        <v>1079351.94996559</v>
      </c>
      <c r="R35" s="50" t="n">
        <f aca="false">MAX(0,R31+R32+R33+R34)</f>
        <v>1212154.63113004</v>
      </c>
      <c r="S35" s="50" t="n">
        <f aca="false">MAX(0,S31+S32+S33+S34)</f>
        <v>1358734.9301343</v>
      </c>
      <c r="T35" s="50" t="n">
        <f aca="false">MAX(0,T31+T32+T33+T34)</f>
        <v>1520480.55575681</v>
      </c>
      <c r="U35" s="50" t="n">
        <f aca="false">MAX(0,U31+U32+U33+U34)</f>
        <v>1698918.18659374</v>
      </c>
      <c r="V35" s="50" t="n">
        <f aca="false">MAX(0,V31+V32+V33+V34)</f>
        <v>1895727.3720196</v>
      </c>
      <c r="W35" s="50" t="n">
        <f aca="false">MAX(0,W31+W32+W33+W34)</f>
        <v>2112755.82332337</v>
      </c>
      <c r="X35" s="50" t="n">
        <f aca="false">MAX(0,X31+X32+X33+X34)</f>
        <v>2352036.23403956</v>
      </c>
      <c r="Y35" s="50" t="n">
        <f aca="false">MAX(0,Y31+Y32+Y33+Y34)</f>
        <v>2615804.78239504</v>
      </c>
      <c r="Z35" s="50" t="n">
        <f aca="false">MAX(0,Z31+Z32+Z33+Z34)</f>
        <v>2906521.4840851</v>
      </c>
      <c r="AA35" s="50" t="n">
        <f aca="false">MAX(0,AA31+AA32+AA33+AA34)</f>
        <v>3226892.58041318</v>
      </c>
      <c r="AB35" s="50" t="n">
        <f aca="false">MAX(0,AB31+AB32+AB33+AB34)</f>
        <v>3579895.16533245</v>
      </c>
      <c r="AC35" s="50" t="n">
        <f aca="false">MAX(0,AC31+AC32+AC33+AC34)</f>
        <v>3968804.27528122</v>
      </c>
      <c r="AD35" s="50" t="n">
        <f aca="false">MAX(0,AD31+AD32+AD33+AD34)</f>
        <v>4397222.68809317</v>
      </c>
      <c r="AE35" s="50" t="n">
        <f aca="false">MAX(0,AE31+AE32+AE33+AE34)</f>
        <v>4869113.70189199</v>
      </c>
      <c r="AF35" s="50" t="n">
        <f aca="false">MAX(0,AF31+AF32+AF33+AF34)</f>
        <v>5388837.19197048</v>
      </c>
    </row>
    <row r="37" customFormat="false" ht="15" hidden="false" customHeight="true" outlineLevel="0" collapsed="false">
      <c r="A37" s="23" t="s">
        <v>297</v>
      </c>
      <c r="B37" s="23"/>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row>
    <row r="38" customFormat="false" ht="15" hidden="false" customHeight="true" outlineLevel="0" collapsed="false">
      <c r="B38" s="49" t="s">
        <v>288</v>
      </c>
    </row>
    <row r="39" customFormat="false" ht="15" hidden="false" customHeight="true" outlineLevel="0" collapsed="false">
      <c r="B39" s="49" t="s">
        <v>289</v>
      </c>
      <c r="C39" s="45" t="n">
        <f aca="false">MAX(0,Tax_Bands!C$7-MAX(0,C8-Tax_Bands!C$8)/2)</f>
        <v>0</v>
      </c>
      <c r="D39" s="45" t="n">
        <f aca="false">MAX(0,Tax_Bands!D$7-MAX(0,D8-Tax_Bands!D$8)/2)</f>
        <v>0</v>
      </c>
      <c r="E39" s="45" t="n">
        <f aca="false">MAX(0,Tax_Bands!E$7-MAX(0,E8-Tax_Bands!E$8)/2)</f>
        <v>0</v>
      </c>
      <c r="F39" s="45" t="n">
        <f aca="false">MAX(0,Tax_Bands!F$7-MAX(0,F8-Tax_Bands!F$8)/2)</f>
        <v>0</v>
      </c>
      <c r="G39" s="45" t="n">
        <f aca="false">MAX(0,Tax_Bands!G$7-MAX(0,G8-Tax_Bands!G$8)/2)</f>
        <v>0</v>
      </c>
      <c r="H39" s="45" t="n">
        <f aca="false">MAX(0,Tax_Bands!H$7-MAX(0,H8-Tax_Bands!H$8)/2)</f>
        <v>0</v>
      </c>
      <c r="I39" s="45" t="n">
        <f aca="false">MAX(0,Tax_Bands!I$7-MAX(0,I8-Tax_Bands!I$8)/2)</f>
        <v>0</v>
      </c>
      <c r="J39" s="45" t="n">
        <f aca="false">MAX(0,Tax_Bands!J$7-MAX(0,J8-Tax_Bands!J$8)/2)</f>
        <v>0</v>
      </c>
      <c r="K39" s="45" t="n">
        <f aca="false">MAX(0,Tax_Bands!K$7-MAX(0,K8-Tax_Bands!K$8)/2)</f>
        <v>0</v>
      </c>
      <c r="L39" s="45" t="n">
        <f aca="false">MAX(0,Tax_Bands!L$7-MAX(0,L8-Tax_Bands!L$8)/2)</f>
        <v>0</v>
      </c>
      <c r="M39" s="45" t="n">
        <f aca="false">MAX(0,Tax_Bands!M$7-MAX(0,M8-Tax_Bands!M$8)/2)</f>
        <v>0</v>
      </c>
      <c r="N39" s="45" t="n">
        <f aca="false">MAX(0,Tax_Bands!N$7-MAX(0,N8-Tax_Bands!N$8)/2)</f>
        <v>0</v>
      </c>
      <c r="O39" s="45" t="n">
        <f aca="false">MAX(0,Tax_Bands!O$7-MAX(0,O8-Tax_Bands!O$8)/2)</f>
        <v>0</v>
      </c>
      <c r="P39" s="45" t="n">
        <f aca="false">MAX(0,Tax_Bands!P$7-MAX(0,P8-Tax_Bands!P$8)/2)</f>
        <v>0</v>
      </c>
      <c r="Q39" s="45" t="n">
        <f aca="false">MAX(0,Tax_Bands!Q$7-MAX(0,Q8-Tax_Bands!Q$8)/2)</f>
        <v>0</v>
      </c>
      <c r="R39" s="45" t="n">
        <f aca="false">MAX(0,Tax_Bands!R$7-MAX(0,R8-Tax_Bands!R$8)/2)</f>
        <v>0</v>
      </c>
      <c r="S39" s="45" t="n">
        <f aca="false">MAX(0,Tax_Bands!S$7-MAX(0,S8-Tax_Bands!S$8)/2)</f>
        <v>0</v>
      </c>
      <c r="T39" s="45" t="n">
        <f aca="false">MAX(0,Tax_Bands!T$7-MAX(0,T8-Tax_Bands!T$8)/2)</f>
        <v>0</v>
      </c>
      <c r="U39" s="45" t="n">
        <f aca="false">MAX(0,Tax_Bands!U$7-MAX(0,U8-Tax_Bands!U$8)/2)</f>
        <v>0</v>
      </c>
      <c r="V39" s="45" t="n">
        <f aca="false">MAX(0,Tax_Bands!V$7-MAX(0,V8-Tax_Bands!V$8)/2)</f>
        <v>0</v>
      </c>
      <c r="W39" s="45" t="n">
        <f aca="false">MAX(0,Tax_Bands!W$7-MAX(0,W8-Tax_Bands!W$8)/2)</f>
        <v>0</v>
      </c>
      <c r="X39" s="45" t="n">
        <f aca="false">MAX(0,Tax_Bands!X$7-MAX(0,X8-Tax_Bands!X$8)/2)</f>
        <v>0</v>
      </c>
      <c r="Y39" s="45" t="n">
        <f aca="false">MAX(0,Tax_Bands!Y$7-MAX(0,Y8-Tax_Bands!Y$8)/2)</f>
        <v>0</v>
      </c>
      <c r="Z39" s="45" t="n">
        <f aca="false">MAX(0,Tax_Bands!Z$7-MAX(0,Z8-Tax_Bands!Z$8)/2)</f>
        <v>0</v>
      </c>
      <c r="AA39" s="45" t="n">
        <f aca="false">MAX(0,Tax_Bands!AA$7-MAX(0,AA8-Tax_Bands!AA$8)/2)</f>
        <v>0</v>
      </c>
      <c r="AB39" s="45" t="n">
        <f aca="false">MAX(0,Tax_Bands!AB$7-MAX(0,AB8-Tax_Bands!AB$8)/2)</f>
        <v>0</v>
      </c>
      <c r="AC39" s="45" t="n">
        <f aca="false">MAX(0,Tax_Bands!AC$7-MAX(0,AC8-Tax_Bands!AC$8)/2)</f>
        <v>0</v>
      </c>
      <c r="AD39" s="45" t="n">
        <f aca="false">MAX(0,Tax_Bands!AD$7-MAX(0,AD8-Tax_Bands!AD$8)/2)</f>
        <v>0</v>
      </c>
      <c r="AE39" s="45" t="n">
        <f aca="false">MAX(0,Tax_Bands!AE$7-MAX(0,AE8-Tax_Bands!AE$8)/2)</f>
        <v>0</v>
      </c>
      <c r="AF39" s="45" t="n">
        <f aca="false">MAX(0,Tax_Bands!AF$7-MAX(0,AF8-Tax_Bands!AF$8)/2)</f>
        <v>0</v>
      </c>
    </row>
    <row r="40" customFormat="false" ht="15" hidden="false" customHeight="true" outlineLevel="0" collapsed="false">
      <c r="B40" s="49" t="s">
        <v>290</v>
      </c>
      <c r="C40" s="45" t="n">
        <f aca="false">MAX(0,C8-C39)</f>
        <v>190000</v>
      </c>
      <c r="D40" s="45" t="n">
        <f aca="false">MAX(0,D8-D39)</f>
        <v>197600</v>
      </c>
      <c r="E40" s="45" t="n">
        <f aca="false">MAX(0,E8-E39)</f>
        <v>205504</v>
      </c>
      <c r="F40" s="45" t="n">
        <f aca="false">MAX(0,F8-F39)</f>
        <v>209614.08</v>
      </c>
      <c r="G40" s="45" t="n">
        <f aca="false">MAX(0,G8-G39)</f>
        <v>213806.3616</v>
      </c>
      <c r="H40" s="45" t="n">
        <f aca="false">MAX(0,H8-H39)</f>
        <v>218082.488832</v>
      </c>
      <c r="I40" s="45" t="n">
        <f aca="false">MAX(0,I8-I39)</f>
        <v>222444.13860864</v>
      </c>
      <c r="J40" s="45" t="n">
        <f aca="false">MAX(0,J8-J39)</f>
        <v>226893.021380813</v>
      </c>
      <c r="K40" s="45" t="n">
        <f aca="false">MAX(0,K8-K39)</f>
        <v>231430.881808429</v>
      </c>
      <c r="L40" s="45" t="n">
        <f aca="false">MAX(0,L8-L39)</f>
        <v>236059.499444598</v>
      </c>
      <c r="M40" s="45" t="n">
        <f aca="false">MAX(0,M8-M39)</f>
        <v>240780.68943349</v>
      </c>
      <c r="N40" s="45" t="n">
        <f aca="false">MAX(0,N8-N39)</f>
        <v>245596.303222159</v>
      </c>
      <c r="O40" s="45" t="n">
        <f aca="false">MAX(0,O8-O39)</f>
        <v>250508.229286603</v>
      </c>
      <c r="P40" s="45" t="n">
        <f aca="false">MAX(0,P8-P39)</f>
        <v>255518.393872335</v>
      </c>
      <c r="Q40" s="45" t="n">
        <f aca="false">MAX(0,Q8-Q39)</f>
        <v>260628.761749781</v>
      </c>
      <c r="R40" s="45" t="n">
        <f aca="false">MAX(0,R8-R39)</f>
        <v>265841.336984777</v>
      </c>
      <c r="S40" s="45" t="n">
        <f aca="false">MAX(0,S8-S39)</f>
        <v>271158.163724473</v>
      </c>
      <c r="T40" s="45" t="n">
        <f aca="false">MAX(0,T8-T39)</f>
        <v>276581.326998962</v>
      </c>
      <c r="U40" s="45" t="n">
        <f aca="false">MAX(0,U8-U39)</f>
        <v>282112.953538941</v>
      </c>
      <c r="V40" s="45" t="n">
        <f aca="false">MAX(0,V8-V39)</f>
        <v>287755.21260972</v>
      </c>
      <c r="W40" s="45" t="n">
        <f aca="false">MAX(0,W8-W39)</f>
        <v>293510.316861915</v>
      </c>
      <c r="X40" s="45" t="n">
        <f aca="false">MAX(0,X8-X39)</f>
        <v>299380.523199153</v>
      </c>
      <c r="Y40" s="45" t="n">
        <f aca="false">MAX(0,Y8-Y39)</f>
        <v>305368.133663136</v>
      </c>
      <c r="Z40" s="45" t="n">
        <f aca="false">MAX(0,Z8-Z39)</f>
        <v>311475.496336399</v>
      </c>
      <c r="AA40" s="45" t="n">
        <f aca="false">MAX(0,AA8-AA39)</f>
        <v>317705.006263127</v>
      </c>
      <c r="AB40" s="45" t="n">
        <f aca="false">MAX(0,AB8-AB39)</f>
        <v>324059.106388389</v>
      </c>
      <c r="AC40" s="45" t="n">
        <f aca="false">MAX(0,AC8-AC39)</f>
        <v>330540.288516157</v>
      </c>
      <c r="AD40" s="45" t="n">
        <f aca="false">MAX(0,AD8-AD39)</f>
        <v>337151.09428648</v>
      </c>
      <c r="AE40" s="45" t="n">
        <f aca="false">MAX(0,AE8-AE39)</f>
        <v>343894.11617221</v>
      </c>
      <c r="AF40" s="45" t="n">
        <f aca="false">MAX(0,AF8-AF39)</f>
        <v>350771.998495654</v>
      </c>
    </row>
    <row r="41" customFormat="false" ht="15" hidden="false" customHeight="true" outlineLevel="0" collapsed="false">
      <c r="B41" s="49" t="s">
        <v>291</v>
      </c>
      <c r="C41" s="45" t="n">
        <f aca="false">Tax_Bands!C$18*MIN(C40,Tax_Bands!C$9)+Tax_Bands!C$19*MAX(0,MIN(C40,Tax_Bands!C$10)-Tax_Bands!C$9)+Tax_Bands!C$20*MAX(0,C40-Tax_Bands!C$10)</f>
        <v>71703</v>
      </c>
      <c r="D41" s="45" t="n">
        <f aca="false">Tax_Bands!D$18*MIN(D40,Tax_Bands!D$9)+Tax_Bands!D$19*MAX(0,MIN(D40,Tax_Bands!D$10)-Tax_Bands!D$9)+Tax_Bands!D$20*MAX(0,D40-Tax_Bands!D$10)</f>
        <v>75123</v>
      </c>
      <c r="E41" s="45" t="n">
        <f aca="false">Tax_Bands!E$18*MIN(E40,Tax_Bands!E$9)+Tax_Bands!E$19*MAX(0,MIN(E40,Tax_Bands!E$10)-Tax_Bands!E$9)+Tax_Bands!E$20*MAX(0,E40-Tax_Bands!E$10)</f>
        <v>78679.8</v>
      </c>
      <c r="F41" s="45" t="n">
        <f aca="false">Tax_Bands!F$18*MIN(F40,Tax_Bands!F$9)+Tax_Bands!F$19*MAX(0,MIN(F40,Tax_Bands!F$10)-Tax_Bands!F$9)+Tax_Bands!F$20*MAX(0,F40-Tax_Bands!F$10)</f>
        <v>80529.336</v>
      </c>
      <c r="G41" s="45" t="n">
        <f aca="false">Tax_Bands!G$18*MIN(G40,Tax_Bands!G$9)+Tax_Bands!G$19*MAX(0,MIN(G40,Tax_Bands!G$10)-Tax_Bands!G$9)+Tax_Bands!G$20*MAX(0,G40-Tax_Bands!G$10)</f>
        <v>82415.86272</v>
      </c>
      <c r="H41" s="45" t="n">
        <f aca="false">Tax_Bands!H$18*MIN(H40,Tax_Bands!H$9)+Tax_Bands!H$19*MAX(0,MIN(H40,Tax_Bands!H$10)-Tax_Bands!H$9)+Tax_Bands!H$20*MAX(0,H40-Tax_Bands!H$10)</f>
        <v>84064.1799744</v>
      </c>
      <c r="I41" s="45" t="n">
        <f aca="false">Tax_Bands!I$18*MIN(I40,Tax_Bands!I$9)+Tax_Bands!I$19*MAX(0,MIN(I40,Tax_Bands!I$10)-Tax_Bands!I$9)+Tax_Bands!I$20*MAX(0,I40-Tax_Bands!I$10)</f>
        <v>85745.4635738881</v>
      </c>
      <c r="J41" s="45" t="n">
        <f aca="false">Tax_Bands!J$18*MIN(J40,Tax_Bands!J$9)+Tax_Bands!J$19*MAX(0,MIN(J40,Tax_Bands!J$10)-Tax_Bands!J$9)+Tax_Bands!J$20*MAX(0,J40-Tax_Bands!J$10)</f>
        <v>87460.3728453658</v>
      </c>
      <c r="K41" s="45" t="n">
        <f aca="false">Tax_Bands!K$18*MIN(K40,Tax_Bands!K$9)+Tax_Bands!K$19*MAX(0,MIN(K40,Tax_Bands!K$10)-Tax_Bands!K$9)+Tax_Bands!K$20*MAX(0,K40-Tax_Bands!K$10)</f>
        <v>89209.5803022731</v>
      </c>
      <c r="L41" s="45" t="n">
        <f aca="false">Tax_Bands!L$18*MIN(L40,Tax_Bands!L$9)+Tax_Bands!L$19*MAX(0,MIN(L40,Tax_Bands!L$10)-Tax_Bands!L$9)+Tax_Bands!L$20*MAX(0,L40-Tax_Bands!L$10)</f>
        <v>90993.7719083186</v>
      </c>
      <c r="M41" s="45" t="n">
        <f aca="false">Tax_Bands!M$18*MIN(M40,Tax_Bands!M$9)+Tax_Bands!M$19*MAX(0,MIN(M40,Tax_Bands!M$10)-Tax_Bands!M$9)+Tax_Bands!M$20*MAX(0,M40-Tax_Bands!M$10)</f>
        <v>92813.6473464849</v>
      </c>
      <c r="N41" s="45" t="n">
        <f aca="false">Tax_Bands!N$18*MIN(N40,Tax_Bands!N$9)+Tax_Bands!N$19*MAX(0,MIN(N40,Tax_Bands!N$10)-Tax_Bands!N$9)+Tax_Bands!N$20*MAX(0,N40-Tax_Bands!N$10)</f>
        <v>94669.9202934147</v>
      </c>
      <c r="O41" s="45" t="n">
        <f aca="false">Tax_Bands!O$18*MIN(O40,Tax_Bands!O$9)+Tax_Bands!O$19*MAX(0,MIN(O40,Tax_Bands!O$10)-Tax_Bands!O$9)+Tax_Bands!O$20*MAX(0,O40-Tax_Bands!O$10)</f>
        <v>96563.3186992829</v>
      </c>
      <c r="P41" s="45" t="n">
        <f aca="false">Tax_Bands!P$18*MIN(P40,Tax_Bands!P$9)+Tax_Bands!P$19*MAX(0,MIN(P40,Tax_Bands!P$10)-Tax_Bands!P$9)+Tax_Bands!P$20*MAX(0,P40-Tax_Bands!P$10)</f>
        <v>98494.5850732686</v>
      </c>
      <c r="Q41" s="45" t="n">
        <f aca="false">Tax_Bands!Q$18*MIN(Q40,Tax_Bands!Q$9)+Tax_Bands!Q$19*MAX(0,MIN(Q40,Tax_Bands!Q$10)-Tax_Bands!Q$9)+Tax_Bands!Q$20*MAX(0,Q40-Tax_Bands!Q$10)</f>
        <v>100464.476774734</v>
      </c>
      <c r="R41" s="45" t="n">
        <f aca="false">Tax_Bands!R$18*MIN(R40,Tax_Bands!R$9)+Tax_Bands!R$19*MAX(0,MIN(R40,Tax_Bands!R$10)-Tax_Bands!R$9)+Tax_Bands!R$20*MAX(0,R40-Tax_Bands!R$10)</f>
        <v>102473.766310229</v>
      </c>
      <c r="S41" s="45" t="n">
        <f aca="false">Tax_Bands!S$18*MIN(S40,Tax_Bands!S$9)+Tax_Bands!S$19*MAX(0,MIN(S40,Tax_Bands!S$10)-Tax_Bands!S$9)+Tax_Bands!S$20*MAX(0,S40-Tax_Bands!S$10)</f>
        <v>104523.241636433</v>
      </c>
      <c r="T41" s="45" t="n">
        <f aca="false">Tax_Bands!T$18*MIN(T40,Tax_Bands!T$9)+Tax_Bands!T$19*MAX(0,MIN(T40,Tax_Bands!T$10)-Tax_Bands!T$9)+Tax_Bands!T$20*MAX(0,T40-Tax_Bands!T$10)</f>
        <v>106613.706469162</v>
      </c>
      <c r="U41" s="45" t="n">
        <f aca="false">Tax_Bands!U$18*MIN(U40,Tax_Bands!U$9)+Tax_Bands!U$19*MAX(0,MIN(U40,Tax_Bands!U$10)-Tax_Bands!U$9)+Tax_Bands!U$20*MAX(0,U40-Tax_Bands!U$10)</f>
        <v>108745.980598545</v>
      </c>
      <c r="V41" s="45" t="n">
        <f aca="false">Tax_Bands!V$18*MIN(V40,Tax_Bands!V$9)+Tax_Bands!V$19*MAX(0,MIN(V40,Tax_Bands!V$10)-Tax_Bands!V$9)+Tax_Bands!V$20*MAX(0,V40-Tax_Bands!V$10)</f>
        <v>110920.900210516</v>
      </c>
      <c r="W41" s="45" t="n">
        <f aca="false">Tax_Bands!W$18*MIN(W40,Tax_Bands!W$9)+Tax_Bands!W$19*MAX(0,MIN(W40,Tax_Bands!W$10)-Tax_Bands!W$9)+Tax_Bands!W$20*MAX(0,W40-Tax_Bands!W$10)</f>
        <v>113139.318214726</v>
      </c>
      <c r="X41" s="45" t="n">
        <f aca="false">Tax_Bands!X$18*MIN(X40,Tax_Bands!X$9)+Tax_Bands!X$19*MAX(0,MIN(X40,Tax_Bands!X$10)-Tax_Bands!X$9)+Tax_Bands!X$20*MAX(0,X40-Tax_Bands!X$10)</f>
        <v>115402.104579021</v>
      </c>
      <c r="Y41" s="45" t="n">
        <f aca="false">Tax_Bands!Y$18*MIN(Y40,Tax_Bands!Y$9)+Tax_Bands!Y$19*MAX(0,MIN(Y40,Tax_Bands!Y$10)-Tax_Bands!Y$9)+Tax_Bands!Y$20*MAX(0,Y40-Tax_Bands!Y$10)</f>
        <v>117710.146670601</v>
      </c>
      <c r="Z41" s="45" t="n">
        <f aca="false">Tax_Bands!Z$18*MIN(Z40,Tax_Bands!Z$9)+Tax_Bands!Z$19*MAX(0,MIN(Z40,Tax_Bands!Z$10)-Tax_Bands!Z$9)+Tax_Bands!Z$20*MAX(0,Z40-Tax_Bands!Z$10)</f>
        <v>120064.349604013</v>
      </c>
      <c r="AA41" s="45" t="n">
        <f aca="false">Tax_Bands!AA$18*MIN(AA40,Tax_Bands!AA$9)+Tax_Bands!AA$19*MAX(0,MIN(AA40,Tax_Bands!AA$10)-Tax_Bands!AA$9)+Tax_Bands!AA$20*MAX(0,AA40-Tax_Bands!AA$10)</f>
        <v>122465.636596094</v>
      </c>
      <c r="AB41" s="45" t="n">
        <f aca="false">Tax_Bands!AB$18*MIN(AB40,Tax_Bands!AB$9)+Tax_Bands!AB$19*MAX(0,MIN(AB40,Tax_Bands!AB$10)-Tax_Bands!AB$9)+Tax_Bands!AB$20*MAX(0,AB40-Tax_Bands!AB$10)</f>
        <v>124914.949328015</v>
      </c>
      <c r="AC41" s="45" t="n">
        <f aca="false">Tax_Bands!AC$18*MIN(AC40,Tax_Bands!AC$9)+Tax_Bands!AC$19*MAX(0,MIN(AC40,Tax_Bands!AC$10)-Tax_Bands!AC$9)+Tax_Bands!AC$20*MAX(0,AC40-Tax_Bands!AC$10)</f>
        <v>127413.248314576</v>
      </c>
      <c r="AD41" s="45" t="n">
        <f aca="false">Tax_Bands!AD$18*MIN(AD40,Tax_Bands!AD$9)+Tax_Bands!AD$19*MAX(0,MIN(AD40,Tax_Bands!AD$10)-Tax_Bands!AD$9)+Tax_Bands!AD$20*MAX(0,AD40-Tax_Bands!AD$10)</f>
        <v>129961.513280867</v>
      </c>
      <c r="AE41" s="45" t="n">
        <f aca="false">Tax_Bands!AE$18*MIN(AE40,Tax_Bands!AE$9)+Tax_Bands!AE$19*MAX(0,MIN(AE40,Tax_Bands!AE$10)-Tax_Bands!AE$9)+Tax_Bands!AE$20*MAX(0,AE40-Tax_Bands!AE$10)</f>
        <v>132560.743546485</v>
      </c>
      <c r="AF41" s="45" t="n">
        <f aca="false">Tax_Bands!AF$18*MIN(AF40,Tax_Bands!AF$9)+Tax_Bands!AF$19*MAX(0,MIN(AF40,Tax_Bands!AF$10)-Tax_Bands!AF$9)+Tax_Bands!AF$20*MAX(0,AF40-Tax_Bands!AF$10)</f>
        <v>135211.958417414</v>
      </c>
    </row>
    <row r="42" customFormat="false" ht="15" hidden="false" customHeight="true" outlineLevel="0" collapsed="false">
      <c r="B42" s="24" t="s">
        <v>292</v>
      </c>
      <c r="C42" s="50" t="n">
        <f aca="false">C8-C41-C16</f>
        <v>112486.4</v>
      </c>
      <c r="D42" s="50" t="n">
        <f aca="false">D8-D41-D16</f>
        <v>116514.4</v>
      </c>
      <c r="E42" s="50" t="n">
        <f aca="false">E8-E41-E16</f>
        <v>120703.52</v>
      </c>
      <c r="F42" s="50" t="n">
        <f aca="false">F8-F41-F16</f>
        <v>122881.8624</v>
      </c>
      <c r="G42" s="50" t="n">
        <f aca="false">G8-G41-G16</f>
        <v>125103.771648</v>
      </c>
      <c r="H42" s="50" t="n">
        <f aca="false">H8-H41-H16</f>
        <v>127605.84708096</v>
      </c>
      <c r="I42" s="50" t="n">
        <f aca="false">I8-I41-I16</f>
        <v>130157.964022579</v>
      </c>
      <c r="J42" s="50" t="n">
        <f aca="false">J8-J41-J16</f>
        <v>132761.123303031</v>
      </c>
      <c r="K42" s="50" t="n">
        <f aca="false">K8-K41-K16</f>
        <v>135416.345769091</v>
      </c>
      <c r="L42" s="50" t="n">
        <f aca="false">L8-L41-L16</f>
        <v>138124.672684473</v>
      </c>
      <c r="M42" s="50" t="n">
        <f aca="false">M8-M41-M16</f>
        <v>140887.166138163</v>
      </c>
      <c r="N42" s="50" t="n">
        <f aca="false">N8-N41-N16</f>
        <v>143704.909460926</v>
      </c>
      <c r="O42" s="50" t="n">
        <f aca="false">O8-O41-O16</f>
        <v>146579.007650145</v>
      </c>
      <c r="P42" s="50" t="n">
        <f aca="false">P8-P41-P16</f>
        <v>149510.587803147</v>
      </c>
      <c r="Q42" s="50" t="n">
        <f aca="false">Q8-Q41-Q16</f>
        <v>152500.79955921</v>
      </c>
      <c r="R42" s="50" t="n">
        <f aca="false">R8-R41-R16</f>
        <v>155550.815550395</v>
      </c>
      <c r="S42" s="50" t="n">
        <f aca="false">S8-S41-S16</f>
        <v>158661.831861402</v>
      </c>
      <c r="T42" s="50" t="n">
        <f aca="false">T8-T41-T16</f>
        <v>161835.06849863</v>
      </c>
      <c r="U42" s="50" t="n">
        <f aca="false">U8-U41-U16</f>
        <v>165071.769868603</v>
      </c>
      <c r="V42" s="50" t="n">
        <f aca="false">V8-V41-V16</f>
        <v>168373.205265975</v>
      </c>
      <c r="W42" s="50" t="n">
        <f aca="false">W8-W41-W16</f>
        <v>171740.669371295</v>
      </c>
      <c r="X42" s="50" t="n">
        <f aca="false">X8-X41-X16</f>
        <v>175175.482758721</v>
      </c>
      <c r="Y42" s="50" t="n">
        <f aca="false">Y8-Y41-Y16</f>
        <v>178678.992413895</v>
      </c>
      <c r="Z42" s="50" t="n">
        <f aca="false">Z8-Z41-Z16</f>
        <v>182252.572262173</v>
      </c>
      <c r="AA42" s="50" t="n">
        <f aca="false">AA8-AA41-AA16</f>
        <v>185897.623707416</v>
      </c>
      <c r="AB42" s="50" t="n">
        <f aca="false">AB8-AB41-AB16</f>
        <v>189615.576181565</v>
      </c>
      <c r="AC42" s="50" t="n">
        <f aca="false">AC8-AC41-AC16</f>
        <v>193407.887705196</v>
      </c>
      <c r="AD42" s="50" t="n">
        <f aca="false">AD8-AD41-AD16</f>
        <v>197276.0454593</v>
      </c>
      <c r="AE42" s="50" t="n">
        <f aca="false">AE8-AE41-AE16</f>
        <v>201221.566368486</v>
      </c>
      <c r="AF42" s="50" t="n">
        <f aca="false">AF8-AF41-AF16</f>
        <v>205245.997695856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48"/>
    <col collapsed="false" customWidth="true" hidden="false" outlineLevel="0" max="32" min="3" style="20" width="13"/>
  </cols>
  <sheetData>
    <row r="1" customFormat="false" ht="17.25" hidden="false" customHeight="true" outlineLevel="0" collapsed="false">
      <c r="A1" s="21" t="s">
        <v>298</v>
      </c>
    </row>
    <row r="2" customFormat="false" ht="15" hidden="false" customHeight="true" outlineLevel="0" collapsed="false">
      <c r="A2" s="22" t="s">
        <v>299</v>
      </c>
    </row>
    <row r="4" customFormat="false" ht="15" hidden="false" customHeight="true" outlineLevel="0" collapsed="false">
      <c r="A4" s="23" t="s">
        <v>300</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row>
    <row r="5" customFormat="false" ht="15" hidden="false" customHeight="true" outlineLevel="0" collapsed="false">
      <c r="B5" s="24" t="s">
        <v>123</v>
      </c>
      <c r="C5" s="25" t="n">
        <v>2026</v>
      </c>
      <c r="D5" s="25" t="n">
        <v>2027</v>
      </c>
      <c r="E5" s="25" t="n">
        <v>2028</v>
      </c>
      <c r="F5" s="25" t="n">
        <v>2029</v>
      </c>
      <c r="G5" s="25" t="n">
        <v>2030</v>
      </c>
      <c r="H5" s="25" t="n">
        <v>2031</v>
      </c>
      <c r="I5" s="25" t="n">
        <v>2032</v>
      </c>
      <c r="J5" s="25" t="n">
        <v>2033</v>
      </c>
      <c r="K5" s="25" t="n">
        <v>2034</v>
      </c>
      <c r="L5" s="25" t="n">
        <v>2035</v>
      </c>
      <c r="M5" s="25" t="n">
        <v>2036</v>
      </c>
      <c r="N5" s="25" t="n">
        <v>2037</v>
      </c>
      <c r="O5" s="25" t="n">
        <v>2038</v>
      </c>
      <c r="P5" s="25" t="n">
        <v>2039</v>
      </c>
      <c r="Q5" s="25" t="n">
        <v>2040</v>
      </c>
      <c r="R5" s="25" t="n">
        <v>2041</v>
      </c>
      <c r="S5" s="25" t="n">
        <v>2042</v>
      </c>
      <c r="T5" s="25" t="n">
        <v>2043</v>
      </c>
      <c r="U5" s="25" t="n">
        <v>2044</v>
      </c>
      <c r="V5" s="25" t="n">
        <v>2045</v>
      </c>
      <c r="W5" s="25" t="n">
        <v>2046</v>
      </c>
      <c r="X5" s="25" t="n">
        <v>2047</v>
      </c>
      <c r="Y5" s="25" t="n">
        <v>2048</v>
      </c>
      <c r="Z5" s="25" t="n">
        <v>2049</v>
      </c>
      <c r="AA5" s="25" t="n">
        <v>2050</v>
      </c>
      <c r="AB5" s="25" t="n">
        <v>2051</v>
      </c>
      <c r="AC5" s="25" t="n">
        <v>2052</v>
      </c>
      <c r="AD5" s="25" t="n">
        <v>2053</v>
      </c>
      <c r="AE5" s="25" t="n">
        <v>2054</v>
      </c>
      <c r="AF5" s="25" t="n">
        <v>2055</v>
      </c>
    </row>
    <row r="6" customFormat="false" ht="15" hidden="false" customHeight="true" outlineLevel="0" collapsed="false">
      <c r="B6" s="26" t="s">
        <v>301</v>
      </c>
      <c r="C6" s="47" t="n">
        <f aca="false">Assumptions!C$14</f>
        <v>6</v>
      </c>
      <c r="D6" s="47" t="n">
        <f aca="false">Assumptions!D$14</f>
        <v>7</v>
      </c>
      <c r="E6" s="47" t="n">
        <f aca="false">Assumptions!E$14</f>
        <v>8</v>
      </c>
      <c r="F6" s="47" t="n">
        <f aca="false">Assumptions!F$14</f>
        <v>9</v>
      </c>
      <c r="G6" s="47" t="n">
        <f aca="false">Assumptions!G$14</f>
        <v>10</v>
      </c>
      <c r="H6" s="47" t="n">
        <f aca="false">Assumptions!H$14</f>
        <v>11</v>
      </c>
      <c r="I6" s="47" t="n">
        <f aca="false">Assumptions!I$14</f>
        <v>12</v>
      </c>
      <c r="J6" s="47" t="n">
        <f aca="false">Assumptions!J$14</f>
        <v>13</v>
      </c>
      <c r="K6" s="47" t="n">
        <f aca="false">Assumptions!K$14</f>
        <v>14</v>
      </c>
      <c r="L6" s="47" t="n">
        <f aca="false">Assumptions!L$14</f>
        <v>15</v>
      </c>
      <c r="M6" s="47" t="n">
        <f aca="false">Assumptions!M$14</f>
        <v>16</v>
      </c>
      <c r="N6" s="47" t="n">
        <f aca="false">Assumptions!N$14</f>
        <v>17</v>
      </c>
      <c r="O6" s="47" t="n">
        <f aca="false">Assumptions!O$14</f>
        <v>18</v>
      </c>
      <c r="P6" s="47" t="n">
        <f aca="false">Assumptions!P$14</f>
        <v>19</v>
      </c>
      <c r="Q6" s="47" t="n">
        <f aca="false">Assumptions!Q$14</f>
        <v>20</v>
      </c>
      <c r="R6" s="47" t="n">
        <f aca="false">Assumptions!R$14</f>
        <v>21</v>
      </c>
      <c r="S6" s="47" t="n">
        <f aca="false">Assumptions!S$14</f>
        <v>22</v>
      </c>
      <c r="T6" s="47" t="n">
        <f aca="false">Assumptions!T$14</f>
        <v>23</v>
      </c>
      <c r="U6" s="47" t="n">
        <f aca="false">Assumptions!U$14</f>
        <v>24</v>
      </c>
      <c r="V6" s="47" t="n">
        <f aca="false">Assumptions!V$14</f>
        <v>25</v>
      </c>
      <c r="W6" s="47" t="n">
        <f aca="false">Assumptions!W$14</f>
        <v>26</v>
      </c>
      <c r="X6" s="47" t="n">
        <f aca="false">Assumptions!X$14</f>
        <v>27</v>
      </c>
      <c r="Y6" s="47" t="n">
        <f aca="false">Assumptions!Y$14</f>
        <v>28</v>
      </c>
      <c r="Z6" s="47" t="n">
        <f aca="false">Assumptions!Z$14</f>
        <v>29</v>
      </c>
      <c r="AA6" s="47" t="n">
        <f aca="false">Assumptions!AA$14</f>
        <v>30</v>
      </c>
      <c r="AB6" s="47" t="n">
        <f aca="false">Assumptions!AB$14</f>
        <v>31</v>
      </c>
      <c r="AC6" s="47" t="n">
        <f aca="false">Assumptions!AC$14</f>
        <v>32</v>
      </c>
      <c r="AD6" s="47" t="n">
        <f aca="false">Assumptions!AD$14</f>
        <v>33</v>
      </c>
      <c r="AE6" s="47" t="n">
        <f aca="false">Assumptions!AE$14</f>
        <v>34</v>
      </c>
      <c r="AF6" s="47" t="n">
        <f aca="false">Assumptions!AF$14</f>
        <v>35</v>
      </c>
    </row>
    <row r="7" customFormat="false" ht="15" hidden="false" customHeight="true" outlineLevel="0" collapsed="false">
      <c r="B7" s="26" t="s">
        <v>302</v>
      </c>
      <c r="C7" s="47" t="n">
        <f aca="false">Assumptions!C$15</f>
        <v>3</v>
      </c>
      <c r="D7" s="47" t="n">
        <f aca="false">Assumptions!D$15</f>
        <v>4</v>
      </c>
      <c r="E7" s="47" t="n">
        <f aca="false">Assumptions!E$15</f>
        <v>5</v>
      </c>
      <c r="F7" s="47" t="n">
        <f aca="false">Assumptions!F$15</f>
        <v>6</v>
      </c>
      <c r="G7" s="47" t="n">
        <f aca="false">Assumptions!G$15</f>
        <v>7</v>
      </c>
      <c r="H7" s="47" t="n">
        <f aca="false">Assumptions!H$15</f>
        <v>8</v>
      </c>
      <c r="I7" s="47" t="n">
        <f aca="false">Assumptions!I$15</f>
        <v>9</v>
      </c>
      <c r="J7" s="47" t="n">
        <f aca="false">Assumptions!J$15</f>
        <v>10</v>
      </c>
      <c r="K7" s="47" t="n">
        <f aca="false">Assumptions!K$15</f>
        <v>11</v>
      </c>
      <c r="L7" s="47" t="n">
        <f aca="false">Assumptions!L$15</f>
        <v>12</v>
      </c>
      <c r="M7" s="47" t="n">
        <f aca="false">Assumptions!M$15</f>
        <v>13</v>
      </c>
      <c r="N7" s="47" t="n">
        <f aca="false">Assumptions!N$15</f>
        <v>14</v>
      </c>
      <c r="O7" s="47" t="n">
        <f aca="false">Assumptions!O$15</f>
        <v>15</v>
      </c>
      <c r="P7" s="47" t="n">
        <f aca="false">Assumptions!P$15</f>
        <v>16</v>
      </c>
      <c r="Q7" s="47" t="n">
        <f aca="false">Assumptions!Q$15</f>
        <v>17</v>
      </c>
      <c r="R7" s="47" t="n">
        <f aca="false">Assumptions!R$15</f>
        <v>18</v>
      </c>
      <c r="S7" s="47" t="n">
        <f aca="false">Assumptions!S$15</f>
        <v>19</v>
      </c>
      <c r="T7" s="47" t="n">
        <f aca="false">Assumptions!T$15</f>
        <v>20</v>
      </c>
      <c r="U7" s="47" t="n">
        <f aca="false">Assumptions!U$15</f>
        <v>21</v>
      </c>
      <c r="V7" s="47" t="n">
        <f aca="false">Assumptions!V$15</f>
        <v>22</v>
      </c>
      <c r="W7" s="47" t="n">
        <f aca="false">Assumptions!W$15</f>
        <v>23</v>
      </c>
      <c r="X7" s="47" t="n">
        <f aca="false">Assumptions!X$15</f>
        <v>24</v>
      </c>
      <c r="Y7" s="47" t="n">
        <f aca="false">Assumptions!Y$15</f>
        <v>25</v>
      </c>
      <c r="Z7" s="47" t="n">
        <f aca="false">Assumptions!Z$15</f>
        <v>26</v>
      </c>
      <c r="AA7" s="47" t="n">
        <f aca="false">Assumptions!AA$15</f>
        <v>27</v>
      </c>
      <c r="AB7" s="47" t="n">
        <f aca="false">Assumptions!AB$15</f>
        <v>28</v>
      </c>
      <c r="AC7" s="47" t="n">
        <f aca="false">Assumptions!AC$15</f>
        <v>29</v>
      </c>
      <c r="AD7" s="47" t="n">
        <f aca="false">Assumptions!AD$15</f>
        <v>30</v>
      </c>
      <c r="AE7" s="47" t="n">
        <f aca="false">Assumptions!AE$15</f>
        <v>31</v>
      </c>
      <c r="AF7" s="47" t="n">
        <f aca="false">Assumptions!AF$15</f>
        <v>32</v>
      </c>
    </row>
    <row r="9" customFormat="false" ht="15" hidden="false" customHeight="true" outlineLevel="0" collapsed="false">
      <c r="A9" s="23" t="s">
        <v>303</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row>
    <row r="10" customFormat="false" ht="15" hidden="false" customHeight="true" outlineLevel="0" collapsed="false">
      <c r="B10" s="26" t="s">
        <v>304</v>
      </c>
      <c r="C10" s="52" t="n">
        <f aca="false">IF(OR(C5&lt;Assumptions!$D$72,C5&gt;Assumptions!$D$74),0,IF(C5=Assumptions!$D$72,Assumptions!$D$73,IF(C5=Assumptions!$D$74,Assumptions!$D$75,12)))</f>
        <v>12</v>
      </c>
      <c r="D10" s="52" t="n">
        <f aca="false">IF(OR(D5&lt;Assumptions!$D$72,D5&gt;Assumptions!$D$74),0,IF(D5=Assumptions!$D$72,Assumptions!$D$73,IF(D5=Assumptions!$D$74,Assumptions!$D$75,12)))</f>
        <v>12</v>
      </c>
      <c r="E10" s="52" t="n">
        <f aca="false">IF(OR(E5&lt;Assumptions!$D$72,E5&gt;Assumptions!$D$74),0,IF(E5=Assumptions!$D$72,Assumptions!$D$73,IF(E5=Assumptions!$D$74,Assumptions!$D$75,12)))</f>
        <v>8</v>
      </c>
      <c r="F10" s="52" t="n">
        <f aca="false">IF(OR(F5&lt;Assumptions!$D$72,F5&gt;Assumptions!$D$74),0,IF(F5=Assumptions!$D$72,Assumptions!$D$73,IF(F5=Assumptions!$D$74,Assumptions!$D$75,12)))</f>
        <v>0</v>
      </c>
      <c r="G10" s="52" t="n">
        <f aca="false">IF(OR(G5&lt;Assumptions!$D$72,G5&gt;Assumptions!$D$74),0,IF(G5=Assumptions!$D$72,Assumptions!$D$73,IF(G5=Assumptions!$D$74,Assumptions!$D$75,12)))</f>
        <v>0</v>
      </c>
      <c r="H10" s="52" t="n">
        <f aca="false">IF(OR(H5&lt;Assumptions!$D$72,H5&gt;Assumptions!$D$74),0,IF(H5=Assumptions!$D$72,Assumptions!$D$73,IF(H5=Assumptions!$D$74,Assumptions!$D$75,12)))</f>
        <v>0</v>
      </c>
      <c r="I10" s="52" t="n">
        <f aca="false">IF(OR(I5&lt;Assumptions!$D$72,I5&gt;Assumptions!$D$74),0,IF(I5=Assumptions!$D$72,Assumptions!$D$73,IF(I5=Assumptions!$D$74,Assumptions!$D$75,12)))</f>
        <v>0</v>
      </c>
      <c r="J10" s="52" t="n">
        <f aca="false">IF(OR(J5&lt;Assumptions!$D$72,J5&gt;Assumptions!$D$74),0,IF(J5=Assumptions!$D$72,Assumptions!$D$73,IF(J5=Assumptions!$D$74,Assumptions!$D$75,12)))</f>
        <v>0</v>
      </c>
      <c r="K10" s="52" t="n">
        <f aca="false">IF(OR(K5&lt;Assumptions!$D$72,K5&gt;Assumptions!$D$74),0,IF(K5=Assumptions!$D$72,Assumptions!$D$73,IF(K5=Assumptions!$D$74,Assumptions!$D$75,12)))</f>
        <v>0</v>
      </c>
      <c r="L10" s="52" t="n">
        <f aca="false">IF(OR(L5&lt;Assumptions!$D$72,L5&gt;Assumptions!$D$74),0,IF(L5=Assumptions!$D$72,Assumptions!$D$73,IF(L5=Assumptions!$D$74,Assumptions!$D$75,12)))</f>
        <v>0</v>
      </c>
      <c r="M10" s="52" t="n">
        <f aca="false">IF(OR(M5&lt;Assumptions!$D$72,M5&gt;Assumptions!$D$74),0,IF(M5=Assumptions!$D$72,Assumptions!$D$73,IF(M5=Assumptions!$D$74,Assumptions!$D$75,12)))</f>
        <v>0</v>
      </c>
      <c r="N10" s="52" t="n">
        <f aca="false">IF(OR(N5&lt;Assumptions!$D$72,N5&gt;Assumptions!$D$74),0,IF(N5=Assumptions!$D$72,Assumptions!$D$73,IF(N5=Assumptions!$D$74,Assumptions!$D$75,12)))</f>
        <v>0</v>
      </c>
      <c r="O10" s="52" t="n">
        <f aca="false">IF(OR(O5&lt;Assumptions!$D$72,O5&gt;Assumptions!$D$74),0,IF(O5=Assumptions!$D$72,Assumptions!$D$73,IF(O5=Assumptions!$D$74,Assumptions!$D$75,12)))</f>
        <v>0</v>
      </c>
      <c r="P10" s="52" t="n">
        <f aca="false">IF(OR(P5&lt;Assumptions!$D$72,P5&gt;Assumptions!$D$74),0,IF(P5=Assumptions!$D$72,Assumptions!$D$73,IF(P5=Assumptions!$D$74,Assumptions!$D$75,12)))</f>
        <v>0</v>
      </c>
      <c r="Q10" s="52" t="n">
        <f aca="false">IF(OR(Q5&lt;Assumptions!$D$72,Q5&gt;Assumptions!$D$74),0,IF(Q5=Assumptions!$D$72,Assumptions!$D$73,IF(Q5=Assumptions!$D$74,Assumptions!$D$75,12)))</f>
        <v>0</v>
      </c>
      <c r="R10" s="52" t="n">
        <f aca="false">IF(OR(R5&lt;Assumptions!$D$72,R5&gt;Assumptions!$D$74),0,IF(R5=Assumptions!$D$72,Assumptions!$D$73,IF(R5=Assumptions!$D$74,Assumptions!$D$75,12)))</f>
        <v>0</v>
      </c>
      <c r="S10" s="52" t="n">
        <f aca="false">IF(OR(S5&lt;Assumptions!$D$72,S5&gt;Assumptions!$D$74),0,IF(S5=Assumptions!$D$72,Assumptions!$D$73,IF(S5=Assumptions!$D$74,Assumptions!$D$75,12)))</f>
        <v>0</v>
      </c>
      <c r="T10" s="52" t="n">
        <f aca="false">IF(OR(T5&lt;Assumptions!$D$72,T5&gt;Assumptions!$D$74),0,IF(T5=Assumptions!$D$72,Assumptions!$D$73,IF(T5=Assumptions!$D$74,Assumptions!$D$75,12)))</f>
        <v>0</v>
      </c>
      <c r="U10" s="52" t="n">
        <f aca="false">IF(OR(U5&lt;Assumptions!$D$72,U5&gt;Assumptions!$D$74),0,IF(U5=Assumptions!$D$72,Assumptions!$D$73,IF(U5=Assumptions!$D$74,Assumptions!$D$75,12)))</f>
        <v>0</v>
      </c>
      <c r="V10" s="52" t="n">
        <f aca="false">IF(OR(V5&lt;Assumptions!$D$72,V5&gt;Assumptions!$D$74),0,IF(V5=Assumptions!$D$72,Assumptions!$D$73,IF(V5=Assumptions!$D$74,Assumptions!$D$75,12)))</f>
        <v>0</v>
      </c>
      <c r="W10" s="52" t="n">
        <f aca="false">IF(OR(W5&lt;Assumptions!$D$72,W5&gt;Assumptions!$D$74),0,IF(W5=Assumptions!$D$72,Assumptions!$D$73,IF(W5=Assumptions!$D$74,Assumptions!$D$75,12)))</f>
        <v>0</v>
      </c>
      <c r="X10" s="52" t="n">
        <f aca="false">IF(OR(X5&lt;Assumptions!$D$72,X5&gt;Assumptions!$D$74),0,IF(X5=Assumptions!$D$72,Assumptions!$D$73,IF(X5=Assumptions!$D$74,Assumptions!$D$75,12)))</f>
        <v>0</v>
      </c>
      <c r="Y10" s="52" t="n">
        <f aca="false">IF(OR(Y5&lt;Assumptions!$D$72,Y5&gt;Assumptions!$D$74),0,IF(Y5=Assumptions!$D$72,Assumptions!$D$73,IF(Y5=Assumptions!$D$74,Assumptions!$D$75,12)))</f>
        <v>0</v>
      </c>
      <c r="Z10" s="52" t="n">
        <f aca="false">IF(OR(Z5&lt;Assumptions!$D$72,Z5&gt;Assumptions!$D$74),0,IF(Z5=Assumptions!$D$72,Assumptions!$D$73,IF(Z5=Assumptions!$D$74,Assumptions!$D$75,12)))</f>
        <v>0</v>
      </c>
      <c r="AA10" s="52" t="n">
        <f aca="false">IF(OR(AA5&lt;Assumptions!$D$72,AA5&gt;Assumptions!$D$74),0,IF(AA5=Assumptions!$D$72,Assumptions!$D$73,IF(AA5=Assumptions!$D$74,Assumptions!$D$75,12)))</f>
        <v>0</v>
      </c>
      <c r="AB10" s="52" t="n">
        <f aca="false">IF(OR(AB5&lt;Assumptions!$D$72,AB5&gt;Assumptions!$D$74),0,IF(AB5=Assumptions!$D$72,Assumptions!$D$73,IF(AB5=Assumptions!$D$74,Assumptions!$D$75,12)))</f>
        <v>0</v>
      </c>
      <c r="AC10" s="52" t="n">
        <f aca="false">IF(OR(AC5&lt;Assumptions!$D$72,AC5&gt;Assumptions!$D$74),0,IF(AC5=Assumptions!$D$72,Assumptions!$D$73,IF(AC5=Assumptions!$D$74,Assumptions!$D$75,12)))</f>
        <v>0</v>
      </c>
      <c r="AD10" s="52" t="n">
        <f aca="false">IF(OR(AD5&lt;Assumptions!$D$72,AD5&gt;Assumptions!$D$74),0,IF(AD5=Assumptions!$D$72,Assumptions!$D$73,IF(AD5=Assumptions!$D$74,Assumptions!$D$75,12)))</f>
        <v>0</v>
      </c>
      <c r="AE10" s="52" t="n">
        <f aca="false">IF(OR(AE5&lt;Assumptions!$D$72,AE5&gt;Assumptions!$D$74),0,IF(AE5=Assumptions!$D$72,Assumptions!$D$73,IF(AE5=Assumptions!$D$74,Assumptions!$D$75,12)))</f>
        <v>0</v>
      </c>
      <c r="AF10" s="52" t="n">
        <f aca="false">IF(OR(AF5&lt;Assumptions!$D$72,AF5&gt;Assumptions!$D$74),0,IF(AF5=Assumptions!$D$72,Assumptions!$D$73,IF(AF5=Assumptions!$D$74,Assumptions!$D$75,12)))</f>
        <v>0</v>
      </c>
    </row>
    <row r="11" customFormat="false" ht="15" hidden="false" customHeight="true" outlineLevel="0" collapsed="false">
      <c r="B11" s="26" t="s">
        <v>305</v>
      </c>
      <c r="C11" s="45" t="n">
        <f aca="false">C10*Assumptions!$C$57*Assumptions!C$9</f>
        <v>32400</v>
      </c>
      <c r="D11" s="45" t="n">
        <f aca="false">D10*Assumptions!$C$57*Assumptions!D$9</f>
        <v>33696</v>
      </c>
      <c r="E11" s="45" t="n">
        <f aca="false">E10*Assumptions!$C$57*Assumptions!E$9</f>
        <v>23362.56</v>
      </c>
      <c r="F11" s="45" t="n">
        <f aca="false">F10*Assumptions!$C$57*Assumptions!F$9</f>
        <v>0</v>
      </c>
      <c r="G11" s="45" t="n">
        <f aca="false">G10*Assumptions!$C$57*Assumptions!G$9</f>
        <v>0</v>
      </c>
      <c r="H11" s="45" t="n">
        <f aca="false">H10*Assumptions!$C$57*Assumptions!H$9</f>
        <v>0</v>
      </c>
      <c r="I11" s="45" t="n">
        <f aca="false">I10*Assumptions!$C$57*Assumptions!I$9</f>
        <v>0</v>
      </c>
      <c r="J11" s="45" t="n">
        <f aca="false">J10*Assumptions!$C$57*Assumptions!J$9</f>
        <v>0</v>
      </c>
      <c r="K11" s="45" t="n">
        <f aca="false">K10*Assumptions!$C$57*Assumptions!K$9</f>
        <v>0</v>
      </c>
      <c r="L11" s="45" t="n">
        <f aca="false">L10*Assumptions!$C$57*Assumptions!L$9</f>
        <v>0</v>
      </c>
      <c r="M11" s="45" t="n">
        <f aca="false">M10*Assumptions!$C$57*Assumptions!M$9</f>
        <v>0</v>
      </c>
      <c r="N11" s="45" t="n">
        <f aca="false">N10*Assumptions!$C$57*Assumptions!N$9</f>
        <v>0</v>
      </c>
      <c r="O11" s="45" t="n">
        <f aca="false">O10*Assumptions!$C$57*Assumptions!O$9</f>
        <v>0</v>
      </c>
      <c r="P11" s="45" t="n">
        <f aca="false">P10*Assumptions!$C$57*Assumptions!P$9</f>
        <v>0</v>
      </c>
      <c r="Q11" s="45" t="n">
        <f aca="false">Q10*Assumptions!$C$57*Assumptions!Q$9</f>
        <v>0</v>
      </c>
      <c r="R11" s="45" t="n">
        <f aca="false">R10*Assumptions!$C$57*Assumptions!R$9</f>
        <v>0</v>
      </c>
      <c r="S11" s="45" t="n">
        <f aca="false">S10*Assumptions!$C$57*Assumptions!S$9</f>
        <v>0</v>
      </c>
      <c r="T11" s="45" t="n">
        <f aca="false">T10*Assumptions!$C$57*Assumptions!T$9</f>
        <v>0</v>
      </c>
      <c r="U11" s="45" t="n">
        <f aca="false">U10*Assumptions!$C$57*Assumptions!U$9</f>
        <v>0</v>
      </c>
      <c r="V11" s="45" t="n">
        <f aca="false">V10*Assumptions!$C$57*Assumptions!V$9</f>
        <v>0</v>
      </c>
      <c r="W11" s="45" t="n">
        <f aca="false">W10*Assumptions!$C$57*Assumptions!W$9</f>
        <v>0</v>
      </c>
      <c r="X11" s="45" t="n">
        <f aca="false">X10*Assumptions!$C$57*Assumptions!X$9</f>
        <v>0</v>
      </c>
      <c r="Y11" s="45" t="n">
        <f aca="false">Y10*Assumptions!$C$57*Assumptions!Y$9</f>
        <v>0</v>
      </c>
      <c r="Z11" s="45" t="n">
        <f aca="false">Z10*Assumptions!$C$57*Assumptions!Z$9</f>
        <v>0</v>
      </c>
      <c r="AA11" s="45" t="n">
        <f aca="false">AA10*Assumptions!$C$57*Assumptions!AA$9</f>
        <v>0</v>
      </c>
      <c r="AB11" s="45" t="n">
        <f aca="false">AB10*Assumptions!$C$57*Assumptions!AB$9</f>
        <v>0</v>
      </c>
      <c r="AC11" s="45" t="n">
        <f aca="false">AC10*Assumptions!$C$57*Assumptions!AC$9</f>
        <v>0</v>
      </c>
      <c r="AD11" s="45" t="n">
        <f aca="false">AD10*Assumptions!$C$57*Assumptions!AD$9</f>
        <v>0</v>
      </c>
      <c r="AE11" s="45" t="n">
        <f aca="false">AE10*Assumptions!$C$57*Assumptions!AE$9</f>
        <v>0</v>
      </c>
      <c r="AF11" s="45" t="n">
        <f aca="false">AF10*Assumptions!$C$57*Assumptions!AF$9</f>
        <v>0</v>
      </c>
    </row>
    <row r="12" customFormat="false" ht="15" hidden="false" customHeight="true" outlineLevel="0" collapsed="false">
      <c r="B12" s="26" t="s">
        <v>306</v>
      </c>
      <c r="C12" s="45" t="n">
        <f aca="false">IF(C5&lt;=Assumptions!$C$56,12*Assumptions!$C$55*Assumptions!C$9,0)</f>
        <v>18000</v>
      </c>
      <c r="D12" s="45" t="n">
        <f aca="false">IF(D5&lt;=Assumptions!$C$56,12*Assumptions!$C$55*Assumptions!D$9,0)</f>
        <v>18720</v>
      </c>
      <c r="E12" s="45" t="n">
        <f aca="false">IF(E5&lt;=Assumptions!$C$56,12*Assumptions!$C$55*Assumptions!E$9,0)</f>
        <v>19468.8</v>
      </c>
      <c r="F12" s="45" t="n">
        <f aca="false">IF(F5&lt;=Assumptions!$C$56,12*Assumptions!$C$55*Assumptions!F$9,0)</f>
        <v>19858.176</v>
      </c>
      <c r="G12" s="45" t="n">
        <f aca="false">IF(G5&lt;=Assumptions!$C$56,12*Assumptions!$C$55*Assumptions!G$9,0)</f>
        <v>20255.33952</v>
      </c>
      <c r="H12" s="45" t="n">
        <f aca="false">IF(H5&lt;=Assumptions!$C$56,12*Assumptions!$C$55*Assumptions!H$9,0)</f>
        <v>20660.4463104</v>
      </c>
      <c r="I12" s="45" t="n">
        <f aca="false">IF(I5&lt;=Assumptions!$C$56,12*Assumptions!$C$55*Assumptions!I$9,0)</f>
        <v>21073.655236608</v>
      </c>
      <c r="J12" s="45" t="n">
        <f aca="false">IF(J5&lt;=Assumptions!$C$56,12*Assumptions!$C$55*Assumptions!J$9,0)</f>
        <v>21495.1283413402</v>
      </c>
      <c r="K12" s="45" t="n">
        <f aca="false">IF(K5&lt;=Assumptions!$C$56,12*Assumptions!$C$55*Assumptions!K$9,0)</f>
        <v>0</v>
      </c>
      <c r="L12" s="45" t="n">
        <f aca="false">IF(L5&lt;=Assumptions!$C$56,12*Assumptions!$C$55*Assumptions!L$9,0)</f>
        <v>0</v>
      </c>
      <c r="M12" s="45" t="n">
        <f aca="false">IF(M5&lt;=Assumptions!$C$56,12*Assumptions!$C$55*Assumptions!M$9,0)</f>
        <v>0</v>
      </c>
      <c r="N12" s="45" t="n">
        <f aca="false">IF(N5&lt;=Assumptions!$C$56,12*Assumptions!$C$55*Assumptions!N$9,0)</f>
        <v>0</v>
      </c>
      <c r="O12" s="45" t="n">
        <f aca="false">IF(O5&lt;=Assumptions!$C$56,12*Assumptions!$C$55*Assumptions!O$9,0)</f>
        <v>0</v>
      </c>
      <c r="P12" s="45" t="n">
        <f aca="false">IF(P5&lt;=Assumptions!$C$56,12*Assumptions!$C$55*Assumptions!P$9,0)</f>
        <v>0</v>
      </c>
      <c r="Q12" s="45" t="n">
        <f aca="false">IF(Q5&lt;=Assumptions!$C$56,12*Assumptions!$C$55*Assumptions!Q$9,0)</f>
        <v>0</v>
      </c>
      <c r="R12" s="45" t="n">
        <f aca="false">IF(R5&lt;=Assumptions!$C$56,12*Assumptions!$C$55*Assumptions!R$9,0)</f>
        <v>0</v>
      </c>
      <c r="S12" s="45" t="n">
        <f aca="false">IF(S5&lt;=Assumptions!$C$56,12*Assumptions!$C$55*Assumptions!S$9,0)</f>
        <v>0</v>
      </c>
      <c r="T12" s="45" t="n">
        <f aca="false">IF(T5&lt;=Assumptions!$C$56,12*Assumptions!$C$55*Assumptions!T$9,0)</f>
        <v>0</v>
      </c>
      <c r="U12" s="45" t="n">
        <f aca="false">IF(U5&lt;=Assumptions!$C$56,12*Assumptions!$C$55*Assumptions!U$9,0)</f>
        <v>0</v>
      </c>
      <c r="V12" s="45" t="n">
        <f aca="false">IF(V5&lt;=Assumptions!$C$56,12*Assumptions!$C$55*Assumptions!V$9,0)</f>
        <v>0</v>
      </c>
      <c r="W12" s="45" t="n">
        <f aca="false">IF(W5&lt;=Assumptions!$C$56,12*Assumptions!$C$55*Assumptions!W$9,0)</f>
        <v>0</v>
      </c>
      <c r="X12" s="45" t="n">
        <f aca="false">IF(X5&lt;=Assumptions!$C$56,12*Assumptions!$C$55*Assumptions!X$9,0)</f>
        <v>0</v>
      </c>
      <c r="Y12" s="45" t="n">
        <f aca="false">IF(Y5&lt;=Assumptions!$C$56,12*Assumptions!$C$55*Assumptions!Y$9,0)</f>
        <v>0</v>
      </c>
      <c r="Z12" s="45" t="n">
        <f aca="false">IF(Z5&lt;=Assumptions!$C$56,12*Assumptions!$C$55*Assumptions!Z$9,0)</f>
        <v>0</v>
      </c>
      <c r="AA12" s="45" t="n">
        <f aca="false">IF(AA5&lt;=Assumptions!$C$56,12*Assumptions!$C$55*Assumptions!AA$9,0)</f>
        <v>0</v>
      </c>
      <c r="AB12" s="45" t="n">
        <f aca="false">IF(AB5&lt;=Assumptions!$C$56,12*Assumptions!$C$55*Assumptions!AB$9,0)</f>
        <v>0</v>
      </c>
      <c r="AC12" s="45" t="n">
        <f aca="false">IF(AC5&lt;=Assumptions!$C$56,12*Assumptions!$C$55*Assumptions!AC$9,0)</f>
        <v>0</v>
      </c>
      <c r="AD12" s="45" t="n">
        <f aca="false">IF(AD5&lt;=Assumptions!$C$56,12*Assumptions!$C$55*Assumptions!AD$9,0)</f>
        <v>0</v>
      </c>
      <c r="AE12" s="45" t="n">
        <f aca="false">IF(AE5&lt;=Assumptions!$C$56,12*Assumptions!$C$55*Assumptions!AE$9,0)</f>
        <v>0</v>
      </c>
      <c r="AF12" s="45" t="n">
        <f aca="false">IF(AF5&lt;=Assumptions!$C$56,12*Assumptions!$C$55*Assumptions!AF$9,0)</f>
        <v>0</v>
      </c>
    </row>
    <row r="14" customFormat="false" ht="15" hidden="false" customHeight="true" outlineLevel="0" collapsed="false">
      <c r="A14" s="23" t="s">
        <v>307</v>
      </c>
      <c r="B14" s="23"/>
      <c r="C14" s="23"/>
      <c r="D14" s="23"/>
      <c r="E14" s="23"/>
      <c r="F14" s="23"/>
      <c r="G14" s="23"/>
      <c r="H14" s="23"/>
      <c r="I14" s="23"/>
      <c r="J14" s="23"/>
      <c r="K14" s="23"/>
      <c r="L14" s="23"/>
      <c r="M14" s="23"/>
      <c r="N14" s="23"/>
      <c r="O14" s="23"/>
      <c r="P14" s="23"/>
      <c r="Q14" s="23"/>
      <c r="R14" s="23"/>
      <c r="S14" s="23"/>
      <c r="T14" s="23"/>
      <c r="U14" s="23"/>
      <c r="V14" s="23"/>
      <c r="W14" s="23"/>
      <c r="X14" s="23"/>
      <c r="Y14" s="23"/>
      <c r="Z14" s="23"/>
      <c r="AA14" s="23"/>
      <c r="AB14" s="23"/>
      <c r="AC14" s="23"/>
      <c r="AD14" s="23"/>
      <c r="AE14" s="23"/>
      <c r="AF14" s="23"/>
    </row>
    <row r="15" customFormat="false" ht="15" hidden="false" customHeight="true" outlineLevel="0" collapsed="false">
      <c r="B15" s="26" t="s">
        <v>308</v>
      </c>
      <c r="C15" s="45" t="n">
        <f aca="false">Assumptions!$C$64*Assumptions!C$9</f>
        <v>9790</v>
      </c>
      <c r="D15" s="45" t="n">
        <f aca="false">Assumptions!$C$64*Assumptions!D$9</f>
        <v>10181.6</v>
      </c>
      <c r="E15" s="45" t="n">
        <f aca="false">Assumptions!$C$64*Assumptions!E$9</f>
        <v>10588.864</v>
      </c>
      <c r="F15" s="45" t="n">
        <f aca="false">Assumptions!$C$64*Assumptions!F$9</f>
        <v>10800.64128</v>
      </c>
      <c r="G15" s="45" t="n">
        <f aca="false">Assumptions!$C$64*Assumptions!G$9</f>
        <v>11016.6541056</v>
      </c>
      <c r="H15" s="45" t="n">
        <f aca="false">Assumptions!$C$64*Assumptions!H$9</f>
        <v>11236.987187712</v>
      </c>
      <c r="I15" s="45" t="n">
        <f aca="false">Assumptions!$C$64*Assumptions!I$9</f>
        <v>11461.7269314662</v>
      </c>
      <c r="J15" s="45" t="n">
        <f aca="false">Assumptions!$C$64*Assumptions!J$9</f>
        <v>11690.9614700956</v>
      </c>
      <c r="K15" s="45" t="n">
        <f aca="false">Assumptions!$C$64*Assumptions!K$9</f>
        <v>11924.7806994975</v>
      </c>
      <c r="L15" s="45" t="n">
        <f aca="false">Assumptions!$C$64*Assumptions!L$9</f>
        <v>12163.2763134874</v>
      </c>
      <c r="M15" s="45" t="n">
        <f aca="false">Assumptions!$C$64*Assumptions!M$9</f>
        <v>12406.5418397572</v>
      </c>
      <c r="N15" s="45" t="n">
        <f aca="false">Assumptions!$C$64*Assumptions!N$9</f>
        <v>12654.6726765523</v>
      </c>
      <c r="O15" s="45" t="n">
        <f aca="false">Assumptions!$C$64*Assumptions!O$9</f>
        <v>12907.7661300834</v>
      </c>
      <c r="P15" s="45" t="n">
        <f aca="false">Assumptions!$C$64*Assumptions!P$9</f>
        <v>13165.921452685</v>
      </c>
      <c r="Q15" s="45" t="n">
        <f aca="false">Assumptions!$C$64*Assumptions!Q$9</f>
        <v>13429.2398817387</v>
      </c>
      <c r="R15" s="45" t="n">
        <f aca="false">Assumptions!$C$64*Assumptions!R$9</f>
        <v>13697.8246793735</v>
      </c>
      <c r="S15" s="45" t="n">
        <f aca="false">Assumptions!$C$64*Assumptions!S$9</f>
        <v>13971.781172961</v>
      </c>
      <c r="T15" s="45" t="n">
        <f aca="false">Assumptions!$C$64*Assumptions!T$9</f>
        <v>14251.2167964202</v>
      </c>
      <c r="U15" s="45" t="n">
        <f aca="false">Assumptions!$C$64*Assumptions!U$9</f>
        <v>14536.2411323486</v>
      </c>
      <c r="V15" s="45" t="n">
        <f aca="false">Assumptions!$C$64*Assumptions!V$9</f>
        <v>14826.9659549956</v>
      </c>
      <c r="W15" s="45" t="n">
        <f aca="false">Assumptions!$C$64*Assumptions!W$9</f>
        <v>15123.5052740955</v>
      </c>
      <c r="X15" s="45" t="n">
        <f aca="false">Assumptions!$C$64*Assumptions!X$9</f>
        <v>15425.9753795774</v>
      </c>
      <c r="Y15" s="45" t="n">
        <f aca="false">Assumptions!$C$64*Assumptions!Y$9</f>
        <v>15734.4948871689</v>
      </c>
      <c r="Z15" s="45" t="n">
        <f aca="false">Assumptions!$C$64*Assumptions!Z$9</f>
        <v>16049.1847849123</v>
      </c>
      <c r="AA15" s="45" t="n">
        <f aca="false">Assumptions!$C$64*Assumptions!AA$9</f>
        <v>16370.1684806106</v>
      </c>
      <c r="AB15" s="45" t="n">
        <f aca="false">Assumptions!$C$64*Assumptions!AB$9</f>
        <v>16697.5718502228</v>
      </c>
      <c r="AC15" s="45" t="n">
        <f aca="false">Assumptions!$C$64*Assumptions!AC$9</f>
        <v>17031.5232872272</v>
      </c>
      <c r="AD15" s="45" t="n">
        <f aca="false">Assumptions!$C$64*Assumptions!AD$9</f>
        <v>17372.1537529718</v>
      </c>
      <c r="AE15" s="45" t="n">
        <f aca="false">Assumptions!$C$64*Assumptions!AE$9</f>
        <v>17719.5968280312</v>
      </c>
      <c r="AF15" s="45" t="n">
        <f aca="false">Assumptions!$C$64*Assumptions!AF$9</f>
        <v>18073.9887645919</v>
      </c>
    </row>
    <row r="16" customFormat="false" ht="15" hidden="false" customHeight="true" outlineLevel="0" collapsed="false">
      <c r="B16" s="26" t="s">
        <v>309</v>
      </c>
      <c r="C16" s="45" t="n">
        <f aca="false">Assumptions!$C$65*Assumptions!C$9</f>
        <v>15660</v>
      </c>
      <c r="D16" s="45" t="n">
        <f aca="false">Assumptions!$C$65*Assumptions!D$9</f>
        <v>16286.4</v>
      </c>
      <c r="E16" s="45" t="n">
        <f aca="false">Assumptions!$C$65*Assumptions!E$9</f>
        <v>16937.856</v>
      </c>
      <c r="F16" s="45" t="n">
        <f aca="false">Assumptions!$C$65*Assumptions!F$9</f>
        <v>17276.61312</v>
      </c>
      <c r="G16" s="45" t="n">
        <f aca="false">Assumptions!$C$65*Assumptions!G$9</f>
        <v>17622.1453824</v>
      </c>
      <c r="H16" s="45" t="n">
        <f aca="false">Assumptions!$C$65*Assumptions!H$9</f>
        <v>17974.588290048</v>
      </c>
      <c r="I16" s="45" t="n">
        <f aca="false">Assumptions!$C$65*Assumptions!I$9</f>
        <v>18334.080055849</v>
      </c>
      <c r="J16" s="45" t="n">
        <f aca="false">Assumptions!$C$65*Assumptions!J$9</f>
        <v>18700.7616569659</v>
      </c>
      <c r="K16" s="45" t="n">
        <f aca="false">Assumptions!$C$65*Assumptions!K$9</f>
        <v>19074.7768901053</v>
      </c>
      <c r="L16" s="45" t="n">
        <f aca="false">Assumptions!$C$65*Assumptions!L$9</f>
        <v>19456.2724279074</v>
      </c>
      <c r="M16" s="45" t="n">
        <f aca="false">Assumptions!$C$65*Assumptions!M$9</f>
        <v>19845.3978764655</v>
      </c>
      <c r="N16" s="45" t="n">
        <f aca="false">Assumptions!$C$65*Assumptions!N$9</f>
        <v>20242.3058339948</v>
      </c>
      <c r="O16" s="45" t="n">
        <f aca="false">Assumptions!$C$65*Assumptions!O$9</f>
        <v>20647.1519506747</v>
      </c>
      <c r="P16" s="45" t="n">
        <f aca="false">Assumptions!$C$65*Assumptions!P$9</f>
        <v>21060.0949896882</v>
      </c>
      <c r="Q16" s="45" t="n">
        <f aca="false">Assumptions!$C$65*Assumptions!Q$9</f>
        <v>21481.296889482</v>
      </c>
      <c r="R16" s="45" t="n">
        <f aca="false">Assumptions!$C$65*Assumptions!R$9</f>
        <v>21910.9228272716</v>
      </c>
      <c r="S16" s="45" t="n">
        <f aca="false">Assumptions!$C$65*Assumptions!S$9</f>
        <v>22349.1412838171</v>
      </c>
      <c r="T16" s="45" t="n">
        <f aca="false">Assumptions!$C$65*Assumptions!T$9</f>
        <v>22796.1241094934</v>
      </c>
      <c r="U16" s="45" t="n">
        <f aca="false">Assumptions!$C$65*Assumptions!U$9</f>
        <v>23252.0465916833</v>
      </c>
      <c r="V16" s="45" t="n">
        <f aca="false">Assumptions!$C$65*Assumptions!V$9</f>
        <v>23717.0875235169</v>
      </c>
      <c r="W16" s="45" t="n">
        <f aca="false">Assumptions!$C$65*Assumptions!W$9</f>
        <v>24191.4292739873</v>
      </c>
      <c r="X16" s="45" t="n">
        <f aca="false">Assumptions!$C$65*Assumptions!X$9</f>
        <v>24675.257859467</v>
      </c>
      <c r="Y16" s="45" t="n">
        <f aca="false">Assumptions!$C$65*Assumptions!Y$9</f>
        <v>25168.7630166564</v>
      </c>
      <c r="Z16" s="45" t="n">
        <f aca="false">Assumptions!$C$65*Assumptions!Z$9</f>
        <v>25672.1382769895</v>
      </c>
      <c r="AA16" s="45" t="n">
        <f aca="false">Assumptions!$C$65*Assumptions!AA$9</f>
        <v>26185.5810425293</v>
      </c>
      <c r="AB16" s="45" t="n">
        <f aca="false">Assumptions!$C$65*Assumptions!AB$9</f>
        <v>26709.2926633799</v>
      </c>
      <c r="AC16" s="45" t="n">
        <f aca="false">Assumptions!$C$65*Assumptions!AC$9</f>
        <v>27243.4785166475</v>
      </c>
      <c r="AD16" s="45" t="n">
        <f aca="false">Assumptions!$C$65*Assumptions!AD$9</f>
        <v>27788.3480869804</v>
      </c>
      <c r="AE16" s="45" t="n">
        <f aca="false">Assumptions!$C$65*Assumptions!AE$9</f>
        <v>28344.11504872</v>
      </c>
      <c r="AF16" s="45" t="n">
        <f aca="false">Assumptions!$C$65*Assumptions!AF$9</f>
        <v>28910.9973496944</v>
      </c>
    </row>
    <row r="17" customFormat="false" ht="15" hidden="false" customHeight="true" outlineLevel="0" collapsed="false">
      <c r="B17" s="24" t="s">
        <v>310</v>
      </c>
      <c r="C17" s="50" t="n">
        <f aca="false">C15+C16</f>
        <v>25450</v>
      </c>
      <c r="D17" s="50" t="n">
        <f aca="false">D15+D16</f>
        <v>26468</v>
      </c>
      <c r="E17" s="50" t="n">
        <f aca="false">E15+E16</f>
        <v>27526.72</v>
      </c>
      <c r="F17" s="50" t="n">
        <f aca="false">F15+F16</f>
        <v>28077.2544</v>
      </c>
      <c r="G17" s="50" t="n">
        <f aca="false">G15+G16</f>
        <v>28638.799488</v>
      </c>
      <c r="H17" s="50" t="n">
        <f aca="false">H15+H16</f>
        <v>29211.57547776</v>
      </c>
      <c r="I17" s="50" t="n">
        <f aca="false">I15+I16</f>
        <v>29795.8069873152</v>
      </c>
      <c r="J17" s="50" t="n">
        <f aca="false">J15+J16</f>
        <v>30391.7231270615</v>
      </c>
      <c r="K17" s="50" t="n">
        <f aca="false">K15+K16</f>
        <v>30999.5575896027</v>
      </c>
      <c r="L17" s="50" t="n">
        <f aca="false">L15+L16</f>
        <v>31619.5487413948</v>
      </c>
      <c r="M17" s="50" t="n">
        <f aca="false">M15+M16</f>
        <v>32251.9397162227</v>
      </c>
      <c r="N17" s="50" t="n">
        <f aca="false">N15+N16</f>
        <v>32896.9785105471</v>
      </c>
      <c r="O17" s="50" t="n">
        <f aca="false">O15+O16</f>
        <v>33554.9180807581</v>
      </c>
      <c r="P17" s="50" t="n">
        <f aca="false">P15+P16</f>
        <v>34226.0164423733</v>
      </c>
      <c r="Q17" s="50" t="n">
        <f aca="false">Q15+Q16</f>
        <v>34910.5367712207</v>
      </c>
      <c r="R17" s="50" t="n">
        <f aca="false">R15+R16</f>
        <v>35608.7475066451</v>
      </c>
      <c r="S17" s="50" t="n">
        <f aca="false">S15+S16</f>
        <v>36320.922456778</v>
      </c>
      <c r="T17" s="50" t="n">
        <f aca="false">T15+T16</f>
        <v>37047.3409059136</v>
      </c>
      <c r="U17" s="50" t="n">
        <f aca="false">U15+U16</f>
        <v>37788.2877240319</v>
      </c>
      <c r="V17" s="50" t="n">
        <f aca="false">V15+V16</f>
        <v>38544.0534785125</v>
      </c>
      <c r="W17" s="50" t="n">
        <f aca="false">W15+W16</f>
        <v>39314.9345480828</v>
      </c>
      <c r="X17" s="50" t="n">
        <f aca="false">X15+X16</f>
        <v>40101.2332390444</v>
      </c>
      <c r="Y17" s="50" t="n">
        <f aca="false">Y15+Y16</f>
        <v>40903.2579038253</v>
      </c>
      <c r="Z17" s="50" t="n">
        <f aca="false">Z15+Z16</f>
        <v>41721.3230619018</v>
      </c>
      <c r="AA17" s="50" t="n">
        <f aca="false">AA15+AA16</f>
        <v>42555.7495231399</v>
      </c>
      <c r="AB17" s="50" t="n">
        <f aca="false">AB15+AB16</f>
        <v>43406.8645136026</v>
      </c>
      <c r="AC17" s="50" t="n">
        <f aca="false">AC15+AC16</f>
        <v>44275.0018038747</v>
      </c>
      <c r="AD17" s="50" t="n">
        <f aca="false">AD15+AD16</f>
        <v>45160.5018399522</v>
      </c>
      <c r="AE17" s="50" t="n">
        <f aca="false">AE15+AE16</f>
        <v>46063.7118767512</v>
      </c>
      <c r="AF17" s="50" t="n">
        <f aca="false">AF15+AF16</f>
        <v>46984.9861142863</v>
      </c>
    </row>
    <row r="19" customFormat="false" ht="15" hidden="false" customHeight="true" outlineLevel="0" collapsed="false">
      <c r="A19" s="23" t="s">
        <v>311</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row>
    <row r="20" customFormat="false" ht="15" hidden="false" customHeight="true" outlineLevel="0" collapsed="false">
      <c r="B20" s="26" t="s">
        <v>312</v>
      </c>
      <c r="C20" s="27" t="n">
        <f aca="false">IF(AND(C5&gt;=Assumptions!$C$77,C5&lt;=Assumptions!$C$78),1,0)</f>
        <v>0</v>
      </c>
      <c r="D20" s="27" t="n">
        <f aca="false">IF(AND(D5&gt;=Assumptions!$C$77,D5&lt;=Assumptions!$C$78),1,0)</f>
        <v>0</v>
      </c>
      <c r="E20" s="27" t="n">
        <f aca="false">IF(AND(E5&gt;=Assumptions!$C$77,E5&lt;=Assumptions!$C$78),1,0)</f>
        <v>0</v>
      </c>
      <c r="F20" s="27" t="n">
        <f aca="false">IF(AND(F5&gt;=Assumptions!$C$77,F5&lt;=Assumptions!$C$78),1,0)</f>
        <v>0</v>
      </c>
      <c r="G20" s="27" t="n">
        <f aca="false">IF(AND(G5&gt;=Assumptions!$C$77,G5&lt;=Assumptions!$C$78),1,0)</f>
        <v>0</v>
      </c>
      <c r="H20" s="27" t="n">
        <f aca="false">IF(AND(H5&gt;=Assumptions!$C$77,H5&lt;=Assumptions!$C$78),1,0)</f>
        <v>0</v>
      </c>
      <c r="I20" s="27" t="n">
        <f aca="false">IF(AND(I5&gt;=Assumptions!$C$77,I5&lt;=Assumptions!$C$78),1,0)</f>
        <v>0</v>
      </c>
      <c r="J20" s="27" t="n">
        <f aca="false">IF(AND(J5&gt;=Assumptions!$C$77,J5&lt;=Assumptions!$C$78),1,0)</f>
        <v>0</v>
      </c>
      <c r="K20" s="27" t="n">
        <f aca="false">IF(AND(K5&gt;=Assumptions!$C$77,K5&lt;=Assumptions!$C$78),1,0)</f>
        <v>0</v>
      </c>
      <c r="L20" s="27" t="n">
        <f aca="false">IF(AND(L5&gt;=Assumptions!$C$77,L5&lt;=Assumptions!$C$78),1,0)</f>
        <v>0</v>
      </c>
      <c r="M20" s="27" t="n">
        <f aca="false">IF(AND(M5&gt;=Assumptions!$C$77,M5&lt;=Assumptions!$C$78),1,0)</f>
        <v>0</v>
      </c>
      <c r="N20" s="27" t="n">
        <f aca="false">IF(AND(N5&gt;=Assumptions!$C$77,N5&lt;=Assumptions!$C$78),1,0)</f>
        <v>0</v>
      </c>
      <c r="O20" s="27" t="n">
        <f aca="false">IF(AND(O5&gt;=Assumptions!$C$77,O5&lt;=Assumptions!$C$78),1,0)</f>
        <v>0</v>
      </c>
      <c r="P20" s="27" t="n">
        <f aca="false">IF(AND(P5&gt;=Assumptions!$C$77,P5&lt;=Assumptions!$C$78),1,0)</f>
        <v>1</v>
      </c>
      <c r="Q20" s="27" t="n">
        <f aca="false">IF(AND(Q5&gt;=Assumptions!$C$77,Q5&lt;=Assumptions!$C$78),1,0)</f>
        <v>1</v>
      </c>
      <c r="R20" s="27" t="n">
        <f aca="false">IF(AND(R5&gt;=Assumptions!$C$77,R5&lt;=Assumptions!$C$78),1,0)</f>
        <v>1</v>
      </c>
      <c r="S20" s="27" t="n">
        <f aca="false">IF(AND(S5&gt;=Assumptions!$C$77,S5&lt;=Assumptions!$C$78),1,0)</f>
        <v>0</v>
      </c>
      <c r="T20" s="27" t="n">
        <f aca="false">IF(AND(T5&gt;=Assumptions!$C$77,T5&lt;=Assumptions!$C$78),1,0)</f>
        <v>0</v>
      </c>
      <c r="U20" s="27" t="n">
        <f aca="false">IF(AND(U5&gt;=Assumptions!$C$77,U5&lt;=Assumptions!$C$78),1,0)</f>
        <v>0</v>
      </c>
      <c r="V20" s="27" t="n">
        <f aca="false">IF(AND(V5&gt;=Assumptions!$C$77,V5&lt;=Assumptions!$C$78),1,0)</f>
        <v>0</v>
      </c>
      <c r="W20" s="27" t="n">
        <f aca="false">IF(AND(W5&gt;=Assumptions!$C$77,W5&lt;=Assumptions!$C$78),1,0)</f>
        <v>0</v>
      </c>
      <c r="X20" s="27" t="n">
        <f aca="false">IF(AND(X5&gt;=Assumptions!$C$77,X5&lt;=Assumptions!$C$78),1,0)</f>
        <v>0</v>
      </c>
      <c r="Y20" s="27" t="n">
        <f aca="false">IF(AND(Y5&gt;=Assumptions!$C$77,Y5&lt;=Assumptions!$C$78),1,0)</f>
        <v>0</v>
      </c>
      <c r="Z20" s="27" t="n">
        <f aca="false">IF(AND(Z5&gt;=Assumptions!$C$77,Z5&lt;=Assumptions!$C$78),1,0)</f>
        <v>0</v>
      </c>
      <c r="AA20" s="27" t="n">
        <f aca="false">IF(AND(AA5&gt;=Assumptions!$C$77,AA5&lt;=Assumptions!$C$78),1,0)</f>
        <v>0</v>
      </c>
      <c r="AB20" s="27" t="n">
        <f aca="false">IF(AND(AB5&gt;=Assumptions!$C$77,AB5&lt;=Assumptions!$C$78),1,0)</f>
        <v>0</v>
      </c>
      <c r="AC20" s="27" t="n">
        <f aca="false">IF(AND(AC5&gt;=Assumptions!$C$77,AC5&lt;=Assumptions!$C$78),1,0)</f>
        <v>0</v>
      </c>
      <c r="AD20" s="27" t="n">
        <f aca="false">IF(AND(AD5&gt;=Assumptions!$C$77,AD5&lt;=Assumptions!$C$78),1,0)</f>
        <v>0</v>
      </c>
      <c r="AE20" s="27" t="n">
        <f aca="false">IF(AND(AE5&gt;=Assumptions!$C$77,AE5&lt;=Assumptions!$C$78),1,0)</f>
        <v>0</v>
      </c>
      <c r="AF20" s="27" t="n">
        <f aca="false">IF(AND(AF5&gt;=Assumptions!$C$77,AF5&lt;=Assumptions!$C$78),1,0)</f>
        <v>0</v>
      </c>
    </row>
    <row r="21" customFormat="false" ht="15" hidden="false" customHeight="true" outlineLevel="0" collapsed="false">
      <c r="B21" s="26" t="s">
        <v>313</v>
      </c>
      <c r="C21" s="45" t="n">
        <f aca="false">C20*C17</f>
        <v>0</v>
      </c>
      <c r="D21" s="45" t="n">
        <f aca="false">D20*D17</f>
        <v>0</v>
      </c>
      <c r="E21" s="45" t="n">
        <f aca="false">E20*E17</f>
        <v>0</v>
      </c>
      <c r="F21" s="45" t="n">
        <f aca="false">F20*F17</f>
        <v>0</v>
      </c>
      <c r="G21" s="45" t="n">
        <f aca="false">G20*G17</f>
        <v>0</v>
      </c>
      <c r="H21" s="45" t="n">
        <f aca="false">H20*H17</f>
        <v>0</v>
      </c>
      <c r="I21" s="45" t="n">
        <f aca="false">I20*I17</f>
        <v>0</v>
      </c>
      <c r="J21" s="45" t="n">
        <f aca="false">J20*J17</f>
        <v>0</v>
      </c>
      <c r="K21" s="45" t="n">
        <f aca="false">K20*K17</f>
        <v>0</v>
      </c>
      <c r="L21" s="45" t="n">
        <f aca="false">L20*L17</f>
        <v>0</v>
      </c>
      <c r="M21" s="45" t="n">
        <f aca="false">M20*M17</f>
        <v>0</v>
      </c>
      <c r="N21" s="45" t="n">
        <f aca="false">N20*N17</f>
        <v>0</v>
      </c>
      <c r="O21" s="45" t="n">
        <f aca="false">O20*O17</f>
        <v>0</v>
      </c>
      <c r="P21" s="45" t="n">
        <f aca="false">P20*P17</f>
        <v>34226.0164423733</v>
      </c>
      <c r="Q21" s="45" t="n">
        <f aca="false">Q20*Q17</f>
        <v>34910.5367712207</v>
      </c>
      <c r="R21" s="45" t="n">
        <f aca="false">R20*R17</f>
        <v>35608.7475066451</v>
      </c>
      <c r="S21" s="45" t="n">
        <f aca="false">S20*S17</f>
        <v>0</v>
      </c>
      <c r="T21" s="45" t="n">
        <f aca="false">T20*T17</f>
        <v>0</v>
      </c>
      <c r="U21" s="45" t="n">
        <f aca="false">U20*U17</f>
        <v>0</v>
      </c>
      <c r="V21" s="45" t="n">
        <f aca="false">V20*V17</f>
        <v>0</v>
      </c>
      <c r="W21" s="45" t="n">
        <f aca="false">W20*W17</f>
        <v>0</v>
      </c>
      <c r="X21" s="45" t="n">
        <f aca="false">X20*X17</f>
        <v>0</v>
      </c>
      <c r="Y21" s="45" t="n">
        <f aca="false">Y20*Y17</f>
        <v>0</v>
      </c>
      <c r="Z21" s="45" t="n">
        <f aca="false">Z20*Z17</f>
        <v>0</v>
      </c>
      <c r="AA21" s="45" t="n">
        <f aca="false">AA20*AA17</f>
        <v>0</v>
      </c>
      <c r="AB21" s="45" t="n">
        <f aca="false">AB20*AB17</f>
        <v>0</v>
      </c>
      <c r="AC21" s="45" t="n">
        <f aca="false">AC20*AC17</f>
        <v>0</v>
      </c>
      <c r="AD21" s="45" t="n">
        <f aca="false">AD20*AD17</f>
        <v>0</v>
      </c>
      <c r="AE21" s="45" t="n">
        <f aca="false">AE20*AE17</f>
        <v>0</v>
      </c>
      <c r="AF21" s="45" t="n">
        <f aca="false">AF20*AF17</f>
        <v>0</v>
      </c>
    </row>
    <row r="22" customFormat="false" ht="15" hidden="false" customHeight="true" outlineLevel="0" collapsed="false">
      <c r="B22" s="26" t="s">
        <v>314</v>
      </c>
      <c r="C22" s="45" t="n">
        <f aca="false">Assumptions!$C$79</f>
        <v>15000</v>
      </c>
      <c r="D22" s="45" t="n">
        <f aca="false">C26</f>
        <v>16500</v>
      </c>
      <c r="E22" s="45" t="n">
        <f aca="false">D26</f>
        <v>18150</v>
      </c>
      <c r="F22" s="45" t="n">
        <f aca="false">E26</f>
        <v>19965</v>
      </c>
      <c r="G22" s="45" t="n">
        <f aca="false">F26</f>
        <v>21961.5</v>
      </c>
      <c r="H22" s="45" t="n">
        <f aca="false">G26</f>
        <v>24157.65</v>
      </c>
      <c r="I22" s="45" t="n">
        <f aca="false">H26</f>
        <v>26573.415</v>
      </c>
      <c r="J22" s="45" t="n">
        <f aca="false">I26</f>
        <v>29230.7565</v>
      </c>
      <c r="K22" s="45" t="n">
        <f aca="false">J26</f>
        <v>32153.83215</v>
      </c>
      <c r="L22" s="45" t="n">
        <f aca="false">K26</f>
        <v>35369.215365</v>
      </c>
      <c r="M22" s="45" t="n">
        <f aca="false">L26</f>
        <v>38906.1369015</v>
      </c>
      <c r="N22" s="45" t="n">
        <f aca="false">M26</f>
        <v>42796.75059165</v>
      </c>
      <c r="O22" s="45" t="n">
        <f aca="false">N26</f>
        <v>47076.425650815</v>
      </c>
      <c r="P22" s="45" t="n">
        <f aca="false">O26</f>
        <v>51784.0682158965</v>
      </c>
      <c r="Q22" s="45" t="n">
        <f aca="false">P26</f>
        <v>22736.4585951129</v>
      </c>
      <c r="R22" s="45" t="n">
        <f aca="false">Q26</f>
        <v>0</v>
      </c>
      <c r="S22" s="45" t="n">
        <f aca="false">R26</f>
        <v>0</v>
      </c>
      <c r="T22" s="45" t="n">
        <f aca="false">S26</f>
        <v>0</v>
      </c>
      <c r="U22" s="45" t="n">
        <f aca="false">T26</f>
        <v>0</v>
      </c>
      <c r="V22" s="45" t="n">
        <f aca="false">U26</f>
        <v>0</v>
      </c>
      <c r="W22" s="45" t="n">
        <f aca="false">V26</f>
        <v>0</v>
      </c>
      <c r="X22" s="45" t="n">
        <f aca="false">W26</f>
        <v>0</v>
      </c>
      <c r="Y22" s="45" t="n">
        <f aca="false">X26</f>
        <v>0</v>
      </c>
      <c r="Z22" s="45" t="n">
        <f aca="false">Y26</f>
        <v>0</v>
      </c>
      <c r="AA22" s="45" t="n">
        <f aca="false">Z26</f>
        <v>0</v>
      </c>
      <c r="AB22" s="45" t="n">
        <f aca="false">AA26</f>
        <v>0</v>
      </c>
      <c r="AC22" s="45" t="n">
        <f aca="false">AB26</f>
        <v>0</v>
      </c>
      <c r="AD22" s="45" t="n">
        <f aca="false">AC26</f>
        <v>0</v>
      </c>
      <c r="AE22" s="45" t="n">
        <f aca="false">AD26</f>
        <v>0</v>
      </c>
      <c r="AF22" s="45" t="n">
        <f aca="false">AE26</f>
        <v>0</v>
      </c>
    </row>
    <row r="23" customFormat="false" ht="15" hidden="false" customHeight="true" outlineLevel="0" collapsed="false">
      <c r="B23" s="49" t="s">
        <v>315</v>
      </c>
      <c r="C23" s="45" t="n">
        <f aca="false">IF(AND(C5&gt;=Assumptions!$C$81,C5&lt;=Assumptions!$C$82),MIN(Assumptions!$C$80,Tax_Bands!C$17),0)</f>
        <v>0</v>
      </c>
      <c r="D23" s="45" t="n">
        <f aca="false">IF(AND(D5&gt;=Assumptions!$C$81,D5&lt;=Assumptions!$C$82),MIN(Assumptions!$C$80,Tax_Bands!D$17),0)</f>
        <v>0</v>
      </c>
      <c r="E23" s="45" t="n">
        <f aca="false">IF(AND(E5&gt;=Assumptions!$C$81,E5&lt;=Assumptions!$C$82),MIN(Assumptions!$C$80,Tax_Bands!E$17),0)</f>
        <v>0</v>
      </c>
      <c r="F23" s="45" t="n">
        <f aca="false">IF(AND(F5&gt;=Assumptions!$C$81,F5&lt;=Assumptions!$C$82),MIN(Assumptions!$C$80,Tax_Bands!F$17),0)</f>
        <v>0</v>
      </c>
      <c r="G23" s="45" t="n">
        <f aca="false">IF(AND(G5&gt;=Assumptions!$C$81,G5&lt;=Assumptions!$C$82),MIN(Assumptions!$C$80,Tax_Bands!G$17),0)</f>
        <v>0</v>
      </c>
      <c r="H23" s="45" t="n">
        <f aca="false">IF(AND(H5&gt;=Assumptions!$C$81,H5&lt;=Assumptions!$C$82),MIN(Assumptions!$C$80,Tax_Bands!H$17),0)</f>
        <v>0</v>
      </c>
      <c r="I23" s="45" t="n">
        <f aca="false">IF(AND(I5&gt;=Assumptions!$C$81,I5&lt;=Assumptions!$C$82),MIN(Assumptions!$C$80,Tax_Bands!I$17),0)</f>
        <v>0</v>
      </c>
      <c r="J23" s="45" t="n">
        <f aca="false">IF(AND(J5&gt;=Assumptions!$C$81,J5&lt;=Assumptions!$C$82),MIN(Assumptions!$C$80,Tax_Bands!J$17),0)</f>
        <v>0</v>
      </c>
      <c r="K23" s="45" t="n">
        <f aca="false">IF(AND(K5&gt;=Assumptions!$C$81,K5&lt;=Assumptions!$C$82),MIN(Assumptions!$C$80,Tax_Bands!K$17),0)</f>
        <v>0</v>
      </c>
      <c r="L23" s="45" t="n">
        <f aca="false">IF(AND(L5&gt;=Assumptions!$C$81,L5&lt;=Assumptions!$C$82),MIN(Assumptions!$C$80,Tax_Bands!L$17),0)</f>
        <v>0</v>
      </c>
      <c r="M23" s="45" t="n">
        <f aca="false">IF(AND(M5&gt;=Assumptions!$C$81,M5&lt;=Assumptions!$C$82),MIN(Assumptions!$C$80,Tax_Bands!M$17),0)</f>
        <v>0</v>
      </c>
      <c r="N23" s="45" t="n">
        <f aca="false">IF(AND(N5&gt;=Assumptions!$C$81,N5&lt;=Assumptions!$C$82),MIN(Assumptions!$C$80,Tax_Bands!N$17),0)</f>
        <v>0</v>
      </c>
      <c r="O23" s="45" t="n">
        <f aca="false">IF(AND(O5&gt;=Assumptions!$C$81,O5&lt;=Assumptions!$C$82),MIN(Assumptions!$C$80,Tax_Bands!O$17),0)</f>
        <v>0</v>
      </c>
      <c r="P23" s="45" t="n">
        <f aca="false">IF(AND(P5&gt;=Assumptions!$C$81,P5&lt;=Assumptions!$C$82),MIN(Assumptions!$C$80,Tax_Bands!P$17),0)</f>
        <v>0</v>
      </c>
      <c r="Q23" s="45" t="n">
        <f aca="false">IF(AND(Q5&gt;=Assumptions!$C$81,Q5&lt;=Assumptions!$C$82),MIN(Assumptions!$C$80,Tax_Bands!Q$17),0)</f>
        <v>0</v>
      </c>
      <c r="R23" s="45" t="n">
        <f aca="false">IF(AND(R5&gt;=Assumptions!$C$81,R5&lt;=Assumptions!$C$82),MIN(Assumptions!$C$80,Tax_Bands!R$17),0)</f>
        <v>0</v>
      </c>
      <c r="S23" s="45" t="n">
        <f aca="false">IF(AND(S5&gt;=Assumptions!$C$81,S5&lt;=Assumptions!$C$82),MIN(Assumptions!$C$80,Tax_Bands!S$17),0)</f>
        <v>0</v>
      </c>
      <c r="T23" s="45" t="n">
        <f aca="false">IF(AND(T5&gt;=Assumptions!$C$81,T5&lt;=Assumptions!$C$82),MIN(Assumptions!$C$80,Tax_Bands!T$17),0)</f>
        <v>0</v>
      </c>
      <c r="U23" s="45" t="n">
        <f aca="false">IF(AND(U5&gt;=Assumptions!$C$81,U5&lt;=Assumptions!$C$82),MIN(Assumptions!$C$80,Tax_Bands!U$17),0)</f>
        <v>0</v>
      </c>
      <c r="V23" s="45" t="n">
        <f aca="false">IF(AND(V5&gt;=Assumptions!$C$81,V5&lt;=Assumptions!$C$82),MIN(Assumptions!$C$80,Tax_Bands!V$17),0)</f>
        <v>0</v>
      </c>
      <c r="W23" s="45" t="n">
        <f aca="false">IF(AND(W5&gt;=Assumptions!$C$81,W5&lt;=Assumptions!$C$82),MIN(Assumptions!$C$80,Tax_Bands!W$17),0)</f>
        <v>0</v>
      </c>
      <c r="X23" s="45" t="n">
        <f aca="false">IF(AND(X5&gt;=Assumptions!$C$81,X5&lt;=Assumptions!$C$82),MIN(Assumptions!$C$80,Tax_Bands!X$17),0)</f>
        <v>0</v>
      </c>
      <c r="Y23" s="45" t="n">
        <f aca="false">IF(AND(Y5&gt;=Assumptions!$C$81,Y5&lt;=Assumptions!$C$82),MIN(Assumptions!$C$80,Tax_Bands!Y$17),0)</f>
        <v>0</v>
      </c>
      <c r="Z23" s="45" t="n">
        <f aca="false">IF(AND(Z5&gt;=Assumptions!$C$81,Z5&lt;=Assumptions!$C$82),MIN(Assumptions!$C$80,Tax_Bands!Z$17),0)</f>
        <v>0</v>
      </c>
      <c r="AA23" s="45" t="n">
        <f aca="false">IF(AND(AA5&gt;=Assumptions!$C$81,AA5&lt;=Assumptions!$C$82),MIN(Assumptions!$C$80,Tax_Bands!AA$17),0)</f>
        <v>0</v>
      </c>
      <c r="AB23" s="45" t="n">
        <f aca="false">IF(AND(AB5&gt;=Assumptions!$C$81,AB5&lt;=Assumptions!$C$82),MIN(Assumptions!$C$80,Tax_Bands!AB$17),0)</f>
        <v>0</v>
      </c>
      <c r="AC23" s="45" t="n">
        <f aca="false">IF(AND(AC5&gt;=Assumptions!$C$81,AC5&lt;=Assumptions!$C$82),MIN(Assumptions!$C$80,Tax_Bands!AC$17),0)</f>
        <v>0</v>
      </c>
      <c r="AD23" s="45" t="n">
        <f aca="false">IF(AND(AD5&gt;=Assumptions!$C$81,AD5&lt;=Assumptions!$C$82),MIN(Assumptions!$C$80,Tax_Bands!AD$17),0)</f>
        <v>0</v>
      </c>
      <c r="AE23" s="45" t="n">
        <f aca="false">IF(AND(AE5&gt;=Assumptions!$C$81,AE5&lt;=Assumptions!$C$82),MIN(Assumptions!$C$80,Tax_Bands!AE$17),0)</f>
        <v>0</v>
      </c>
      <c r="AF23" s="45" t="n">
        <f aca="false">IF(AND(AF5&gt;=Assumptions!$C$81,AF5&lt;=Assumptions!$C$82),MIN(Assumptions!$C$80,Tax_Bands!AF$17),0)</f>
        <v>0</v>
      </c>
    </row>
    <row r="24" customFormat="false" ht="15" hidden="false" customHeight="true" outlineLevel="0" collapsed="false">
      <c r="B24" s="49" t="s">
        <v>283</v>
      </c>
      <c r="C24" s="45" t="n">
        <f aca="false">C22*Assumptions!$C$27</f>
        <v>1500</v>
      </c>
      <c r="D24" s="45" t="n">
        <f aca="false">D22*Assumptions!$C$27</f>
        <v>1650</v>
      </c>
      <c r="E24" s="45" t="n">
        <f aca="false">E22*Assumptions!$C$27</f>
        <v>1815</v>
      </c>
      <c r="F24" s="45" t="n">
        <f aca="false">F22*Assumptions!$C$27</f>
        <v>1996.5</v>
      </c>
      <c r="G24" s="45" t="n">
        <f aca="false">G22*Assumptions!$C$27</f>
        <v>2196.15</v>
      </c>
      <c r="H24" s="45" t="n">
        <f aca="false">H22*Assumptions!$C$27</f>
        <v>2415.765</v>
      </c>
      <c r="I24" s="45" t="n">
        <f aca="false">I22*Assumptions!$C$27</f>
        <v>2657.3415</v>
      </c>
      <c r="J24" s="45" t="n">
        <f aca="false">J22*Assumptions!$C$27</f>
        <v>2923.07565</v>
      </c>
      <c r="K24" s="45" t="n">
        <f aca="false">K22*Assumptions!$C$27</f>
        <v>3215.383215</v>
      </c>
      <c r="L24" s="45" t="n">
        <f aca="false">L22*Assumptions!$C$27</f>
        <v>3536.9215365</v>
      </c>
      <c r="M24" s="45" t="n">
        <f aca="false">M22*Assumptions!$C$27</f>
        <v>3890.61369015</v>
      </c>
      <c r="N24" s="45" t="n">
        <f aca="false">N22*Assumptions!$C$27</f>
        <v>4279.675059165</v>
      </c>
      <c r="O24" s="45" t="n">
        <f aca="false">O22*Assumptions!$C$27</f>
        <v>4707.6425650815</v>
      </c>
      <c r="P24" s="45" t="n">
        <f aca="false">P22*Assumptions!$C$27</f>
        <v>5178.40682158965</v>
      </c>
      <c r="Q24" s="45" t="n">
        <f aca="false">Q22*Assumptions!$C$27</f>
        <v>2273.64585951129</v>
      </c>
      <c r="R24" s="45" t="n">
        <f aca="false">R22*Assumptions!$C$27</f>
        <v>0</v>
      </c>
      <c r="S24" s="45" t="n">
        <f aca="false">S22*Assumptions!$C$27</f>
        <v>0</v>
      </c>
      <c r="T24" s="45" t="n">
        <f aca="false">T22*Assumptions!$C$27</f>
        <v>0</v>
      </c>
      <c r="U24" s="45" t="n">
        <f aca="false">U22*Assumptions!$C$27</f>
        <v>0</v>
      </c>
      <c r="V24" s="45" t="n">
        <f aca="false">V22*Assumptions!$C$27</f>
        <v>0</v>
      </c>
      <c r="W24" s="45" t="n">
        <f aca="false">W22*Assumptions!$C$27</f>
        <v>0</v>
      </c>
      <c r="X24" s="45" t="n">
        <f aca="false">X22*Assumptions!$C$27</f>
        <v>0</v>
      </c>
      <c r="Y24" s="45" t="n">
        <f aca="false">Y22*Assumptions!$C$27</f>
        <v>0</v>
      </c>
      <c r="Z24" s="45" t="n">
        <f aca="false">Z22*Assumptions!$C$27</f>
        <v>0</v>
      </c>
      <c r="AA24" s="45" t="n">
        <f aca="false">AA22*Assumptions!$C$27</f>
        <v>0</v>
      </c>
      <c r="AB24" s="45" t="n">
        <f aca="false">AB22*Assumptions!$C$27</f>
        <v>0</v>
      </c>
      <c r="AC24" s="45" t="n">
        <f aca="false">AC22*Assumptions!$C$27</f>
        <v>0</v>
      </c>
      <c r="AD24" s="45" t="n">
        <f aca="false">AD22*Assumptions!$C$27</f>
        <v>0</v>
      </c>
      <c r="AE24" s="45" t="n">
        <f aca="false">AE22*Assumptions!$C$27</f>
        <v>0</v>
      </c>
      <c r="AF24" s="45" t="n">
        <f aca="false">AF22*Assumptions!$C$27</f>
        <v>0</v>
      </c>
    </row>
    <row r="25" customFormat="false" ht="15" hidden="false" customHeight="true" outlineLevel="0" collapsed="false">
      <c r="B25" s="49" t="s">
        <v>316</v>
      </c>
      <c r="C25" s="45" t="n">
        <f aca="false">MIN(C22+C23+C24,C21)</f>
        <v>0</v>
      </c>
      <c r="D25" s="45" t="n">
        <f aca="false">MIN(D22+D23+D24,D21)</f>
        <v>0</v>
      </c>
      <c r="E25" s="45" t="n">
        <f aca="false">MIN(E22+E23+E24,E21)</f>
        <v>0</v>
      </c>
      <c r="F25" s="45" t="n">
        <f aca="false">MIN(F22+F23+F24,F21)</f>
        <v>0</v>
      </c>
      <c r="G25" s="45" t="n">
        <f aca="false">MIN(G22+G23+G24,G21)</f>
        <v>0</v>
      </c>
      <c r="H25" s="45" t="n">
        <f aca="false">MIN(H22+H23+H24,H21)</f>
        <v>0</v>
      </c>
      <c r="I25" s="45" t="n">
        <f aca="false">MIN(I22+I23+I24,I21)</f>
        <v>0</v>
      </c>
      <c r="J25" s="45" t="n">
        <f aca="false">MIN(J22+J23+J24,J21)</f>
        <v>0</v>
      </c>
      <c r="K25" s="45" t="n">
        <f aca="false">MIN(K22+K23+K24,K21)</f>
        <v>0</v>
      </c>
      <c r="L25" s="45" t="n">
        <f aca="false">MIN(L22+L23+L24,L21)</f>
        <v>0</v>
      </c>
      <c r="M25" s="45" t="n">
        <f aca="false">MIN(M22+M23+M24,M21)</f>
        <v>0</v>
      </c>
      <c r="N25" s="45" t="n">
        <f aca="false">MIN(N22+N23+N24,N21)</f>
        <v>0</v>
      </c>
      <c r="O25" s="45" t="n">
        <f aca="false">MIN(O22+O23+O24,O21)</f>
        <v>0</v>
      </c>
      <c r="P25" s="45" t="n">
        <f aca="false">MIN(P22+P23+P24,P21)</f>
        <v>34226.0164423733</v>
      </c>
      <c r="Q25" s="45" t="n">
        <f aca="false">MIN(Q22+Q23+Q24,Q21)</f>
        <v>25010.1044546242</v>
      </c>
      <c r="R25" s="45" t="n">
        <f aca="false">MIN(R22+R23+R24,R21)</f>
        <v>0</v>
      </c>
      <c r="S25" s="45" t="n">
        <f aca="false">MIN(S22+S23+S24,S21)</f>
        <v>0</v>
      </c>
      <c r="T25" s="45" t="n">
        <f aca="false">MIN(T22+T23+T24,T21)</f>
        <v>0</v>
      </c>
      <c r="U25" s="45" t="n">
        <f aca="false">MIN(U22+U23+U24,U21)</f>
        <v>0</v>
      </c>
      <c r="V25" s="45" t="n">
        <f aca="false">MIN(V22+V23+V24,V21)</f>
        <v>0</v>
      </c>
      <c r="W25" s="45" t="n">
        <f aca="false">MIN(W22+W23+W24,W21)</f>
        <v>0</v>
      </c>
      <c r="X25" s="45" t="n">
        <f aca="false">MIN(X22+X23+X24,X21)</f>
        <v>0</v>
      </c>
      <c r="Y25" s="45" t="n">
        <f aca="false">MIN(Y22+Y23+Y24,Y21)</f>
        <v>0</v>
      </c>
      <c r="Z25" s="45" t="n">
        <f aca="false">MIN(Z22+Z23+Z24,Z21)</f>
        <v>0</v>
      </c>
      <c r="AA25" s="45" t="n">
        <f aca="false">MIN(AA22+AA23+AA24,AA21)</f>
        <v>0</v>
      </c>
      <c r="AB25" s="45" t="n">
        <f aca="false">MIN(AB22+AB23+AB24,AB21)</f>
        <v>0</v>
      </c>
      <c r="AC25" s="45" t="n">
        <f aca="false">MIN(AC22+AC23+AC24,AC21)</f>
        <v>0</v>
      </c>
      <c r="AD25" s="45" t="n">
        <f aca="false">MIN(AD22+AD23+AD24,AD21)</f>
        <v>0</v>
      </c>
      <c r="AE25" s="45" t="n">
        <f aca="false">MIN(AE22+AE23+AE24,AE21)</f>
        <v>0</v>
      </c>
      <c r="AF25" s="45" t="n">
        <f aca="false">MIN(AF22+AF23+AF24,AF21)</f>
        <v>0</v>
      </c>
    </row>
    <row r="26" customFormat="false" ht="15" hidden="false" customHeight="true" outlineLevel="0" collapsed="false">
      <c r="B26" s="24" t="s">
        <v>317</v>
      </c>
      <c r="C26" s="50" t="n">
        <f aca="false">C22+C23+C24-C25</f>
        <v>16500</v>
      </c>
      <c r="D26" s="50" t="n">
        <f aca="false">D22+D23+D24-D25</f>
        <v>18150</v>
      </c>
      <c r="E26" s="50" t="n">
        <f aca="false">E22+E23+E24-E25</f>
        <v>19965</v>
      </c>
      <c r="F26" s="50" t="n">
        <f aca="false">F22+F23+F24-F25</f>
        <v>21961.5</v>
      </c>
      <c r="G26" s="50" t="n">
        <f aca="false">G22+G23+G24-G25</f>
        <v>24157.65</v>
      </c>
      <c r="H26" s="50" t="n">
        <f aca="false">H22+H23+H24-H25</f>
        <v>26573.415</v>
      </c>
      <c r="I26" s="50" t="n">
        <f aca="false">I22+I23+I24-I25</f>
        <v>29230.7565</v>
      </c>
      <c r="J26" s="50" t="n">
        <f aca="false">J22+J23+J24-J25</f>
        <v>32153.83215</v>
      </c>
      <c r="K26" s="50" t="n">
        <f aca="false">K22+K23+K24-K25</f>
        <v>35369.215365</v>
      </c>
      <c r="L26" s="50" t="n">
        <f aca="false">L22+L23+L24-L25</f>
        <v>38906.1369015</v>
      </c>
      <c r="M26" s="50" t="n">
        <f aca="false">M22+M23+M24-M25</f>
        <v>42796.75059165</v>
      </c>
      <c r="N26" s="50" t="n">
        <f aca="false">N22+N23+N24-N25</f>
        <v>47076.425650815</v>
      </c>
      <c r="O26" s="50" t="n">
        <f aca="false">O22+O23+O24-O25</f>
        <v>51784.0682158965</v>
      </c>
      <c r="P26" s="50" t="n">
        <f aca="false">P22+P23+P24-P25</f>
        <v>22736.4585951129</v>
      </c>
      <c r="Q26" s="50" t="n">
        <f aca="false">Q22+Q23+Q24-Q25</f>
        <v>0</v>
      </c>
      <c r="R26" s="50" t="n">
        <f aca="false">R22+R23+R24-R25</f>
        <v>0</v>
      </c>
      <c r="S26" s="50" t="n">
        <f aca="false">S22+S23+S24-S25</f>
        <v>0</v>
      </c>
      <c r="T26" s="50" t="n">
        <f aca="false">T22+T23+T24-T25</f>
        <v>0</v>
      </c>
      <c r="U26" s="50" t="n">
        <f aca="false">U22+U23+U24-U25</f>
        <v>0</v>
      </c>
      <c r="V26" s="50" t="n">
        <f aca="false">V22+V23+V24-V25</f>
        <v>0</v>
      </c>
      <c r="W26" s="50" t="n">
        <f aca="false">W22+W23+W24-W25</f>
        <v>0</v>
      </c>
      <c r="X26" s="50" t="n">
        <f aca="false">X22+X23+X24-X25</f>
        <v>0</v>
      </c>
      <c r="Y26" s="50" t="n">
        <f aca="false">Y22+Y23+Y24-Y25</f>
        <v>0</v>
      </c>
      <c r="Z26" s="50" t="n">
        <f aca="false">Z22+Z23+Z24-Z25</f>
        <v>0</v>
      </c>
      <c r="AA26" s="50" t="n">
        <f aca="false">AA22+AA23+AA24-AA25</f>
        <v>0</v>
      </c>
      <c r="AB26" s="50" t="n">
        <f aca="false">AB22+AB23+AB24-AB25</f>
        <v>0</v>
      </c>
      <c r="AC26" s="50" t="n">
        <f aca="false">AC22+AC23+AC24-AC25</f>
        <v>0</v>
      </c>
      <c r="AD26" s="50" t="n">
        <f aca="false">AD22+AD23+AD24-AD25</f>
        <v>0</v>
      </c>
      <c r="AE26" s="50" t="n">
        <f aca="false">AE22+AE23+AE24-AE25</f>
        <v>0</v>
      </c>
      <c r="AF26" s="50" t="n">
        <f aca="false">AF22+AF23+AF24-AF25</f>
        <v>0</v>
      </c>
    </row>
    <row r="28" customFormat="false" ht="15" hidden="false" customHeight="true" outlineLevel="0" collapsed="false">
      <c r="A28" s="23" t="s">
        <v>318</v>
      </c>
      <c r="B28" s="23"/>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row>
    <row r="29" customFormat="false" ht="15" hidden="false" customHeight="true" outlineLevel="0" collapsed="false">
      <c r="B29" s="26" t="s">
        <v>312</v>
      </c>
      <c r="C29" s="27" t="n">
        <f aca="false">IF(AND(C5&gt;=Assumptions!$D$77,C5&lt;=Assumptions!$D$78),1,0)</f>
        <v>0</v>
      </c>
      <c r="D29" s="27" t="n">
        <f aca="false">IF(AND(D5&gt;=Assumptions!$D$77,D5&lt;=Assumptions!$D$78),1,0)</f>
        <v>0</v>
      </c>
      <c r="E29" s="27" t="n">
        <f aca="false">IF(AND(E5&gt;=Assumptions!$D$77,E5&lt;=Assumptions!$D$78),1,0)</f>
        <v>0</v>
      </c>
      <c r="F29" s="27" t="n">
        <f aca="false">IF(AND(F5&gt;=Assumptions!$D$77,F5&lt;=Assumptions!$D$78),1,0)</f>
        <v>0</v>
      </c>
      <c r="G29" s="27" t="n">
        <f aca="false">IF(AND(G5&gt;=Assumptions!$D$77,G5&lt;=Assumptions!$D$78),1,0)</f>
        <v>0</v>
      </c>
      <c r="H29" s="27" t="n">
        <f aca="false">IF(AND(H5&gt;=Assumptions!$D$77,H5&lt;=Assumptions!$D$78),1,0)</f>
        <v>0</v>
      </c>
      <c r="I29" s="27" t="n">
        <f aca="false">IF(AND(I5&gt;=Assumptions!$D$77,I5&lt;=Assumptions!$D$78),1,0)</f>
        <v>0</v>
      </c>
      <c r="J29" s="27" t="n">
        <f aca="false">IF(AND(J5&gt;=Assumptions!$D$77,J5&lt;=Assumptions!$D$78),1,0)</f>
        <v>0</v>
      </c>
      <c r="K29" s="27" t="n">
        <f aca="false">IF(AND(K5&gt;=Assumptions!$D$77,K5&lt;=Assumptions!$D$78),1,0)</f>
        <v>0</v>
      </c>
      <c r="L29" s="27" t="n">
        <f aca="false">IF(AND(L5&gt;=Assumptions!$D$77,L5&lt;=Assumptions!$D$78),1,0)</f>
        <v>0</v>
      </c>
      <c r="M29" s="27" t="n">
        <f aca="false">IF(AND(M5&gt;=Assumptions!$D$77,M5&lt;=Assumptions!$D$78),1,0)</f>
        <v>0</v>
      </c>
      <c r="N29" s="27" t="n">
        <f aca="false">IF(AND(N5&gt;=Assumptions!$D$77,N5&lt;=Assumptions!$D$78),1,0)</f>
        <v>0</v>
      </c>
      <c r="O29" s="27" t="n">
        <f aca="false">IF(AND(O5&gt;=Assumptions!$D$77,O5&lt;=Assumptions!$D$78),1,0)</f>
        <v>0</v>
      </c>
      <c r="P29" s="27" t="n">
        <f aca="false">IF(AND(P5&gt;=Assumptions!$D$77,P5&lt;=Assumptions!$D$78),1,0)</f>
        <v>0</v>
      </c>
      <c r="Q29" s="27" t="n">
        <f aca="false">IF(AND(Q5&gt;=Assumptions!$D$77,Q5&lt;=Assumptions!$D$78),1,0)</f>
        <v>0</v>
      </c>
      <c r="R29" s="27" t="n">
        <f aca="false">IF(AND(R5&gt;=Assumptions!$D$77,R5&lt;=Assumptions!$D$78),1,0)</f>
        <v>0</v>
      </c>
      <c r="S29" s="27" t="n">
        <f aca="false">IF(AND(S5&gt;=Assumptions!$D$77,S5&lt;=Assumptions!$D$78),1,0)</f>
        <v>1</v>
      </c>
      <c r="T29" s="27" t="n">
        <f aca="false">IF(AND(T5&gt;=Assumptions!$D$77,T5&lt;=Assumptions!$D$78),1,0)</f>
        <v>1</v>
      </c>
      <c r="U29" s="27" t="n">
        <f aca="false">IF(AND(U5&gt;=Assumptions!$D$77,U5&lt;=Assumptions!$D$78),1,0)</f>
        <v>1</v>
      </c>
      <c r="V29" s="27" t="n">
        <f aca="false">IF(AND(V5&gt;=Assumptions!$D$77,V5&lt;=Assumptions!$D$78),1,0)</f>
        <v>0</v>
      </c>
      <c r="W29" s="27" t="n">
        <f aca="false">IF(AND(W5&gt;=Assumptions!$D$77,W5&lt;=Assumptions!$D$78),1,0)</f>
        <v>0</v>
      </c>
      <c r="X29" s="27" t="n">
        <f aca="false">IF(AND(X5&gt;=Assumptions!$D$77,X5&lt;=Assumptions!$D$78),1,0)</f>
        <v>0</v>
      </c>
      <c r="Y29" s="27" t="n">
        <f aca="false">IF(AND(Y5&gt;=Assumptions!$D$77,Y5&lt;=Assumptions!$D$78),1,0)</f>
        <v>0</v>
      </c>
      <c r="Z29" s="27" t="n">
        <f aca="false">IF(AND(Z5&gt;=Assumptions!$D$77,Z5&lt;=Assumptions!$D$78),1,0)</f>
        <v>0</v>
      </c>
      <c r="AA29" s="27" t="n">
        <f aca="false">IF(AND(AA5&gt;=Assumptions!$D$77,AA5&lt;=Assumptions!$D$78),1,0)</f>
        <v>0</v>
      </c>
      <c r="AB29" s="27" t="n">
        <f aca="false">IF(AND(AB5&gt;=Assumptions!$D$77,AB5&lt;=Assumptions!$D$78),1,0)</f>
        <v>0</v>
      </c>
      <c r="AC29" s="27" t="n">
        <f aca="false">IF(AND(AC5&gt;=Assumptions!$D$77,AC5&lt;=Assumptions!$D$78),1,0)</f>
        <v>0</v>
      </c>
      <c r="AD29" s="27" t="n">
        <f aca="false">IF(AND(AD5&gt;=Assumptions!$D$77,AD5&lt;=Assumptions!$D$78),1,0)</f>
        <v>0</v>
      </c>
      <c r="AE29" s="27" t="n">
        <f aca="false">IF(AND(AE5&gt;=Assumptions!$D$77,AE5&lt;=Assumptions!$D$78),1,0)</f>
        <v>0</v>
      </c>
      <c r="AF29" s="27" t="n">
        <f aca="false">IF(AND(AF5&gt;=Assumptions!$D$77,AF5&lt;=Assumptions!$D$78),1,0)</f>
        <v>0</v>
      </c>
    </row>
    <row r="30" customFormat="false" ht="15" hidden="false" customHeight="true" outlineLevel="0" collapsed="false">
      <c r="B30" s="26" t="s">
        <v>313</v>
      </c>
      <c r="C30" s="45" t="n">
        <f aca="false">C29*C17</f>
        <v>0</v>
      </c>
      <c r="D30" s="45" t="n">
        <f aca="false">D29*D17</f>
        <v>0</v>
      </c>
      <c r="E30" s="45" t="n">
        <f aca="false">E29*E17</f>
        <v>0</v>
      </c>
      <c r="F30" s="45" t="n">
        <f aca="false">F29*F17</f>
        <v>0</v>
      </c>
      <c r="G30" s="45" t="n">
        <f aca="false">G29*G17</f>
        <v>0</v>
      </c>
      <c r="H30" s="45" t="n">
        <f aca="false">H29*H17</f>
        <v>0</v>
      </c>
      <c r="I30" s="45" t="n">
        <f aca="false">I29*I17</f>
        <v>0</v>
      </c>
      <c r="J30" s="45" t="n">
        <f aca="false">J29*J17</f>
        <v>0</v>
      </c>
      <c r="K30" s="45" t="n">
        <f aca="false">K29*K17</f>
        <v>0</v>
      </c>
      <c r="L30" s="45" t="n">
        <f aca="false">L29*L17</f>
        <v>0</v>
      </c>
      <c r="M30" s="45" t="n">
        <f aca="false">M29*M17</f>
        <v>0</v>
      </c>
      <c r="N30" s="45" t="n">
        <f aca="false">N29*N17</f>
        <v>0</v>
      </c>
      <c r="O30" s="45" t="n">
        <f aca="false">O29*O17</f>
        <v>0</v>
      </c>
      <c r="P30" s="45" t="n">
        <f aca="false">P29*P17</f>
        <v>0</v>
      </c>
      <c r="Q30" s="45" t="n">
        <f aca="false">Q29*Q17</f>
        <v>0</v>
      </c>
      <c r="R30" s="45" t="n">
        <f aca="false">R29*R17</f>
        <v>0</v>
      </c>
      <c r="S30" s="45" t="n">
        <f aca="false">S29*S17</f>
        <v>36320.922456778</v>
      </c>
      <c r="T30" s="45" t="n">
        <f aca="false">T29*T17</f>
        <v>37047.3409059136</v>
      </c>
      <c r="U30" s="45" t="n">
        <f aca="false">U29*U17</f>
        <v>37788.2877240319</v>
      </c>
      <c r="V30" s="45" t="n">
        <f aca="false">V29*V17</f>
        <v>0</v>
      </c>
      <c r="W30" s="45" t="n">
        <f aca="false">W29*W17</f>
        <v>0</v>
      </c>
      <c r="X30" s="45" t="n">
        <f aca="false">X29*X17</f>
        <v>0</v>
      </c>
      <c r="Y30" s="45" t="n">
        <f aca="false">Y29*Y17</f>
        <v>0</v>
      </c>
      <c r="Z30" s="45" t="n">
        <f aca="false">Z29*Z17</f>
        <v>0</v>
      </c>
      <c r="AA30" s="45" t="n">
        <f aca="false">AA29*AA17</f>
        <v>0</v>
      </c>
      <c r="AB30" s="45" t="n">
        <f aca="false">AB29*AB17</f>
        <v>0</v>
      </c>
      <c r="AC30" s="45" t="n">
        <f aca="false">AC29*AC17</f>
        <v>0</v>
      </c>
      <c r="AD30" s="45" t="n">
        <f aca="false">AD29*AD17</f>
        <v>0</v>
      </c>
      <c r="AE30" s="45" t="n">
        <f aca="false">AE29*AE17</f>
        <v>0</v>
      </c>
      <c r="AF30" s="45" t="n">
        <f aca="false">AF29*AF17</f>
        <v>0</v>
      </c>
    </row>
    <row r="31" customFormat="false" ht="15" hidden="false" customHeight="true" outlineLevel="0" collapsed="false">
      <c r="B31" s="26" t="s">
        <v>319</v>
      </c>
      <c r="C31" s="45" t="n">
        <f aca="false">Assumptions!$D$79</f>
        <v>0</v>
      </c>
      <c r="D31" s="45" t="n">
        <f aca="false">C35</f>
        <v>9000</v>
      </c>
      <c r="E31" s="45" t="n">
        <f aca="false">D35</f>
        <v>18900</v>
      </c>
      <c r="F31" s="45" t="n">
        <f aca="false">E35</f>
        <v>29790</v>
      </c>
      <c r="G31" s="45" t="n">
        <f aca="false">F35</f>
        <v>41769</v>
      </c>
      <c r="H31" s="45" t="n">
        <f aca="false">G35</f>
        <v>54945.9</v>
      </c>
      <c r="I31" s="45" t="n">
        <f aca="false">H35</f>
        <v>69440.49</v>
      </c>
      <c r="J31" s="45" t="n">
        <f aca="false">I35</f>
        <v>85384.539</v>
      </c>
      <c r="K31" s="45" t="n">
        <f aca="false">J35</f>
        <v>102922.9929</v>
      </c>
      <c r="L31" s="45" t="n">
        <f aca="false">K35</f>
        <v>122215.29219</v>
      </c>
      <c r="M31" s="45" t="n">
        <f aca="false">L35</f>
        <v>143436.821409</v>
      </c>
      <c r="N31" s="45" t="n">
        <f aca="false">M35</f>
        <v>166780.5035499</v>
      </c>
      <c r="O31" s="45" t="n">
        <f aca="false">N35</f>
        <v>192458.55390489</v>
      </c>
      <c r="P31" s="45" t="n">
        <f aca="false">O35</f>
        <v>220704.409295379</v>
      </c>
      <c r="Q31" s="45" t="n">
        <f aca="false">P35</f>
        <v>251774.850224917</v>
      </c>
      <c r="R31" s="45" t="n">
        <f aca="false">Q35</f>
        <v>285952.335247409</v>
      </c>
      <c r="S31" s="45" t="n">
        <f aca="false">R35</f>
        <v>323547.568772149</v>
      </c>
      <c r="T31" s="45" t="n">
        <f aca="false">S35</f>
        <v>319581.403192586</v>
      </c>
      <c r="U31" s="45" t="n">
        <f aca="false">T35</f>
        <v>314492.202605931</v>
      </c>
      <c r="V31" s="45" t="n">
        <f aca="false">U35</f>
        <v>308153.135142493</v>
      </c>
      <c r="W31" s="45" t="n">
        <f aca="false">V35</f>
        <v>338968.448656742</v>
      </c>
      <c r="X31" s="45" t="n">
        <f aca="false">W35</f>
        <v>372865.293522416</v>
      </c>
      <c r="Y31" s="45" t="n">
        <f aca="false">X35</f>
        <v>410151.822874658</v>
      </c>
      <c r="Z31" s="45" t="n">
        <f aca="false">Y35</f>
        <v>451167.005162124</v>
      </c>
      <c r="AA31" s="45" t="n">
        <f aca="false">Z35</f>
        <v>496283.705678336</v>
      </c>
      <c r="AB31" s="45" t="n">
        <f aca="false">AA35</f>
        <v>545912.076246169</v>
      </c>
      <c r="AC31" s="45" t="n">
        <f aca="false">AB35</f>
        <v>600503.283870786</v>
      </c>
      <c r="AD31" s="45" t="n">
        <f aca="false">AC35</f>
        <v>660553.612257865</v>
      </c>
      <c r="AE31" s="45" t="n">
        <f aca="false">AD35</f>
        <v>726608.973483651</v>
      </c>
      <c r="AF31" s="45" t="n">
        <f aca="false">AE35</f>
        <v>799269.870832017</v>
      </c>
    </row>
    <row r="32" customFormat="false" ht="15" hidden="false" customHeight="true" outlineLevel="0" collapsed="false">
      <c r="B32" s="49" t="s">
        <v>315</v>
      </c>
      <c r="C32" s="45" t="n">
        <f aca="false">IF(AND(C5&gt;=Assumptions!$D$81,C5&lt;=Assumptions!$D$82),MIN(Assumptions!$D$80,Tax_Bands!C$17),0)</f>
        <v>9000</v>
      </c>
      <c r="D32" s="45" t="n">
        <f aca="false">IF(AND(D5&gt;=Assumptions!$D$81,D5&lt;=Assumptions!$D$82),MIN(Assumptions!$D$80,Tax_Bands!D$17),0)</f>
        <v>9000</v>
      </c>
      <c r="E32" s="45" t="n">
        <f aca="false">IF(AND(E5&gt;=Assumptions!$D$81,E5&lt;=Assumptions!$D$82),MIN(Assumptions!$D$80,Tax_Bands!E$17),0)</f>
        <v>9000</v>
      </c>
      <c r="F32" s="45" t="n">
        <f aca="false">IF(AND(F5&gt;=Assumptions!$D$81,F5&lt;=Assumptions!$D$82),MIN(Assumptions!$D$80,Tax_Bands!F$17),0)</f>
        <v>9000</v>
      </c>
      <c r="G32" s="45" t="n">
        <f aca="false">IF(AND(G5&gt;=Assumptions!$D$81,G5&lt;=Assumptions!$D$82),MIN(Assumptions!$D$80,Tax_Bands!G$17),0)</f>
        <v>9000</v>
      </c>
      <c r="H32" s="45" t="n">
        <f aca="false">IF(AND(H5&gt;=Assumptions!$D$81,H5&lt;=Assumptions!$D$82),MIN(Assumptions!$D$80,Tax_Bands!H$17),0)</f>
        <v>9000</v>
      </c>
      <c r="I32" s="45" t="n">
        <f aca="false">IF(AND(I5&gt;=Assumptions!$D$81,I5&lt;=Assumptions!$D$82),MIN(Assumptions!$D$80,Tax_Bands!I$17),0)</f>
        <v>9000</v>
      </c>
      <c r="J32" s="45" t="n">
        <f aca="false">IF(AND(J5&gt;=Assumptions!$D$81,J5&lt;=Assumptions!$D$82),MIN(Assumptions!$D$80,Tax_Bands!J$17),0)</f>
        <v>9000</v>
      </c>
      <c r="K32" s="45" t="n">
        <f aca="false">IF(AND(K5&gt;=Assumptions!$D$81,K5&lt;=Assumptions!$D$82),MIN(Assumptions!$D$80,Tax_Bands!K$17),0)</f>
        <v>9000</v>
      </c>
      <c r="L32" s="45" t="n">
        <f aca="false">IF(AND(L5&gt;=Assumptions!$D$81,L5&lt;=Assumptions!$D$82),MIN(Assumptions!$D$80,Tax_Bands!L$17),0)</f>
        <v>9000</v>
      </c>
      <c r="M32" s="45" t="n">
        <f aca="false">IF(AND(M5&gt;=Assumptions!$D$81,M5&lt;=Assumptions!$D$82),MIN(Assumptions!$D$80,Tax_Bands!M$17),0)</f>
        <v>9000</v>
      </c>
      <c r="N32" s="45" t="n">
        <f aca="false">IF(AND(N5&gt;=Assumptions!$D$81,N5&lt;=Assumptions!$D$82),MIN(Assumptions!$D$80,Tax_Bands!N$17),0)</f>
        <v>9000</v>
      </c>
      <c r="O32" s="45" t="n">
        <f aca="false">IF(AND(O5&gt;=Assumptions!$D$81,O5&lt;=Assumptions!$D$82),MIN(Assumptions!$D$80,Tax_Bands!O$17),0)</f>
        <v>9000</v>
      </c>
      <c r="P32" s="45" t="n">
        <f aca="false">IF(AND(P5&gt;=Assumptions!$D$81,P5&lt;=Assumptions!$D$82),MIN(Assumptions!$D$80,Tax_Bands!P$17),0)</f>
        <v>9000</v>
      </c>
      <c r="Q32" s="45" t="n">
        <f aca="false">IF(AND(Q5&gt;=Assumptions!$D$81,Q5&lt;=Assumptions!$D$82),MIN(Assumptions!$D$80,Tax_Bands!Q$17),0)</f>
        <v>9000</v>
      </c>
      <c r="R32" s="45" t="n">
        <f aca="false">IF(AND(R5&gt;=Assumptions!$D$81,R5&lt;=Assumptions!$D$82),MIN(Assumptions!$D$80,Tax_Bands!R$17),0)</f>
        <v>9000</v>
      </c>
      <c r="S32" s="45" t="n">
        <f aca="false">IF(AND(S5&gt;=Assumptions!$D$81,S5&lt;=Assumptions!$D$82),MIN(Assumptions!$D$80,Tax_Bands!S$17),0)</f>
        <v>0</v>
      </c>
      <c r="T32" s="45" t="n">
        <f aca="false">IF(AND(T5&gt;=Assumptions!$D$81,T5&lt;=Assumptions!$D$82),MIN(Assumptions!$D$80,Tax_Bands!T$17),0)</f>
        <v>0</v>
      </c>
      <c r="U32" s="45" t="n">
        <f aca="false">IF(AND(U5&gt;=Assumptions!$D$81,U5&lt;=Assumptions!$D$82),MIN(Assumptions!$D$80,Tax_Bands!U$17),0)</f>
        <v>0</v>
      </c>
      <c r="V32" s="45" t="n">
        <f aca="false">IF(AND(V5&gt;=Assumptions!$D$81,V5&lt;=Assumptions!$D$82),MIN(Assumptions!$D$80,Tax_Bands!V$17),0)</f>
        <v>0</v>
      </c>
      <c r="W32" s="45" t="n">
        <f aca="false">IF(AND(W5&gt;=Assumptions!$D$81,W5&lt;=Assumptions!$D$82),MIN(Assumptions!$D$80,Tax_Bands!W$17),0)</f>
        <v>0</v>
      </c>
      <c r="X32" s="45" t="n">
        <f aca="false">IF(AND(X5&gt;=Assumptions!$D$81,X5&lt;=Assumptions!$D$82),MIN(Assumptions!$D$80,Tax_Bands!X$17),0)</f>
        <v>0</v>
      </c>
      <c r="Y32" s="45" t="n">
        <f aca="false">IF(AND(Y5&gt;=Assumptions!$D$81,Y5&lt;=Assumptions!$D$82),MIN(Assumptions!$D$80,Tax_Bands!Y$17),0)</f>
        <v>0</v>
      </c>
      <c r="Z32" s="45" t="n">
        <f aca="false">IF(AND(Z5&gt;=Assumptions!$D$81,Z5&lt;=Assumptions!$D$82),MIN(Assumptions!$D$80,Tax_Bands!Z$17),0)</f>
        <v>0</v>
      </c>
      <c r="AA32" s="45" t="n">
        <f aca="false">IF(AND(AA5&gt;=Assumptions!$D$81,AA5&lt;=Assumptions!$D$82),MIN(Assumptions!$D$80,Tax_Bands!AA$17),0)</f>
        <v>0</v>
      </c>
      <c r="AB32" s="45" t="n">
        <f aca="false">IF(AND(AB5&gt;=Assumptions!$D$81,AB5&lt;=Assumptions!$D$82),MIN(Assumptions!$D$80,Tax_Bands!AB$17),0)</f>
        <v>0</v>
      </c>
      <c r="AC32" s="45" t="n">
        <f aca="false">IF(AND(AC5&gt;=Assumptions!$D$81,AC5&lt;=Assumptions!$D$82),MIN(Assumptions!$D$80,Tax_Bands!AC$17),0)</f>
        <v>0</v>
      </c>
      <c r="AD32" s="45" t="n">
        <f aca="false">IF(AND(AD5&gt;=Assumptions!$D$81,AD5&lt;=Assumptions!$D$82),MIN(Assumptions!$D$80,Tax_Bands!AD$17),0)</f>
        <v>0</v>
      </c>
      <c r="AE32" s="45" t="n">
        <f aca="false">IF(AND(AE5&gt;=Assumptions!$D$81,AE5&lt;=Assumptions!$D$82),MIN(Assumptions!$D$80,Tax_Bands!AE$17),0)</f>
        <v>0</v>
      </c>
      <c r="AF32" s="45" t="n">
        <f aca="false">IF(AND(AF5&gt;=Assumptions!$D$81,AF5&lt;=Assumptions!$D$82),MIN(Assumptions!$D$80,Tax_Bands!AF$17),0)</f>
        <v>0</v>
      </c>
    </row>
    <row r="33" customFormat="false" ht="15" hidden="false" customHeight="true" outlineLevel="0" collapsed="false">
      <c r="B33" s="49" t="s">
        <v>283</v>
      </c>
      <c r="C33" s="45" t="n">
        <f aca="false">C31*Assumptions!$C$27</f>
        <v>0</v>
      </c>
      <c r="D33" s="45" t="n">
        <f aca="false">D31*Assumptions!$C$27</f>
        <v>900</v>
      </c>
      <c r="E33" s="45" t="n">
        <f aca="false">E31*Assumptions!$C$27</f>
        <v>1890</v>
      </c>
      <c r="F33" s="45" t="n">
        <f aca="false">F31*Assumptions!$C$27</f>
        <v>2979</v>
      </c>
      <c r="G33" s="45" t="n">
        <f aca="false">G31*Assumptions!$C$27</f>
        <v>4176.9</v>
      </c>
      <c r="H33" s="45" t="n">
        <f aca="false">H31*Assumptions!$C$27</f>
        <v>5494.59</v>
      </c>
      <c r="I33" s="45" t="n">
        <f aca="false">I31*Assumptions!$C$27</f>
        <v>6944.049</v>
      </c>
      <c r="J33" s="45" t="n">
        <f aca="false">J31*Assumptions!$C$27</f>
        <v>8538.4539</v>
      </c>
      <c r="K33" s="45" t="n">
        <f aca="false">K31*Assumptions!$C$27</f>
        <v>10292.29929</v>
      </c>
      <c r="L33" s="45" t="n">
        <f aca="false">L31*Assumptions!$C$27</f>
        <v>12221.529219</v>
      </c>
      <c r="M33" s="45" t="n">
        <f aca="false">M31*Assumptions!$C$27</f>
        <v>14343.6821409</v>
      </c>
      <c r="N33" s="45" t="n">
        <f aca="false">N31*Assumptions!$C$27</f>
        <v>16678.05035499</v>
      </c>
      <c r="O33" s="45" t="n">
        <f aca="false">O31*Assumptions!$C$27</f>
        <v>19245.855390489</v>
      </c>
      <c r="P33" s="45" t="n">
        <f aca="false">P31*Assumptions!$C$27</f>
        <v>22070.4409295379</v>
      </c>
      <c r="Q33" s="45" t="n">
        <f aca="false">Q31*Assumptions!$C$27</f>
        <v>25177.4850224917</v>
      </c>
      <c r="R33" s="45" t="n">
        <f aca="false">R31*Assumptions!$C$27</f>
        <v>28595.2335247409</v>
      </c>
      <c r="S33" s="45" t="n">
        <f aca="false">S31*Assumptions!$C$27</f>
        <v>32354.7568772149</v>
      </c>
      <c r="T33" s="45" t="n">
        <f aca="false">T31*Assumptions!$C$27</f>
        <v>31958.1403192586</v>
      </c>
      <c r="U33" s="45" t="n">
        <f aca="false">U31*Assumptions!$C$27</f>
        <v>31449.2202605931</v>
      </c>
      <c r="V33" s="45" t="n">
        <f aca="false">V31*Assumptions!$C$27</f>
        <v>30815.3135142493</v>
      </c>
      <c r="W33" s="45" t="n">
        <f aca="false">W31*Assumptions!$C$27</f>
        <v>33896.8448656742</v>
      </c>
      <c r="X33" s="45" t="n">
        <f aca="false">X31*Assumptions!$C$27</f>
        <v>37286.5293522416</v>
      </c>
      <c r="Y33" s="45" t="n">
        <f aca="false">Y31*Assumptions!$C$27</f>
        <v>41015.1822874658</v>
      </c>
      <c r="Z33" s="45" t="n">
        <f aca="false">Z31*Assumptions!$C$27</f>
        <v>45116.7005162124</v>
      </c>
      <c r="AA33" s="45" t="n">
        <f aca="false">AA31*Assumptions!$C$27</f>
        <v>49628.3705678336</v>
      </c>
      <c r="AB33" s="45" t="n">
        <f aca="false">AB31*Assumptions!$C$27</f>
        <v>54591.2076246169</v>
      </c>
      <c r="AC33" s="45" t="n">
        <f aca="false">AC31*Assumptions!$C$27</f>
        <v>60050.3283870786</v>
      </c>
      <c r="AD33" s="45" t="n">
        <f aca="false">AD31*Assumptions!$C$27</f>
        <v>66055.3612257865</v>
      </c>
      <c r="AE33" s="45" t="n">
        <f aca="false">AE31*Assumptions!$C$27</f>
        <v>72660.8973483652</v>
      </c>
      <c r="AF33" s="45" t="n">
        <f aca="false">AF31*Assumptions!$C$27</f>
        <v>79926.9870832017</v>
      </c>
    </row>
    <row r="34" customFormat="false" ht="15" hidden="false" customHeight="true" outlineLevel="0" collapsed="false">
      <c r="B34" s="49" t="s">
        <v>316</v>
      </c>
      <c r="C34" s="45" t="n">
        <f aca="false">MIN(C31+C32+C33,C30)</f>
        <v>0</v>
      </c>
      <c r="D34" s="45" t="n">
        <f aca="false">MIN(D31+D32+D33,D30)</f>
        <v>0</v>
      </c>
      <c r="E34" s="45" t="n">
        <f aca="false">MIN(E31+E32+E33,E30)</f>
        <v>0</v>
      </c>
      <c r="F34" s="45" t="n">
        <f aca="false">MIN(F31+F32+F33,F30)</f>
        <v>0</v>
      </c>
      <c r="G34" s="45" t="n">
        <f aca="false">MIN(G31+G32+G33,G30)</f>
        <v>0</v>
      </c>
      <c r="H34" s="45" t="n">
        <f aca="false">MIN(H31+H32+H33,H30)</f>
        <v>0</v>
      </c>
      <c r="I34" s="45" t="n">
        <f aca="false">MIN(I31+I32+I33,I30)</f>
        <v>0</v>
      </c>
      <c r="J34" s="45" t="n">
        <f aca="false">MIN(J31+J32+J33,J30)</f>
        <v>0</v>
      </c>
      <c r="K34" s="45" t="n">
        <f aca="false">MIN(K31+K32+K33,K30)</f>
        <v>0</v>
      </c>
      <c r="L34" s="45" t="n">
        <f aca="false">MIN(L31+L32+L33,L30)</f>
        <v>0</v>
      </c>
      <c r="M34" s="45" t="n">
        <f aca="false">MIN(M31+M32+M33,M30)</f>
        <v>0</v>
      </c>
      <c r="N34" s="45" t="n">
        <f aca="false">MIN(N31+N32+N33,N30)</f>
        <v>0</v>
      </c>
      <c r="O34" s="45" t="n">
        <f aca="false">MIN(O31+O32+O33,O30)</f>
        <v>0</v>
      </c>
      <c r="P34" s="45" t="n">
        <f aca="false">MIN(P31+P32+P33,P30)</f>
        <v>0</v>
      </c>
      <c r="Q34" s="45" t="n">
        <f aca="false">MIN(Q31+Q32+Q33,Q30)</f>
        <v>0</v>
      </c>
      <c r="R34" s="45" t="n">
        <f aca="false">MIN(R31+R32+R33,R30)</f>
        <v>0</v>
      </c>
      <c r="S34" s="45" t="n">
        <f aca="false">MIN(S31+S32+S33,S30)</f>
        <v>36320.922456778</v>
      </c>
      <c r="T34" s="45" t="n">
        <f aca="false">MIN(T31+T32+T33,T30)</f>
        <v>37047.3409059136</v>
      </c>
      <c r="U34" s="45" t="n">
        <f aca="false">MIN(U31+U32+U33,U30)</f>
        <v>37788.2877240319</v>
      </c>
      <c r="V34" s="45" t="n">
        <f aca="false">MIN(V31+V32+V33,V30)</f>
        <v>0</v>
      </c>
      <c r="W34" s="45" t="n">
        <f aca="false">MIN(W31+W32+W33,W30)</f>
        <v>0</v>
      </c>
      <c r="X34" s="45" t="n">
        <f aca="false">MIN(X31+X32+X33,X30)</f>
        <v>0</v>
      </c>
      <c r="Y34" s="45" t="n">
        <f aca="false">MIN(Y31+Y32+Y33,Y30)</f>
        <v>0</v>
      </c>
      <c r="Z34" s="45" t="n">
        <f aca="false">MIN(Z31+Z32+Z33,Z30)</f>
        <v>0</v>
      </c>
      <c r="AA34" s="45" t="n">
        <f aca="false">MIN(AA31+AA32+AA33,AA30)</f>
        <v>0</v>
      </c>
      <c r="AB34" s="45" t="n">
        <f aca="false">MIN(AB31+AB32+AB33,AB30)</f>
        <v>0</v>
      </c>
      <c r="AC34" s="45" t="n">
        <f aca="false">MIN(AC31+AC32+AC33,AC30)</f>
        <v>0</v>
      </c>
      <c r="AD34" s="45" t="n">
        <f aca="false">MIN(AD31+AD32+AD33,AD30)</f>
        <v>0</v>
      </c>
      <c r="AE34" s="45" t="n">
        <f aca="false">MIN(AE31+AE32+AE33,AE30)</f>
        <v>0</v>
      </c>
      <c r="AF34" s="45" t="n">
        <f aca="false">MIN(AF31+AF32+AF33,AF30)</f>
        <v>0</v>
      </c>
    </row>
    <row r="35" customFormat="false" ht="15" hidden="false" customHeight="true" outlineLevel="0" collapsed="false">
      <c r="B35" s="24" t="s">
        <v>320</v>
      </c>
      <c r="C35" s="50" t="n">
        <f aca="false">C31+C32+C33-C34</f>
        <v>9000</v>
      </c>
      <c r="D35" s="50" t="n">
        <f aca="false">D31+D32+D33-D34</f>
        <v>18900</v>
      </c>
      <c r="E35" s="50" t="n">
        <f aca="false">E31+E32+E33-E34</f>
        <v>29790</v>
      </c>
      <c r="F35" s="50" t="n">
        <f aca="false">F31+F32+F33-F34</f>
        <v>41769</v>
      </c>
      <c r="G35" s="50" t="n">
        <f aca="false">G31+G32+G33-G34</f>
        <v>54945.9</v>
      </c>
      <c r="H35" s="50" t="n">
        <f aca="false">H31+H32+H33-H34</f>
        <v>69440.49</v>
      </c>
      <c r="I35" s="50" t="n">
        <f aca="false">I31+I32+I33-I34</f>
        <v>85384.539</v>
      </c>
      <c r="J35" s="50" t="n">
        <f aca="false">J31+J32+J33-J34</f>
        <v>102922.9929</v>
      </c>
      <c r="K35" s="50" t="n">
        <f aca="false">K31+K32+K33-K34</f>
        <v>122215.29219</v>
      </c>
      <c r="L35" s="50" t="n">
        <f aca="false">L31+L32+L33-L34</f>
        <v>143436.821409</v>
      </c>
      <c r="M35" s="50" t="n">
        <f aca="false">M31+M32+M33-M34</f>
        <v>166780.5035499</v>
      </c>
      <c r="N35" s="50" t="n">
        <f aca="false">N31+N32+N33-N34</f>
        <v>192458.55390489</v>
      </c>
      <c r="O35" s="50" t="n">
        <f aca="false">O31+O32+O33-O34</f>
        <v>220704.409295379</v>
      </c>
      <c r="P35" s="50" t="n">
        <f aca="false">P31+P32+P33-P34</f>
        <v>251774.850224917</v>
      </c>
      <c r="Q35" s="50" t="n">
        <f aca="false">Q31+Q32+Q33-Q34</f>
        <v>285952.335247409</v>
      </c>
      <c r="R35" s="50" t="n">
        <f aca="false">R31+R32+R33-R34</f>
        <v>323547.568772149</v>
      </c>
      <c r="S35" s="50" t="n">
        <f aca="false">S31+S32+S33-S34</f>
        <v>319581.403192586</v>
      </c>
      <c r="T35" s="50" t="n">
        <f aca="false">T31+T32+T33-T34</f>
        <v>314492.202605931</v>
      </c>
      <c r="U35" s="50" t="n">
        <f aca="false">U31+U32+U33-U34</f>
        <v>308153.135142493</v>
      </c>
      <c r="V35" s="50" t="n">
        <f aca="false">V31+V32+V33-V34</f>
        <v>338968.448656742</v>
      </c>
      <c r="W35" s="50" t="n">
        <f aca="false">W31+W32+W33-W34</f>
        <v>372865.293522416</v>
      </c>
      <c r="X35" s="50" t="n">
        <f aca="false">X31+X32+X33-X34</f>
        <v>410151.822874658</v>
      </c>
      <c r="Y35" s="50" t="n">
        <f aca="false">Y31+Y32+Y33-Y34</f>
        <v>451167.005162124</v>
      </c>
      <c r="Z35" s="50" t="n">
        <f aca="false">Z31+Z32+Z33-Z34</f>
        <v>496283.705678336</v>
      </c>
      <c r="AA35" s="50" t="n">
        <f aca="false">AA31+AA32+AA33-AA34</f>
        <v>545912.076246169</v>
      </c>
      <c r="AB35" s="50" t="n">
        <f aca="false">AB31+AB32+AB33-AB34</f>
        <v>600503.283870786</v>
      </c>
      <c r="AC35" s="50" t="n">
        <f aca="false">AC31+AC32+AC33-AC34</f>
        <v>660553.612257865</v>
      </c>
      <c r="AD35" s="50" t="n">
        <f aca="false">AD31+AD32+AD33-AD34</f>
        <v>726608.973483651</v>
      </c>
      <c r="AE35" s="50" t="n">
        <f aca="false">AE31+AE32+AE33-AE34</f>
        <v>799269.870832017</v>
      </c>
      <c r="AF35" s="50" t="n">
        <f aca="false">AF31+AF32+AF33-AF34</f>
        <v>879196.857915218</v>
      </c>
    </row>
    <row r="37" customFormat="false" ht="15" hidden="false" customHeight="true" outlineLevel="0" collapsed="false">
      <c r="A37" s="23" t="s">
        <v>321</v>
      </c>
      <c r="B37" s="23"/>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row>
    <row r="38" customFormat="false" ht="15" hidden="false" customHeight="true" outlineLevel="0" collapsed="false">
      <c r="B38" s="26" t="s">
        <v>322</v>
      </c>
      <c r="C38" s="45" t="n">
        <f aca="false">C21-C25</f>
        <v>0</v>
      </c>
      <c r="D38" s="45" t="n">
        <f aca="false">D21-D25</f>
        <v>0</v>
      </c>
      <c r="E38" s="45" t="n">
        <f aca="false">E21-E25</f>
        <v>0</v>
      </c>
      <c r="F38" s="45" t="n">
        <f aca="false">F21-F25</f>
        <v>0</v>
      </c>
      <c r="G38" s="45" t="n">
        <f aca="false">G21-G25</f>
        <v>0</v>
      </c>
      <c r="H38" s="45" t="n">
        <f aca="false">H21-H25</f>
        <v>0</v>
      </c>
      <c r="I38" s="45" t="n">
        <f aca="false">I21-I25</f>
        <v>0</v>
      </c>
      <c r="J38" s="45" t="n">
        <f aca="false">J21-J25</f>
        <v>0</v>
      </c>
      <c r="K38" s="45" t="n">
        <f aca="false">K21-K25</f>
        <v>0</v>
      </c>
      <c r="L38" s="45" t="n">
        <f aca="false">L21-L25</f>
        <v>0</v>
      </c>
      <c r="M38" s="45" t="n">
        <f aca="false">M21-M25</f>
        <v>0</v>
      </c>
      <c r="N38" s="45" t="n">
        <f aca="false">N21-N25</f>
        <v>0</v>
      </c>
      <c r="O38" s="45" t="n">
        <f aca="false">O21-O25</f>
        <v>0</v>
      </c>
      <c r="P38" s="45" t="n">
        <f aca="false">P21-P25</f>
        <v>0</v>
      </c>
      <c r="Q38" s="45" t="n">
        <f aca="false">Q21-Q25</f>
        <v>9900.43231659653</v>
      </c>
      <c r="R38" s="45" t="n">
        <f aca="false">R21-R25</f>
        <v>35608.7475066451</v>
      </c>
      <c r="S38" s="45" t="n">
        <f aca="false">S21-S25</f>
        <v>0</v>
      </c>
      <c r="T38" s="45" t="n">
        <f aca="false">T21-T25</f>
        <v>0</v>
      </c>
      <c r="U38" s="45" t="n">
        <f aca="false">U21-U25</f>
        <v>0</v>
      </c>
      <c r="V38" s="45" t="n">
        <f aca="false">V21-V25</f>
        <v>0</v>
      </c>
      <c r="W38" s="45" t="n">
        <f aca="false">W21-W25</f>
        <v>0</v>
      </c>
      <c r="X38" s="45" t="n">
        <f aca="false">X21-X25</f>
        <v>0</v>
      </c>
      <c r="Y38" s="45" t="n">
        <f aca="false">Y21-Y25</f>
        <v>0</v>
      </c>
      <c r="Z38" s="45" t="n">
        <f aca="false">Z21-Z25</f>
        <v>0</v>
      </c>
      <c r="AA38" s="45" t="n">
        <f aca="false">AA21-AA25</f>
        <v>0</v>
      </c>
      <c r="AB38" s="45" t="n">
        <f aca="false">AB21-AB25</f>
        <v>0</v>
      </c>
      <c r="AC38" s="45" t="n">
        <f aca="false">AC21-AC25</f>
        <v>0</v>
      </c>
      <c r="AD38" s="45" t="n">
        <f aca="false">AD21-AD25</f>
        <v>0</v>
      </c>
      <c r="AE38" s="45" t="n">
        <f aca="false">AE21-AE25</f>
        <v>0</v>
      </c>
      <c r="AF38" s="45" t="n">
        <f aca="false">AF21-AF25</f>
        <v>0</v>
      </c>
    </row>
    <row r="39" customFormat="false" ht="15" hidden="false" customHeight="true" outlineLevel="0" collapsed="false">
      <c r="B39" s="26" t="s">
        <v>323</v>
      </c>
      <c r="C39" s="45" t="n">
        <f aca="false">C30-C34</f>
        <v>0</v>
      </c>
      <c r="D39" s="45" t="n">
        <f aca="false">D30-D34</f>
        <v>0</v>
      </c>
      <c r="E39" s="45" t="n">
        <f aca="false">E30-E34</f>
        <v>0</v>
      </c>
      <c r="F39" s="45" t="n">
        <f aca="false">F30-F34</f>
        <v>0</v>
      </c>
      <c r="G39" s="45" t="n">
        <f aca="false">G30-G34</f>
        <v>0</v>
      </c>
      <c r="H39" s="45" t="n">
        <f aca="false">H30-H34</f>
        <v>0</v>
      </c>
      <c r="I39" s="45" t="n">
        <f aca="false">I30-I34</f>
        <v>0</v>
      </c>
      <c r="J39" s="45" t="n">
        <f aca="false">J30-J34</f>
        <v>0</v>
      </c>
      <c r="K39" s="45" t="n">
        <f aca="false">K30-K34</f>
        <v>0</v>
      </c>
      <c r="L39" s="45" t="n">
        <f aca="false">L30-L34</f>
        <v>0</v>
      </c>
      <c r="M39" s="45" t="n">
        <f aca="false">M30-M34</f>
        <v>0</v>
      </c>
      <c r="N39" s="45" t="n">
        <f aca="false">N30-N34</f>
        <v>0</v>
      </c>
      <c r="O39" s="45" t="n">
        <f aca="false">O30-O34</f>
        <v>0</v>
      </c>
      <c r="P39" s="45" t="n">
        <f aca="false">P30-P34</f>
        <v>0</v>
      </c>
      <c r="Q39" s="45" t="n">
        <f aca="false">Q30-Q34</f>
        <v>0</v>
      </c>
      <c r="R39" s="45" t="n">
        <f aca="false">R30-R34</f>
        <v>0</v>
      </c>
      <c r="S39" s="45" t="n">
        <f aca="false">S30-S34</f>
        <v>0</v>
      </c>
      <c r="T39" s="45" t="n">
        <f aca="false">T30-T34</f>
        <v>0</v>
      </c>
      <c r="U39" s="45" t="n">
        <f aca="false">U30-U34</f>
        <v>0</v>
      </c>
      <c r="V39" s="45" t="n">
        <f aca="false">V30-V34</f>
        <v>0</v>
      </c>
      <c r="W39" s="45" t="n">
        <f aca="false">W30-W34</f>
        <v>0</v>
      </c>
      <c r="X39" s="45" t="n">
        <f aca="false">X30-X34</f>
        <v>0</v>
      </c>
      <c r="Y39" s="45" t="n">
        <f aca="false">Y30-Y34</f>
        <v>0</v>
      </c>
      <c r="Z39" s="45" t="n">
        <f aca="false">Z30-Z34</f>
        <v>0</v>
      </c>
      <c r="AA39" s="45" t="n">
        <f aca="false">AA30-AA34</f>
        <v>0</v>
      </c>
      <c r="AB39" s="45" t="n">
        <f aca="false">AB30-AB34</f>
        <v>0</v>
      </c>
      <c r="AC39" s="45" t="n">
        <f aca="false">AC30-AC34</f>
        <v>0</v>
      </c>
      <c r="AD39" s="45" t="n">
        <f aca="false">AD30-AD34</f>
        <v>0</v>
      </c>
      <c r="AE39" s="45" t="n">
        <f aca="false">AE30-AE34</f>
        <v>0</v>
      </c>
      <c r="AF39" s="45" t="n">
        <f aca="false">AF30-AF34</f>
        <v>0</v>
      </c>
    </row>
    <row r="40" customFormat="false" ht="15" hidden="false" customHeight="true" outlineLevel="0" collapsed="false">
      <c r="B40" s="24" t="s">
        <v>324</v>
      </c>
      <c r="C40" s="50" t="n">
        <f aca="false">C38+C39</f>
        <v>0</v>
      </c>
      <c r="D40" s="50" t="n">
        <f aca="false">D38+D39</f>
        <v>0</v>
      </c>
      <c r="E40" s="50" t="n">
        <f aca="false">E38+E39</f>
        <v>0</v>
      </c>
      <c r="F40" s="50" t="n">
        <f aca="false">F38+F39</f>
        <v>0</v>
      </c>
      <c r="G40" s="50" t="n">
        <f aca="false">G38+G39</f>
        <v>0</v>
      </c>
      <c r="H40" s="50" t="n">
        <f aca="false">H38+H39</f>
        <v>0</v>
      </c>
      <c r="I40" s="50" t="n">
        <f aca="false">I38+I39</f>
        <v>0</v>
      </c>
      <c r="J40" s="50" t="n">
        <f aca="false">J38+J39</f>
        <v>0</v>
      </c>
      <c r="K40" s="50" t="n">
        <f aca="false">K38+K39</f>
        <v>0</v>
      </c>
      <c r="L40" s="50" t="n">
        <f aca="false">L38+L39</f>
        <v>0</v>
      </c>
      <c r="M40" s="50" t="n">
        <f aca="false">M38+M39</f>
        <v>0</v>
      </c>
      <c r="N40" s="50" t="n">
        <f aca="false">N38+N39</f>
        <v>0</v>
      </c>
      <c r="O40" s="50" t="n">
        <f aca="false">O38+O39</f>
        <v>0</v>
      </c>
      <c r="P40" s="50" t="n">
        <f aca="false">P38+P39</f>
        <v>0</v>
      </c>
      <c r="Q40" s="50" t="n">
        <f aca="false">Q38+Q39</f>
        <v>9900.43231659653</v>
      </c>
      <c r="R40" s="50" t="n">
        <f aca="false">R38+R39</f>
        <v>35608.7475066451</v>
      </c>
      <c r="S40" s="50" t="n">
        <f aca="false">S38+S39</f>
        <v>0</v>
      </c>
      <c r="T40" s="50" t="n">
        <f aca="false">T38+T39</f>
        <v>0</v>
      </c>
      <c r="U40" s="50" t="n">
        <f aca="false">U38+U39</f>
        <v>0</v>
      </c>
      <c r="V40" s="50" t="n">
        <f aca="false">V38+V39</f>
        <v>0</v>
      </c>
      <c r="W40" s="50" t="n">
        <f aca="false">W38+W39</f>
        <v>0</v>
      </c>
      <c r="X40" s="50" t="n">
        <f aca="false">X38+X39</f>
        <v>0</v>
      </c>
      <c r="Y40" s="50" t="n">
        <f aca="false">Y38+Y39</f>
        <v>0</v>
      </c>
      <c r="Z40" s="50" t="n">
        <f aca="false">Z38+Z39</f>
        <v>0</v>
      </c>
      <c r="AA40" s="50" t="n">
        <f aca="false">AA38+AA39</f>
        <v>0</v>
      </c>
      <c r="AB40" s="50" t="n">
        <f aca="false">AB38+AB39</f>
        <v>0</v>
      </c>
      <c r="AC40" s="50" t="n">
        <f aca="false">AC38+AC39</f>
        <v>0</v>
      </c>
      <c r="AD40" s="50" t="n">
        <f aca="false">AD38+AD39</f>
        <v>0</v>
      </c>
      <c r="AE40" s="50" t="n">
        <f aca="false">AE38+AE39</f>
        <v>0</v>
      </c>
      <c r="AF40" s="50" t="n">
        <f aca="false">AF38+AF39</f>
        <v>0</v>
      </c>
    </row>
    <row r="41" customFormat="false" ht="15" hidden="false" customHeight="true" outlineLevel="0" collapsed="false">
      <c r="B41" s="24" t="s">
        <v>325</v>
      </c>
      <c r="C41" s="50" t="n">
        <f aca="false">C23+C32</f>
        <v>9000</v>
      </c>
      <c r="D41" s="50" t="n">
        <f aca="false">D23+D32</f>
        <v>9000</v>
      </c>
      <c r="E41" s="50" t="n">
        <f aca="false">E23+E32</f>
        <v>9000</v>
      </c>
      <c r="F41" s="50" t="n">
        <f aca="false">F23+F32</f>
        <v>9000</v>
      </c>
      <c r="G41" s="50" t="n">
        <f aca="false">G23+G32</f>
        <v>9000</v>
      </c>
      <c r="H41" s="50" t="n">
        <f aca="false">H23+H32</f>
        <v>9000</v>
      </c>
      <c r="I41" s="50" t="n">
        <f aca="false">I23+I32</f>
        <v>9000</v>
      </c>
      <c r="J41" s="50" t="n">
        <f aca="false">J23+J32</f>
        <v>9000</v>
      </c>
      <c r="K41" s="50" t="n">
        <f aca="false">K23+K32</f>
        <v>9000</v>
      </c>
      <c r="L41" s="50" t="n">
        <f aca="false">L23+L32</f>
        <v>9000</v>
      </c>
      <c r="M41" s="50" t="n">
        <f aca="false">M23+M32</f>
        <v>9000</v>
      </c>
      <c r="N41" s="50" t="n">
        <f aca="false">N23+N32</f>
        <v>9000</v>
      </c>
      <c r="O41" s="50" t="n">
        <f aca="false">O23+O32</f>
        <v>9000</v>
      </c>
      <c r="P41" s="50" t="n">
        <f aca="false">P23+P32</f>
        <v>9000</v>
      </c>
      <c r="Q41" s="50" t="n">
        <f aca="false">Q23+Q32</f>
        <v>9000</v>
      </c>
      <c r="R41" s="50" t="n">
        <f aca="false">R23+R32</f>
        <v>9000</v>
      </c>
      <c r="S41" s="50" t="n">
        <f aca="false">S23+S32</f>
        <v>0</v>
      </c>
      <c r="T41" s="50" t="n">
        <f aca="false">T23+T32</f>
        <v>0</v>
      </c>
      <c r="U41" s="50" t="n">
        <f aca="false">U23+U32</f>
        <v>0</v>
      </c>
      <c r="V41" s="50" t="n">
        <f aca="false">V23+V32</f>
        <v>0</v>
      </c>
      <c r="W41" s="50" t="n">
        <f aca="false">W23+W32</f>
        <v>0</v>
      </c>
      <c r="X41" s="50" t="n">
        <f aca="false">X23+X32</f>
        <v>0</v>
      </c>
      <c r="Y41" s="50" t="n">
        <f aca="false">Y23+Y32</f>
        <v>0</v>
      </c>
      <c r="Z41" s="50" t="n">
        <f aca="false">Z23+Z32</f>
        <v>0</v>
      </c>
      <c r="AA41" s="50" t="n">
        <f aca="false">AA23+AA32</f>
        <v>0</v>
      </c>
      <c r="AB41" s="50" t="n">
        <f aca="false">AB23+AB32</f>
        <v>0</v>
      </c>
      <c r="AC41" s="50" t="n">
        <f aca="false">AC23+AC32</f>
        <v>0</v>
      </c>
      <c r="AD41" s="50" t="n">
        <f aca="false">AD23+AD32</f>
        <v>0</v>
      </c>
      <c r="AE41" s="50" t="n">
        <f aca="false">AE23+AE32</f>
        <v>0</v>
      </c>
      <c r="AF41" s="50" t="n">
        <f aca="false">AF23+AF32</f>
        <v>0</v>
      </c>
    </row>
    <row r="42" customFormat="false" ht="15" hidden="false" customHeight="true" outlineLevel="0" collapsed="false">
      <c r="B42" s="49" t="s">
        <v>326</v>
      </c>
      <c r="C42" s="45" t="n">
        <f aca="false">C26+C35</f>
        <v>25500</v>
      </c>
      <c r="D42" s="45" t="n">
        <f aca="false">D26+D35</f>
        <v>37050</v>
      </c>
      <c r="E42" s="45" t="n">
        <f aca="false">E26+E35</f>
        <v>49755</v>
      </c>
      <c r="F42" s="45" t="n">
        <f aca="false">F26+F35</f>
        <v>63730.5</v>
      </c>
      <c r="G42" s="45" t="n">
        <f aca="false">G26+G35</f>
        <v>79103.55</v>
      </c>
      <c r="H42" s="45" t="n">
        <f aca="false">H26+H35</f>
        <v>96013.905</v>
      </c>
      <c r="I42" s="45" t="n">
        <f aca="false">I26+I35</f>
        <v>114615.2955</v>
      </c>
      <c r="J42" s="45" t="n">
        <f aca="false">J26+J35</f>
        <v>135076.82505</v>
      </c>
      <c r="K42" s="45" t="n">
        <f aca="false">K26+K35</f>
        <v>157584.507555</v>
      </c>
      <c r="L42" s="45" t="n">
        <f aca="false">L26+L35</f>
        <v>182342.9583105</v>
      </c>
      <c r="M42" s="45" t="n">
        <f aca="false">M26+M35</f>
        <v>209577.25414155</v>
      </c>
      <c r="N42" s="45" t="n">
        <f aca="false">N26+N35</f>
        <v>239534.979555705</v>
      </c>
      <c r="O42" s="45" t="n">
        <f aca="false">O26+O35</f>
        <v>272488.477511276</v>
      </c>
      <c r="P42" s="45" t="n">
        <f aca="false">P26+P35</f>
        <v>274511.30882003</v>
      </c>
      <c r="Q42" s="45" t="n">
        <f aca="false">Q26+Q35</f>
        <v>285952.335247409</v>
      </c>
      <c r="R42" s="45" t="n">
        <f aca="false">R26+R35</f>
        <v>323547.568772149</v>
      </c>
      <c r="S42" s="45" t="n">
        <f aca="false">S26+S35</f>
        <v>319581.403192586</v>
      </c>
      <c r="T42" s="45" t="n">
        <f aca="false">T26+T35</f>
        <v>314492.202605931</v>
      </c>
      <c r="U42" s="45" t="n">
        <f aca="false">U26+U35</f>
        <v>308153.135142493</v>
      </c>
      <c r="V42" s="45" t="n">
        <f aca="false">V26+V35</f>
        <v>338968.448656742</v>
      </c>
      <c r="W42" s="45" t="n">
        <f aca="false">W26+W35</f>
        <v>372865.293522416</v>
      </c>
      <c r="X42" s="45" t="n">
        <f aca="false">X26+X35</f>
        <v>410151.822874658</v>
      </c>
      <c r="Y42" s="45" t="n">
        <f aca="false">Y26+Y35</f>
        <v>451167.005162124</v>
      </c>
      <c r="Z42" s="45" t="n">
        <f aca="false">Z26+Z35</f>
        <v>496283.705678336</v>
      </c>
      <c r="AA42" s="45" t="n">
        <f aca="false">AA26+AA35</f>
        <v>545912.076246169</v>
      </c>
      <c r="AB42" s="45" t="n">
        <f aca="false">AB26+AB35</f>
        <v>600503.283870786</v>
      </c>
      <c r="AC42" s="45" t="n">
        <f aca="false">AC26+AC35</f>
        <v>660553.612257865</v>
      </c>
      <c r="AD42" s="45" t="n">
        <f aca="false">AD26+AD35</f>
        <v>726608.973483651</v>
      </c>
      <c r="AE42" s="45" t="n">
        <f aca="false">AE26+AE35</f>
        <v>799269.870832017</v>
      </c>
      <c r="AF42" s="45" t="n">
        <f aca="false">AF26+AF35</f>
        <v>879196.857915218</v>
      </c>
    </row>
    <row r="44" customFormat="false" ht="15" hidden="false" customHeight="true" outlineLevel="0" collapsed="false">
      <c r="A44" s="23" t="s">
        <v>327</v>
      </c>
      <c r="B44" s="23"/>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row>
    <row r="45" customFormat="false" ht="15" hidden="false" customHeight="true" outlineLevel="0" collapsed="false">
      <c r="B45" s="26" t="s">
        <v>328</v>
      </c>
      <c r="C45" s="52" t="n">
        <f aca="false">IF(OR(C5&lt;Assumptions!$E$72,C5&gt;Assumptions!$E$74),0,IF(C5=Assumptions!$E$72,Assumptions!$E$73,IF(C5=Assumptions!$E$74,Assumptions!$E$75,12)))</f>
        <v>0</v>
      </c>
      <c r="D45" s="52" t="n">
        <f aca="false">IF(OR(D5&lt;Assumptions!$E$72,D5&gt;Assumptions!$E$74),0,IF(D5=Assumptions!$E$72,Assumptions!$E$73,IF(D5=Assumptions!$E$74,Assumptions!$E$75,12)))</f>
        <v>0</v>
      </c>
      <c r="E45" s="52" t="n">
        <f aca="false">IF(OR(E5&lt;Assumptions!$E$72,E5&gt;Assumptions!$E$74),0,IF(E5=Assumptions!$E$72,Assumptions!$E$73,IF(E5=Assumptions!$E$74,Assumptions!$E$75,12)))</f>
        <v>4</v>
      </c>
      <c r="F45" s="52" t="n">
        <f aca="false">IF(OR(F5&lt;Assumptions!$E$72,F5&gt;Assumptions!$E$74),0,IF(F5=Assumptions!$E$72,Assumptions!$E$73,IF(F5=Assumptions!$E$74,Assumptions!$E$75,12)))</f>
        <v>12</v>
      </c>
      <c r="G45" s="52" t="n">
        <f aca="false">IF(OR(G5&lt;Assumptions!$E$72,G5&gt;Assumptions!$E$74),0,IF(G5=Assumptions!$E$72,Assumptions!$E$73,IF(G5=Assumptions!$E$74,Assumptions!$E$75,12)))</f>
        <v>12</v>
      </c>
      <c r="H45" s="52" t="n">
        <f aca="false">IF(OR(H5&lt;Assumptions!$E$72,H5&gt;Assumptions!$E$74),0,IF(H5=Assumptions!$E$72,Assumptions!$E$73,IF(H5=Assumptions!$E$74,Assumptions!$E$75,12)))</f>
        <v>8</v>
      </c>
      <c r="I45" s="52" t="n">
        <f aca="false">IF(OR(I5&lt;Assumptions!$E$72,I5&gt;Assumptions!$E$74),0,IF(I5=Assumptions!$E$72,Assumptions!$E$73,IF(I5=Assumptions!$E$74,Assumptions!$E$75,12)))</f>
        <v>0</v>
      </c>
      <c r="J45" s="52" t="n">
        <f aca="false">IF(OR(J5&lt;Assumptions!$E$72,J5&gt;Assumptions!$E$74),0,IF(J5=Assumptions!$E$72,Assumptions!$E$73,IF(J5=Assumptions!$E$74,Assumptions!$E$75,12)))</f>
        <v>0</v>
      </c>
      <c r="K45" s="52" t="n">
        <f aca="false">IF(OR(K5&lt;Assumptions!$E$72,K5&gt;Assumptions!$E$74),0,IF(K5=Assumptions!$E$72,Assumptions!$E$73,IF(K5=Assumptions!$E$74,Assumptions!$E$75,12)))</f>
        <v>0</v>
      </c>
      <c r="L45" s="52" t="n">
        <f aca="false">IF(OR(L5&lt;Assumptions!$E$72,L5&gt;Assumptions!$E$74),0,IF(L5=Assumptions!$E$72,Assumptions!$E$73,IF(L5=Assumptions!$E$74,Assumptions!$E$75,12)))</f>
        <v>0</v>
      </c>
      <c r="M45" s="52" t="n">
        <f aca="false">IF(OR(M5&lt;Assumptions!$E$72,M5&gt;Assumptions!$E$74),0,IF(M5=Assumptions!$E$72,Assumptions!$E$73,IF(M5=Assumptions!$E$74,Assumptions!$E$75,12)))</f>
        <v>0</v>
      </c>
      <c r="N45" s="52" t="n">
        <f aca="false">IF(OR(N5&lt;Assumptions!$E$72,N5&gt;Assumptions!$E$74),0,IF(N5=Assumptions!$E$72,Assumptions!$E$73,IF(N5=Assumptions!$E$74,Assumptions!$E$75,12)))</f>
        <v>0</v>
      </c>
      <c r="O45" s="52" t="n">
        <f aca="false">IF(OR(O5&lt;Assumptions!$E$72,O5&gt;Assumptions!$E$74),0,IF(O5=Assumptions!$E$72,Assumptions!$E$73,IF(O5=Assumptions!$E$74,Assumptions!$E$75,12)))</f>
        <v>0</v>
      </c>
      <c r="P45" s="52" t="n">
        <f aca="false">IF(OR(P5&lt;Assumptions!$E$72,P5&gt;Assumptions!$E$74),0,IF(P5=Assumptions!$E$72,Assumptions!$E$73,IF(P5=Assumptions!$E$74,Assumptions!$E$75,12)))</f>
        <v>0</v>
      </c>
      <c r="Q45" s="52" t="n">
        <f aca="false">IF(OR(Q5&lt;Assumptions!$E$72,Q5&gt;Assumptions!$E$74),0,IF(Q5=Assumptions!$E$72,Assumptions!$E$73,IF(Q5=Assumptions!$E$74,Assumptions!$E$75,12)))</f>
        <v>0</v>
      </c>
      <c r="R45" s="52" t="n">
        <f aca="false">IF(OR(R5&lt;Assumptions!$E$72,R5&gt;Assumptions!$E$74),0,IF(R5=Assumptions!$E$72,Assumptions!$E$73,IF(R5=Assumptions!$E$74,Assumptions!$E$75,12)))</f>
        <v>0</v>
      </c>
      <c r="S45" s="52" t="n">
        <f aca="false">IF(OR(S5&lt;Assumptions!$E$72,S5&gt;Assumptions!$E$74),0,IF(S5=Assumptions!$E$72,Assumptions!$E$73,IF(S5=Assumptions!$E$74,Assumptions!$E$75,12)))</f>
        <v>0</v>
      </c>
      <c r="T45" s="52" t="n">
        <f aca="false">IF(OR(T5&lt;Assumptions!$E$72,T5&gt;Assumptions!$E$74),0,IF(T5=Assumptions!$E$72,Assumptions!$E$73,IF(T5=Assumptions!$E$74,Assumptions!$E$75,12)))</f>
        <v>0</v>
      </c>
      <c r="U45" s="52" t="n">
        <f aca="false">IF(OR(U5&lt;Assumptions!$E$72,U5&gt;Assumptions!$E$74),0,IF(U5=Assumptions!$E$72,Assumptions!$E$73,IF(U5=Assumptions!$E$74,Assumptions!$E$75,12)))</f>
        <v>0</v>
      </c>
      <c r="V45" s="52" t="n">
        <f aca="false">IF(OR(V5&lt;Assumptions!$E$72,V5&gt;Assumptions!$E$74),0,IF(V5=Assumptions!$E$72,Assumptions!$E$73,IF(V5=Assumptions!$E$74,Assumptions!$E$75,12)))</f>
        <v>0</v>
      </c>
      <c r="W45" s="52" t="n">
        <f aca="false">IF(OR(W5&lt;Assumptions!$E$72,W5&gt;Assumptions!$E$74),0,IF(W5=Assumptions!$E$72,Assumptions!$E$73,IF(W5=Assumptions!$E$74,Assumptions!$E$75,12)))</f>
        <v>0</v>
      </c>
      <c r="X45" s="52" t="n">
        <f aca="false">IF(OR(X5&lt;Assumptions!$E$72,X5&gt;Assumptions!$E$74),0,IF(X5=Assumptions!$E$72,Assumptions!$E$73,IF(X5=Assumptions!$E$74,Assumptions!$E$75,12)))</f>
        <v>0</v>
      </c>
      <c r="Y45" s="52" t="n">
        <f aca="false">IF(OR(Y5&lt;Assumptions!$E$72,Y5&gt;Assumptions!$E$74),0,IF(Y5=Assumptions!$E$72,Assumptions!$E$73,IF(Y5=Assumptions!$E$74,Assumptions!$E$75,12)))</f>
        <v>0</v>
      </c>
      <c r="Z45" s="52" t="n">
        <f aca="false">IF(OR(Z5&lt;Assumptions!$E$72,Z5&gt;Assumptions!$E$74),0,IF(Z5=Assumptions!$E$72,Assumptions!$E$73,IF(Z5=Assumptions!$E$74,Assumptions!$E$75,12)))</f>
        <v>0</v>
      </c>
      <c r="AA45" s="52" t="n">
        <f aca="false">IF(OR(AA5&lt;Assumptions!$E$72,AA5&gt;Assumptions!$E$74),0,IF(AA5=Assumptions!$E$72,Assumptions!$E$73,IF(AA5=Assumptions!$E$74,Assumptions!$E$75,12)))</f>
        <v>0</v>
      </c>
      <c r="AB45" s="52" t="n">
        <f aca="false">IF(OR(AB5&lt;Assumptions!$E$72,AB5&gt;Assumptions!$E$74),0,IF(AB5=Assumptions!$E$72,Assumptions!$E$73,IF(AB5=Assumptions!$E$74,Assumptions!$E$75,12)))</f>
        <v>0</v>
      </c>
      <c r="AC45" s="52" t="n">
        <f aca="false">IF(OR(AC5&lt;Assumptions!$E$72,AC5&gt;Assumptions!$E$74),0,IF(AC5=Assumptions!$E$72,Assumptions!$E$73,IF(AC5=Assumptions!$E$74,Assumptions!$E$75,12)))</f>
        <v>0</v>
      </c>
      <c r="AD45" s="52" t="n">
        <f aca="false">IF(OR(AD5&lt;Assumptions!$E$72,AD5&gt;Assumptions!$E$74),0,IF(AD5=Assumptions!$E$72,Assumptions!$E$73,IF(AD5=Assumptions!$E$74,Assumptions!$E$75,12)))</f>
        <v>0</v>
      </c>
      <c r="AE45" s="52" t="n">
        <f aca="false">IF(OR(AE5&lt;Assumptions!$E$72,AE5&gt;Assumptions!$E$74),0,IF(AE5=Assumptions!$E$72,Assumptions!$E$73,IF(AE5=Assumptions!$E$74,Assumptions!$E$75,12)))</f>
        <v>0</v>
      </c>
      <c r="AF45" s="52" t="n">
        <f aca="false">IF(OR(AF5&lt;Assumptions!$E$72,AF5&gt;Assumptions!$E$74),0,IF(AF5=Assumptions!$E$72,Assumptions!$E$73,IF(AF5=Assumptions!$E$74,Assumptions!$E$75,12)))</f>
        <v>0</v>
      </c>
    </row>
    <row r="46" customFormat="false" ht="15" hidden="false" customHeight="true" outlineLevel="0" collapsed="false">
      <c r="B46" s="26" t="s">
        <v>329</v>
      </c>
      <c r="C46" s="45" t="n">
        <f aca="false">C45*Assumptions!$C$57*Assumptions!C$9</f>
        <v>0</v>
      </c>
      <c r="D46" s="45" t="n">
        <f aca="false">D45*Assumptions!$C$57*Assumptions!D$9</f>
        <v>0</v>
      </c>
      <c r="E46" s="45" t="n">
        <f aca="false">E45*Assumptions!$C$57*Assumptions!E$9</f>
        <v>11681.28</v>
      </c>
      <c r="F46" s="45" t="n">
        <f aca="false">F45*Assumptions!$C$57*Assumptions!F$9</f>
        <v>35744.7168</v>
      </c>
      <c r="G46" s="45" t="n">
        <f aca="false">G45*Assumptions!$C$57*Assumptions!G$9</f>
        <v>36459.611136</v>
      </c>
      <c r="H46" s="45" t="n">
        <f aca="false">H45*Assumptions!$C$57*Assumptions!H$9</f>
        <v>24792.53557248</v>
      </c>
      <c r="I46" s="45" t="n">
        <f aca="false">I45*Assumptions!$C$57*Assumptions!I$9</f>
        <v>0</v>
      </c>
      <c r="J46" s="45" t="n">
        <f aca="false">J45*Assumptions!$C$57*Assumptions!J$9</f>
        <v>0</v>
      </c>
      <c r="K46" s="45" t="n">
        <f aca="false">K45*Assumptions!$C$57*Assumptions!K$9</f>
        <v>0</v>
      </c>
      <c r="L46" s="45" t="n">
        <f aca="false">L45*Assumptions!$C$57*Assumptions!L$9</f>
        <v>0</v>
      </c>
      <c r="M46" s="45" t="n">
        <f aca="false">M45*Assumptions!$C$57*Assumptions!M$9</f>
        <v>0</v>
      </c>
      <c r="N46" s="45" t="n">
        <f aca="false">N45*Assumptions!$C$57*Assumptions!N$9</f>
        <v>0</v>
      </c>
      <c r="O46" s="45" t="n">
        <f aca="false">O45*Assumptions!$C$57*Assumptions!O$9</f>
        <v>0</v>
      </c>
      <c r="P46" s="45" t="n">
        <f aca="false">P45*Assumptions!$C$57*Assumptions!P$9</f>
        <v>0</v>
      </c>
      <c r="Q46" s="45" t="n">
        <f aca="false">Q45*Assumptions!$C$57*Assumptions!Q$9</f>
        <v>0</v>
      </c>
      <c r="R46" s="45" t="n">
        <f aca="false">R45*Assumptions!$C$57*Assumptions!R$9</f>
        <v>0</v>
      </c>
      <c r="S46" s="45" t="n">
        <f aca="false">S45*Assumptions!$C$57*Assumptions!S$9</f>
        <v>0</v>
      </c>
      <c r="T46" s="45" t="n">
        <f aca="false">T45*Assumptions!$C$57*Assumptions!T$9</f>
        <v>0</v>
      </c>
      <c r="U46" s="45" t="n">
        <f aca="false">U45*Assumptions!$C$57*Assumptions!U$9</f>
        <v>0</v>
      </c>
      <c r="V46" s="45" t="n">
        <f aca="false">V45*Assumptions!$C$57*Assumptions!V$9</f>
        <v>0</v>
      </c>
      <c r="W46" s="45" t="n">
        <f aca="false">W45*Assumptions!$C$57*Assumptions!W$9</f>
        <v>0</v>
      </c>
      <c r="X46" s="45" t="n">
        <f aca="false">X45*Assumptions!$C$57*Assumptions!X$9</f>
        <v>0</v>
      </c>
      <c r="Y46" s="45" t="n">
        <f aca="false">Y45*Assumptions!$C$57*Assumptions!Y$9</f>
        <v>0</v>
      </c>
      <c r="Z46" s="45" t="n">
        <f aca="false">Z45*Assumptions!$C$57*Assumptions!Z$9</f>
        <v>0</v>
      </c>
      <c r="AA46" s="45" t="n">
        <f aca="false">AA45*Assumptions!$C$57*Assumptions!AA$9</f>
        <v>0</v>
      </c>
      <c r="AB46" s="45" t="n">
        <f aca="false">AB45*Assumptions!$C$57*Assumptions!AB$9</f>
        <v>0</v>
      </c>
      <c r="AC46" s="45" t="n">
        <f aca="false">AC45*Assumptions!$C$57*Assumptions!AC$9</f>
        <v>0</v>
      </c>
      <c r="AD46" s="45" t="n">
        <f aca="false">AD45*Assumptions!$C$57*Assumptions!AD$9</f>
        <v>0</v>
      </c>
      <c r="AE46" s="45" t="n">
        <f aca="false">AE45*Assumptions!$C$57*Assumptions!AE$9</f>
        <v>0</v>
      </c>
      <c r="AF46" s="45" t="n">
        <f aca="false">AF45*Assumptions!$C$57*Assumptions!AF$9</f>
        <v>0</v>
      </c>
    </row>
    <row r="47" customFormat="false" ht="15" hidden="false" customHeight="true" outlineLevel="0" collapsed="false">
      <c r="B47" s="26" t="s">
        <v>330</v>
      </c>
      <c r="C47" s="45" t="n">
        <f aca="false">IF(C5&lt;Assumptions!$E$83,0,IF(C5=Assumptions!$E$83,Assumptions!$E$84,12))*Assumptions!$C$61*Assumptions!C$9</f>
        <v>0</v>
      </c>
      <c r="D47" s="45" t="n">
        <f aca="false">IF(D5&lt;Assumptions!$E$83,0,IF(D5=Assumptions!$E$83,Assumptions!$E$84,12))*Assumptions!$C$61*Assumptions!D$9</f>
        <v>3120</v>
      </c>
      <c r="E47" s="45" t="n">
        <f aca="false">IF(E5&lt;Assumptions!$E$83,0,IF(E5=Assumptions!$E$83,Assumptions!$E$84,12))*Assumptions!$C$61*Assumptions!E$9</f>
        <v>6489.6</v>
      </c>
      <c r="F47" s="45" t="n">
        <f aca="false">IF(F5&lt;Assumptions!$E$83,0,IF(F5=Assumptions!$E$83,Assumptions!$E$84,12))*Assumptions!$C$61*Assumptions!F$9</f>
        <v>6619.392</v>
      </c>
      <c r="G47" s="45" t="n">
        <f aca="false">IF(G5&lt;Assumptions!$E$83,0,IF(G5=Assumptions!$E$83,Assumptions!$E$84,12))*Assumptions!$C$61*Assumptions!G$9</f>
        <v>6751.77984</v>
      </c>
      <c r="H47" s="45" t="n">
        <f aca="false">IF(H5&lt;Assumptions!$E$83,0,IF(H5=Assumptions!$E$83,Assumptions!$E$84,12))*Assumptions!$C$61*Assumptions!H$9</f>
        <v>6886.8154368</v>
      </c>
      <c r="I47" s="45" t="n">
        <f aca="false">IF(I5&lt;Assumptions!$E$83,0,IF(I5=Assumptions!$E$83,Assumptions!$E$84,12))*Assumptions!$C$61*Assumptions!I$9</f>
        <v>7024.551745536</v>
      </c>
      <c r="J47" s="45" t="n">
        <f aca="false">IF(J5&lt;Assumptions!$E$83,0,IF(J5=Assumptions!$E$83,Assumptions!$E$84,12))*Assumptions!$C$61*Assumptions!J$9</f>
        <v>7165.04278044672</v>
      </c>
      <c r="K47" s="45" t="n">
        <f aca="false">IF(K5&lt;Assumptions!$E$83,0,IF(K5=Assumptions!$E$83,Assumptions!$E$84,12))*Assumptions!$C$61*Assumptions!K$9</f>
        <v>7308.34363605566</v>
      </c>
      <c r="L47" s="45" t="n">
        <f aca="false">IF(L5&lt;Assumptions!$E$83,0,IF(L5=Assumptions!$E$83,Assumptions!$E$84,12))*Assumptions!$C$61*Assumptions!L$9</f>
        <v>7454.51050877677</v>
      </c>
      <c r="M47" s="45" t="n">
        <f aca="false">IF(M5&lt;Assumptions!$E$83,0,IF(M5=Assumptions!$E$83,Assumptions!$E$84,12))*Assumptions!$C$61*Assumptions!M$9</f>
        <v>7603.60071895231</v>
      </c>
      <c r="N47" s="45" t="n">
        <f aca="false">IF(N5&lt;Assumptions!$E$83,0,IF(N5=Assumptions!$E$83,Assumptions!$E$84,12))*Assumptions!$C$61*Assumptions!N$9</f>
        <v>7755.67273333135</v>
      </c>
      <c r="O47" s="45" t="n">
        <f aca="false">IF(O5&lt;Assumptions!$E$83,0,IF(O5=Assumptions!$E$83,Assumptions!$E$84,12))*Assumptions!$C$61*Assumptions!O$9</f>
        <v>7910.78618799798</v>
      </c>
      <c r="P47" s="45" t="n">
        <f aca="false">IF(P5&lt;Assumptions!$E$83,0,IF(P5=Assumptions!$E$83,Assumptions!$E$84,12))*Assumptions!$C$61*Assumptions!P$9</f>
        <v>8069.00191175794</v>
      </c>
      <c r="Q47" s="45" t="n">
        <f aca="false">IF(Q5&lt;Assumptions!$E$83,0,IF(Q5=Assumptions!$E$83,Assumptions!$E$84,12))*Assumptions!$C$61*Assumptions!Q$9</f>
        <v>8230.3819499931</v>
      </c>
      <c r="R47" s="45" t="n">
        <f aca="false">IF(R5&lt;Assumptions!$E$83,0,IF(R5=Assumptions!$E$83,Assumptions!$E$84,12))*Assumptions!$C$61*Assumptions!R$9</f>
        <v>8394.98958899296</v>
      </c>
      <c r="S47" s="45" t="n">
        <f aca="false">IF(S5&lt;Assumptions!$E$83,0,IF(S5=Assumptions!$E$83,Assumptions!$E$84,12))*Assumptions!$C$61*Assumptions!S$9</f>
        <v>8562.88938077282</v>
      </c>
      <c r="T47" s="45" t="n">
        <f aca="false">IF(T5&lt;Assumptions!$E$83,0,IF(T5=Assumptions!$E$83,Assumptions!$E$84,12))*Assumptions!$C$61*Assumptions!T$9</f>
        <v>8734.14716838827</v>
      </c>
      <c r="U47" s="45" t="n">
        <f aca="false">IF(U5&lt;Assumptions!$E$83,0,IF(U5=Assumptions!$E$83,Assumptions!$E$84,12))*Assumptions!$C$61*Assumptions!U$9</f>
        <v>8908.83011175604</v>
      </c>
      <c r="V47" s="45" t="n">
        <f aca="false">IF(V5&lt;Assumptions!$E$83,0,IF(V5=Assumptions!$E$83,Assumptions!$E$84,12))*Assumptions!$C$61*Assumptions!V$9</f>
        <v>9087.00671399116</v>
      </c>
      <c r="W47" s="45" t="n">
        <f aca="false">IF(W5&lt;Assumptions!$E$83,0,IF(W5=Assumptions!$E$83,Assumptions!$E$84,12))*Assumptions!$C$61*Assumptions!W$9</f>
        <v>9268.74684827099</v>
      </c>
      <c r="X47" s="45" t="n">
        <f aca="false">IF(X5&lt;Assumptions!$E$83,0,IF(X5=Assumptions!$E$83,Assumptions!$E$84,12))*Assumptions!$C$61*Assumptions!X$9</f>
        <v>9454.1217852364</v>
      </c>
      <c r="Y47" s="45" t="n">
        <f aca="false">IF(Y5&lt;Assumptions!$E$83,0,IF(Y5=Assumptions!$E$83,Assumptions!$E$84,12))*Assumptions!$C$61*Assumptions!Y$9</f>
        <v>9643.20422094113</v>
      </c>
      <c r="Z47" s="45" t="n">
        <f aca="false">IF(Z5&lt;Assumptions!$E$83,0,IF(Z5=Assumptions!$E$83,Assumptions!$E$84,12))*Assumptions!$C$61*Assumptions!Z$9</f>
        <v>9836.06830535996</v>
      </c>
      <c r="AA47" s="45" t="n">
        <f aca="false">IF(AA5&lt;Assumptions!$E$83,0,IF(AA5=Assumptions!$E$83,Assumptions!$E$84,12))*Assumptions!$C$61*Assumptions!AA$9</f>
        <v>10032.7896714672</v>
      </c>
      <c r="AB47" s="45" t="n">
        <f aca="false">IF(AB5&lt;Assumptions!$E$83,0,IF(AB5=Assumptions!$E$83,Assumptions!$E$84,12))*Assumptions!$C$61*Assumptions!AB$9</f>
        <v>10233.4454648965</v>
      </c>
      <c r="AC47" s="45" t="n">
        <f aca="false">IF(AC5&lt;Assumptions!$E$83,0,IF(AC5=Assumptions!$E$83,Assumptions!$E$84,12))*Assumptions!$C$61*Assumptions!AC$9</f>
        <v>10438.1143741944</v>
      </c>
      <c r="AD47" s="45" t="n">
        <f aca="false">IF(AD5&lt;Assumptions!$E$83,0,IF(AD5=Assumptions!$E$83,Assumptions!$E$84,12))*Assumptions!$C$61*Assumptions!AD$9</f>
        <v>10646.8766616783</v>
      </c>
      <c r="AE47" s="45" t="n">
        <f aca="false">IF(AE5&lt;Assumptions!$E$83,0,IF(AE5=Assumptions!$E$83,Assumptions!$E$84,12))*Assumptions!$C$61*Assumptions!AE$9</f>
        <v>10859.8141949119</v>
      </c>
      <c r="AF47" s="45" t="n">
        <f aca="false">IF(AF5&lt;Assumptions!$E$83,0,IF(AF5=Assumptions!$E$83,Assumptions!$E$84,12))*Assumptions!$C$61*Assumptions!AF$9</f>
        <v>11077.0104788101</v>
      </c>
    </row>
    <row r="48" customFormat="false" ht="15" hidden="false" customHeight="true" outlineLevel="0" collapsed="false">
      <c r="B48" s="26" t="s">
        <v>331</v>
      </c>
      <c r="C48" s="27" t="n">
        <f aca="false">IF(AND(C5&gt;=Assumptions!$E$77,C5&lt;=Assumptions!$E$78),1,0)</f>
        <v>0</v>
      </c>
      <c r="D48" s="27" t="n">
        <f aca="false">IF(AND(D5&gt;=Assumptions!$E$77,D5&lt;=Assumptions!$E$78),1,0)</f>
        <v>0</v>
      </c>
      <c r="E48" s="27" t="n">
        <f aca="false">IF(AND(E5&gt;=Assumptions!$E$77,E5&lt;=Assumptions!$E$78),1,0)</f>
        <v>0</v>
      </c>
      <c r="F48" s="27" t="n">
        <f aca="false">IF(AND(F5&gt;=Assumptions!$E$77,F5&lt;=Assumptions!$E$78),1,0)</f>
        <v>0</v>
      </c>
      <c r="G48" s="27" t="n">
        <f aca="false">IF(AND(G5&gt;=Assumptions!$E$77,G5&lt;=Assumptions!$E$78),1,0)</f>
        <v>0</v>
      </c>
      <c r="H48" s="27" t="n">
        <f aca="false">IF(AND(H5&gt;=Assumptions!$E$77,H5&lt;=Assumptions!$E$78),1,0)</f>
        <v>0</v>
      </c>
      <c r="I48" s="27" t="n">
        <f aca="false">IF(AND(I5&gt;=Assumptions!$E$77,I5&lt;=Assumptions!$E$78),1,0)</f>
        <v>0</v>
      </c>
      <c r="J48" s="27" t="n">
        <f aca="false">IF(AND(J5&gt;=Assumptions!$E$77,J5&lt;=Assumptions!$E$78),1,0)</f>
        <v>0</v>
      </c>
      <c r="K48" s="27" t="n">
        <f aca="false">IF(AND(K5&gt;=Assumptions!$E$77,K5&lt;=Assumptions!$E$78),1,0)</f>
        <v>0</v>
      </c>
      <c r="L48" s="27" t="n">
        <f aca="false">IF(AND(L5&gt;=Assumptions!$E$77,L5&lt;=Assumptions!$E$78),1,0)</f>
        <v>0</v>
      </c>
      <c r="M48" s="27" t="n">
        <f aca="false">IF(AND(M5&gt;=Assumptions!$E$77,M5&lt;=Assumptions!$E$78),1,0)</f>
        <v>0</v>
      </c>
      <c r="N48" s="27" t="n">
        <f aca="false">IF(AND(N5&gt;=Assumptions!$E$77,N5&lt;=Assumptions!$E$78),1,0)</f>
        <v>0</v>
      </c>
      <c r="O48" s="27" t="n">
        <f aca="false">IF(AND(O5&gt;=Assumptions!$E$77,O5&lt;=Assumptions!$E$78),1,0)</f>
        <v>0</v>
      </c>
      <c r="P48" s="27" t="n">
        <f aca="false">IF(AND(P5&gt;=Assumptions!$E$77,P5&lt;=Assumptions!$E$78),1,0)</f>
        <v>0</v>
      </c>
      <c r="Q48" s="27" t="n">
        <f aca="false">IF(AND(Q5&gt;=Assumptions!$E$77,Q5&lt;=Assumptions!$E$78),1,0)</f>
        <v>0</v>
      </c>
      <c r="R48" s="27" t="n">
        <f aca="false">IF(AND(R5&gt;=Assumptions!$E$77,R5&lt;=Assumptions!$E$78),1,0)</f>
        <v>0</v>
      </c>
      <c r="S48" s="27" t="n">
        <f aca="false">IF(AND(S5&gt;=Assumptions!$E$77,S5&lt;=Assumptions!$E$78),1,0)</f>
        <v>0</v>
      </c>
      <c r="T48" s="27" t="n">
        <f aca="false">IF(AND(T5&gt;=Assumptions!$E$77,T5&lt;=Assumptions!$E$78),1,0)</f>
        <v>0</v>
      </c>
      <c r="U48" s="27" t="n">
        <f aca="false">IF(AND(U5&gt;=Assumptions!$E$77,U5&lt;=Assumptions!$E$78),1,0)</f>
        <v>0</v>
      </c>
      <c r="V48" s="27" t="n">
        <f aca="false">IF(AND(V5&gt;=Assumptions!$E$77,V5&lt;=Assumptions!$E$78),1,0)</f>
        <v>1</v>
      </c>
      <c r="W48" s="27" t="n">
        <f aca="false">IF(AND(W5&gt;=Assumptions!$E$77,W5&lt;=Assumptions!$E$78),1,0)</f>
        <v>1</v>
      </c>
      <c r="X48" s="27" t="n">
        <f aca="false">IF(AND(X5&gt;=Assumptions!$E$77,X5&lt;=Assumptions!$E$78),1,0)</f>
        <v>1</v>
      </c>
      <c r="Y48" s="27" t="n">
        <f aca="false">IF(AND(Y5&gt;=Assumptions!$E$77,Y5&lt;=Assumptions!$E$78),1,0)</f>
        <v>0</v>
      </c>
      <c r="Z48" s="27" t="n">
        <f aca="false">IF(AND(Z5&gt;=Assumptions!$E$77,Z5&lt;=Assumptions!$E$78),1,0)</f>
        <v>0</v>
      </c>
      <c r="AA48" s="27" t="n">
        <f aca="false">IF(AND(AA5&gt;=Assumptions!$E$77,AA5&lt;=Assumptions!$E$78),1,0)</f>
        <v>0</v>
      </c>
      <c r="AB48" s="27" t="n">
        <f aca="false">IF(AND(AB5&gt;=Assumptions!$E$77,AB5&lt;=Assumptions!$E$78),1,0)</f>
        <v>0</v>
      </c>
      <c r="AC48" s="27" t="n">
        <f aca="false">IF(AND(AC5&gt;=Assumptions!$E$77,AC5&lt;=Assumptions!$E$78),1,0)</f>
        <v>0</v>
      </c>
      <c r="AD48" s="27" t="n">
        <f aca="false">IF(AND(AD5&gt;=Assumptions!$E$77,AD5&lt;=Assumptions!$E$78),1,0)</f>
        <v>0</v>
      </c>
      <c r="AE48" s="27" t="n">
        <f aca="false">IF(AND(AE5&gt;=Assumptions!$E$77,AE5&lt;=Assumptions!$E$78),1,0)</f>
        <v>0</v>
      </c>
      <c r="AF48" s="27" t="n">
        <f aca="false">IF(AND(AF5&gt;=Assumptions!$E$77,AF5&lt;=Assumptions!$E$78),1,0)</f>
        <v>0</v>
      </c>
    </row>
    <row r="49" customFormat="false" ht="15" hidden="false" customHeight="true" outlineLevel="0" collapsed="false">
      <c r="B49" s="26" t="s">
        <v>332</v>
      </c>
      <c r="C49" s="45" t="n">
        <f aca="false">C48*C17</f>
        <v>0</v>
      </c>
      <c r="D49" s="45" t="n">
        <f aca="false">D48*D17</f>
        <v>0</v>
      </c>
      <c r="E49" s="45" t="n">
        <f aca="false">E48*E17</f>
        <v>0</v>
      </c>
      <c r="F49" s="45" t="n">
        <f aca="false">F48*F17</f>
        <v>0</v>
      </c>
      <c r="G49" s="45" t="n">
        <f aca="false">G48*G17</f>
        <v>0</v>
      </c>
      <c r="H49" s="45" t="n">
        <f aca="false">H48*H17</f>
        <v>0</v>
      </c>
      <c r="I49" s="45" t="n">
        <f aca="false">I48*I17</f>
        <v>0</v>
      </c>
      <c r="J49" s="45" t="n">
        <f aca="false">J48*J17</f>
        <v>0</v>
      </c>
      <c r="K49" s="45" t="n">
        <f aca="false">K48*K17</f>
        <v>0</v>
      </c>
      <c r="L49" s="45" t="n">
        <f aca="false">L48*L17</f>
        <v>0</v>
      </c>
      <c r="M49" s="45" t="n">
        <f aca="false">M48*M17</f>
        <v>0</v>
      </c>
      <c r="N49" s="45" t="n">
        <f aca="false">N48*N17</f>
        <v>0</v>
      </c>
      <c r="O49" s="45" t="n">
        <f aca="false">O48*O17</f>
        <v>0</v>
      </c>
      <c r="P49" s="45" t="n">
        <f aca="false">P48*P17</f>
        <v>0</v>
      </c>
      <c r="Q49" s="45" t="n">
        <f aca="false">Q48*Q17</f>
        <v>0</v>
      </c>
      <c r="R49" s="45" t="n">
        <f aca="false">R48*R17</f>
        <v>0</v>
      </c>
      <c r="S49" s="45" t="n">
        <f aca="false">S48*S17</f>
        <v>0</v>
      </c>
      <c r="T49" s="45" t="n">
        <f aca="false">T48*T17</f>
        <v>0</v>
      </c>
      <c r="U49" s="45" t="n">
        <f aca="false">U48*U17</f>
        <v>0</v>
      </c>
      <c r="V49" s="45" t="n">
        <f aca="false">V48*V17</f>
        <v>38544.0534785125</v>
      </c>
      <c r="W49" s="45" t="n">
        <f aca="false">W48*W17</f>
        <v>39314.9345480828</v>
      </c>
      <c r="X49" s="45" t="n">
        <f aca="false">X48*X17</f>
        <v>40101.2332390444</v>
      </c>
      <c r="Y49" s="45" t="n">
        <f aca="false">Y48*Y17</f>
        <v>0</v>
      </c>
      <c r="Z49" s="45" t="n">
        <f aca="false">Z48*Z17</f>
        <v>0</v>
      </c>
      <c r="AA49" s="45" t="n">
        <f aca="false">AA48*AA17</f>
        <v>0</v>
      </c>
      <c r="AB49" s="45" t="n">
        <f aca="false">AB48*AB17</f>
        <v>0</v>
      </c>
      <c r="AC49" s="45" t="n">
        <f aca="false">AC48*AC17</f>
        <v>0</v>
      </c>
      <c r="AD49" s="45" t="n">
        <f aca="false">AD48*AD17</f>
        <v>0</v>
      </c>
      <c r="AE49" s="45" t="n">
        <f aca="false">AE48*AE17</f>
        <v>0</v>
      </c>
      <c r="AF49" s="45" t="n">
        <f aca="false">AF48*AF17</f>
        <v>0</v>
      </c>
    </row>
    <row r="50" customFormat="false" ht="15" hidden="false" customHeight="true" outlineLevel="0" collapsed="false">
      <c r="B50" s="26" t="s">
        <v>333</v>
      </c>
      <c r="C50" s="45" t="n">
        <f aca="false">Assumptions!$E$79</f>
        <v>0</v>
      </c>
      <c r="D50" s="45" t="n">
        <f aca="false">C54</f>
        <v>0</v>
      </c>
      <c r="E50" s="45" t="n">
        <f aca="false">D54</f>
        <v>0</v>
      </c>
      <c r="F50" s="45" t="n">
        <f aca="false">E54</f>
        <v>9000</v>
      </c>
      <c r="G50" s="45" t="n">
        <f aca="false">F54</f>
        <v>18900</v>
      </c>
      <c r="H50" s="45" t="n">
        <f aca="false">G54</f>
        <v>29790</v>
      </c>
      <c r="I50" s="45" t="n">
        <f aca="false">H54</f>
        <v>41769</v>
      </c>
      <c r="J50" s="45" t="n">
        <f aca="false">I54</f>
        <v>54945.9</v>
      </c>
      <c r="K50" s="45" t="n">
        <f aca="false">J54</f>
        <v>69440.49</v>
      </c>
      <c r="L50" s="45" t="n">
        <f aca="false">K54</f>
        <v>85384.539</v>
      </c>
      <c r="M50" s="45" t="n">
        <f aca="false">L54</f>
        <v>102922.9929</v>
      </c>
      <c r="N50" s="45" t="n">
        <f aca="false">M54</f>
        <v>122215.29219</v>
      </c>
      <c r="O50" s="45" t="n">
        <f aca="false">N54</f>
        <v>143436.821409</v>
      </c>
      <c r="P50" s="45" t="n">
        <f aca="false">O54</f>
        <v>166780.5035499</v>
      </c>
      <c r="Q50" s="45" t="n">
        <f aca="false">P54</f>
        <v>192458.55390489</v>
      </c>
      <c r="R50" s="45" t="n">
        <f aca="false">Q54</f>
        <v>220704.409295379</v>
      </c>
      <c r="S50" s="45" t="n">
        <f aca="false">R54</f>
        <v>251774.850224917</v>
      </c>
      <c r="T50" s="45" t="n">
        <f aca="false">S54</f>
        <v>285952.335247409</v>
      </c>
      <c r="U50" s="45" t="n">
        <f aca="false">T54</f>
        <v>323547.568772149</v>
      </c>
      <c r="V50" s="45" t="n">
        <f aca="false">U54</f>
        <v>364902.325649364</v>
      </c>
      <c r="W50" s="45" t="n">
        <f aca="false">V54</f>
        <v>362848.504735788</v>
      </c>
      <c r="X50" s="45" t="n">
        <f aca="false">W54</f>
        <v>359818.420661284</v>
      </c>
      <c r="Y50" s="45" t="n">
        <f aca="false">X54</f>
        <v>355699.029488368</v>
      </c>
      <c r="Z50" s="45" t="n">
        <f aca="false">Y54</f>
        <v>391268.932437205</v>
      </c>
      <c r="AA50" s="45" t="n">
        <f aca="false">Z54</f>
        <v>430395.825680926</v>
      </c>
      <c r="AB50" s="45" t="n">
        <f aca="false">AA54</f>
        <v>473435.408249018</v>
      </c>
      <c r="AC50" s="45" t="n">
        <f aca="false">AB54</f>
        <v>520778.94907392</v>
      </c>
      <c r="AD50" s="45" t="n">
        <f aca="false">AC54</f>
        <v>572856.843981312</v>
      </c>
      <c r="AE50" s="45" t="n">
        <f aca="false">AD54</f>
        <v>630142.528379444</v>
      </c>
      <c r="AF50" s="45" t="n">
        <f aca="false">AE54</f>
        <v>693156.781217388</v>
      </c>
    </row>
    <row r="51" customFormat="false" ht="15" hidden="false" customHeight="true" outlineLevel="0" collapsed="false">
      <c r="B51" s="49" t="s">
        <v>315</v>
      </c>
      <c r="C51" s="45" t="n">
        <f aca="false">IF(AND(C5&gt;=Assumptions!$E$81,C5&lt;=Assumptions!$E$82),MIN(Assumptions!$E$80,Tax_Bands!C$17),0)</f>
        <v>0</v>
      </c>
      <c r="D51" s="45" t="n">
        <f aca="false">IF(AND(D5&gt;=Assumptions!$E$81,D5&lt;=Assumptions!$E$82),MIN(Assumptions!$E$80,Tax_Bands!D$17),0)</f>
        <v>0</v>
      </c>
      <c r="E51" s="45" t="n">
        <f aca="false">IF(AND(E5&gt;=Assumptions!$E$81,E5&lt;=Assumptions!$E$82),MIN(Assumptions!$E$80,Tax_Bands!E$17),0)</f>
        <v>9000</v>
      </c>
      <c r="F51" s="45" t="n">
        <f aca="false">IF(AND(F5&gt;=Assumptions!$E$81,F5&lt;=Assumptions!$E$82),MIN(Assumptions!$E$80,Tax_Bands!F$17),0)</f>
        <v>9000</v>
      </c>
      <c r="G51" s="45" t="n">
        <f aca="false">IF(AND(G5&gt;=Assumptions!$E$81,G5&lt;=Assumptions!$E$82),MIN(Assumptions!$E$80,Tax_Bands!G$17),0)</f>
        <v>9000</v>
      </c>
      <c r="H51" s="45" t="n">
        <f aca="false">IF(AND(H5&gt;=Assumptions!$E$81,H5&lt;=Assumptions!$E$82),MIN(Assumptions!$E$80,Tax_Bands!H$17),0)</f>
        <v>9000</v>
      </c>
      <c r="I51" s="45" t="n">
        <f aca="false">IF(AND(I5&gt;=Assumptions!$E$81,I5&lt;=Assumptions!$E$82),MIN(Assumptions!$E$80,Tax_Bands!I$17),0)</f>
        <v>9000</v>
      </c>
      <c r="J51" s="45" t="n">
        <f aca="false">IF(AND(J5&gt;=Assumptions!$E$81,J5&lt;=Assumptions!$E$82),MIN(Assumptions!$E$80,Tax_Bands!J$17),0)</f>
        <v>9000</v>
      </c>
      <c r="K51" s="45" t="n">
        <f aca="false">IF(AND(K5&gt;=Assumptions!$E$81,K5&lt;=Assumptions!$E$82),MIN(Assumptions!$E$80,Tax_Bands!K$17),0)</f>
        <v>9000</v>
      </c>
      <c r="L51" s="45" t="n">
        <f aca="false">IF(AND(L5&gt;=Assumptions!$E$81,L5&lt;=Assumptions!$E$82),MIN(Assumptions!$E$80,Tax_Bands!L$17),0)</f>
        <v>9000</v>
      </c>
      <c r="M51" s="45" t="n">
        <f aca="false">IF(AND(M5&gt;=Assumptions!$E$81,M5&lt;=Assumptions!$E$82),MIN(Assumptions!$E$80,Tax_Bands!M$17),0)</f>
        <v>9000</v>
      </c>
      <c r="N51" s="45" t="n">
        <f aca="false">IF(AND(N5&gt;=Assumptions!$E$81,N5&lt;=Assumptions!$E$82),MIN(Assumptions!$E$80,Tax_Bands!N$17),0)</f>
        <v>9000</v>
      </c>
      <c r="O51" s="45" t="n">
        <f aca="false">IF(AND(O5&gt;=Assumptions!$E$81,O5&lt;=Assumptions!$E$82),MIN(Assumptions!$E$80,Tax_Bands!O$17),0)</f>
        <v>9000</v>
      </c>
      <c r="P51" s="45" t="n">
        <f aca="false">IF(AND(P5&gt;=Assumptions!$E$81,P5&lt;=Assumptions!$E$82),MIN(Assumptions!$E$80,Tax_Bands!P$17),0)</f>
        <v>9000</v>
      </c>
      <c r="Q51" s="45" t="n">
        <f aca="false">IF(AND(Q5&gt;=Assumptions!$E$81,Q5&lt;=Assumptions!$E$82),MIN(Assumptions!$E$80,Tax_Bands!Q$17),0)</f>
        <v>9000</v>
      </c>
      <c r="R51" s="45" t="n">
        <f aca="false">IF(AND(R5&gt;=Assumptions!$E$81,R5&lt;=Assumptions!$E$82),MIN(Assumptions!$E$80,Tax_Bands!R$17),0)</f>
        <v>9000</v>
      </c>
      <c r="S51" s="45" t="n">
        <f aca="false">IF(AND(S5&gt;=Assumptions!$E$81,S5&lt;=Assumptions!$E$82),MIN(Assumptions!$E$80,Tax_Bands!S$17),0)</f>
        <v>9000</v>
      </c>
      <c r="T51" s="45" t="n">
        <f aca="false">IF(AND(T5&gt;=Assumptions!$E$81,T5&lt;=Assumptions!$E$82),MIN(Assumptions!$E$80,Tax_Bands!T$17),0)</f>
        <v>9000</v>
      </c>
      <c r="U51" s="45" t="n">
        <f aca="false">IF(AND(U5&gt;=Assumptions!$E$81,U5&lt;=Assumptions!$E$82),MIN(Assumptions!$E$80,Tax_Bands!U$17),0)</f>
        <v>9000</v>
      </c>
      <c r="V51" s="45" t="n">
        <f aca="false">IF(AND(V5&gt;=Assumptions!$E$81,V5&lt;=Assumptions!$E$82),MIN(Assumptions!$E$80,Tax_Bands!V$17),0)</f>
        <v>0</v>
      </c>
      <c r="W51" s="45" t="n">
        <f aca="false">IF(AND(W5&gt;=Assumptions!$E$81,W5&lt;=Assumptions!$E$82),MIN(Assumptions!$E$80,Tax_Bands!W$17),0)</f>
        <v>0</v>
      </c>
      <c r="X51" s="45" t="n">
        <f aca="false">IF(AND(X5&gt;=Assumptions!$E$81,X5&lt;=Assumptions!$E$82),MIN(Assumptions!$E$80,Tax_Bands!X$17),0)</f>
        <v>0</v>
      </c>
      <c r="Y51" s="45" t="n">
        <f aca="false">IF(AND(Y5&gt;=Assumptions!$E$81,Y5&lt;=Assumptions!$E$82),MIN(Assumptions!$E$80,Tax_Bands!Y$17),0)</f>
        <v>0</v>
      </c>
      <c r="Z51" s="45" t="n">
        <f aca="false">IF(AND(Z5&gt;=Assumptions!$E$81,Z5&lt;=Assumptions!$E$82),MIN(Assumptions!$E$80,Tax_Bands!Z$17),0)</f>
        <v>0</v>
      </c>
      <c r="AA51" s="45" t="n">
        <f aca="false">IF(AND(AA5&gt;=Assumptions!$E$81,AA5&lt;=Assumptions!$E$82),MIN(Assumptions!$E$80,Tax_Bands!AA$17),0)</f>
        <v>0</v>
      </c>
      <c r="AB51" s="45" t="n">
        <f aca="false">IF(AND(AB5&gt;=Assumptions!$E$81,AB5&lt;=Assumptions!$E$82),MIN(Assumptions!$E$80,Tax_Bands!AB$17),0)</f>
        <v>0</v>
      </c>
      <c r="AC51" s="45" t="n">
        <f aca="false">IF(AND(AC5&gt;=Assumptions!$E$81,AC5&lt;=Assumptions!$E$82),MIN(Assumptions!$E$80,Tax_Bands!AC$17),0)</f>
        <v>0</v>
      </c>
      <c r="AD51" s="45" t="n">
        <f aca="false">IF(AND(AD5&gt;=Assumptions!$E$81,AD5&lt;=Assumptions!$E$82),MIN(Assumptions!$E$80,Tax_Bands!AD$17),0)</f>
        <v>0</v>
      </c>
      <c r="AE51" s="45" t="n">
        <f aca="false">IF(AND(AE5&gt;=Assumptions!$E$81,AE5&lt;=Assumptions!$E$82),MIN(Assumptions!$E$80,Tax_Bands!AE$17),0)</f>
        <v>0</v>
      </c>
      <c r="AF51" s="45" t="n">
        <f aca="false">IF(AND(AF5&gt;=Assumptions!$E$81,AF5&lt;=Assumptions!$E$82),MIN(Assumptions!$E$80,Tax_Bands!AF$17),0)</f>
        <v>0</v>
      </c>
    </row>
    <row r="52" customFormat="false" ht="15" hidden="false" customHeight="true" outlineLevel="0" collapsed="false">
      <c r="B52" s="49" t="s">
        <v>283</v>
      </c>
      <c r="C52" s="45" t="n">
        <f aca="false">C50*Assumptions!$C$27</f>
        <v>0</v>
      </c>
      <c r="D52" s="45" t="n">
        <f aca="false">D50*Assumptions!$C$27</f>
        <v>0</v>
      </c>
      <c r="E52" s="45" t="n">
        <f aca="false">E50*Assumptions!$C$27</f>
        <v>0</v>
      </c>
      <c r="F52" s="45" t="n">
        <f aca="false">F50*Assumptions!$C$27</f>
        <v>900</v>
      </c>
      <c r="G52" s="45" t="n">
        <f aca="false">G50*Assumptions!$C$27</f>
        <v>1890</v>
      </c>
      <c r="H52" s="45" t="n">
        <f aca="false">H50*Assumptions!$C$27</f>
        <v>2979</v>
      </c>
      <c r="I52" s="45" t="n">
        <f aca="false">I50*Assumptions!$C$27</f>
        <v>4176.9</v>
      </c>
      <c r="J52" s="45" t="n">
        <f aca="false">J50*Assumptions!$C$27</f>
        <v>5494.59</v>
      </c>
      <c r="K52" s="45" t="n">
        <f aca="false">K50*Assumptions!$C$27</f>
        <v>6944.049</v>
      </c>
      <c r="L52" s="45" t="n">
        <f aca="false">L50*Assumptions!$C$27</f>
        <v>8538.4539</v>
      </c>
      <c r="M52" s="45" t="n">
        <f aca="false">M50*Assumptions!$C$27</f>
        <v>10292.29929</v>
      </c>
      <c r="N52" s="45" t="n">
        <f aca="false">N50*Assumptions!$C$27</f>
        <v>12221.529219</v>
      </c>
      <c r="O52" s="45" t="n">
        <f aca="false">O50*Assumptions!$C$27</f>
        <v>14343.6821409</v>
      </c>
      <c r="P52" s="45" t="n">
        <f aca="false">P50*Assumptions!$C$27</f>
        <v>16678.05035499</v>
      </c>
      <c r="Q52" s="45" t="n">
        <f aca="false">Q50*Assumptions!$C$27</f>
        <v>19245.855390489</v>
      </c>
      <c r="R52" s="45" t="n">
        <f aca="false">R50*Assumptions!$C$27</f>
        <v>22070.4409295379</v>
      </c>
      <c r="S52" s="45" t="n">
        <f aca="false">S50*Assumptions!$C$27</f>
        <v>25177.4850224917</v>
      </c>
      <c r="T52" s="45" t="n">
        <f aca="false">T50*Assumptions!$C$27</f>
        <v>28595.2335247409</v>
      </c>
      <c r="U52" s="45" t="n">
        <f aca="false">U50*Assumptions!$C$27</f>
        <v>32354.7568772149</v>
      </c>
      <c r="V52" s="45" t="n">
        <f aca="false">V50*Assumptions!$C$27</f>
        <v>36490.2325649364</v>
      </c>
      <c r="W52" s="45" t="n">
        <f aca="false">W50*Assumptions!$C$27</f>
        <v>36284.8504735788</v>
      </c>
      <c r="X52" s="45" t="n">
        <f aca="false">X50*Assumptions!$C$27</f>
        <v>35981.8420661284</v>
      </c>
      <c r="Y52" s="45" t="n">
        <f aca="false">Y50*Assumptions!$C$27</f>
        <v>35569.9029488369</v>
      </c>
      <c r="Z52" s="45" t="n">
        <f aca="false">Z50*Assumptions!$C$27</f>
        <v>39126.8932437205</v>
      </c>
      <c r="AA52" s="45" t="n">
        <f aca="false">AA50*Assumptions!$C$27</f>
        <v>43039.5825680926</v>
      </c>
      <c r="AB52" s="45" t="n">
        <f aca="false">AB50*Assumptions!$C$27</f>
        <v>47343.5408249018</v>
      </c>
      <c r="AC52" s="45" t="n">
        <f aca="false">AC50*Assumptions!$C$27</f>
        <v>52077.894907392</v>
      </c>
      <c r="AD52" s="45" t="n">
        <f aca="false">AD50*Assumptions!$C$27</f>
        <v>57285.6843981312</v>
      </c>
      <c r="AE52" s="45" t="n">
        <f aca="false">AE50*Assumptions!$C$27</f>
        <v>63014.2528379444</v>
      </c>
      <c r="AF52" s="45" t="n">
        <f aca="false">AF50*Assumptions!$C$27</f>
        <v>69315.6781217388</v>
      </c>
    </row>
    <row r="53" customFormat="false" ht="15" hidden="false" customHeight="true" outlineLevel="0" collapsed="false">
      <c r="B53" s="49" t="s">
        <v>316</v>
      </c>
      <c r="C53" s="45" t="n">
        <f aca="false">MIN(C50+C51+C52,C49)</f>
        <v>0</v>
      </c>
      <c r="D53" s="45" t="n">
        <f aca="false">MIN(D50+D51+D52,D49)</f>
        <v>0</v>
      </c>
      <c r="E53" s="45" t="n">
        <f aca="false">MIN(E50+E51+E52,E49)</f>
        <v>0</v>
      </c>
      <c r="F53" s="45" t="n">
        <f aca="false">MIN(F50+F51+F52,F49)</f>
        <v>0</v>
      </c>
      <c r="G53" s="45" t="n">
        <f aca="false">MIN(G50+G51+G52,G49)</f>
        <v>0</v>
      </c>
      <c r="H53" s="45" t="n">
        <f aca="false">MIN(H50+H51+H52,H49)</f>
        <v>0</v>
      </c>
      <c r="I53" s="45" t="n">
        <f aca="false">MIN(I50+I51+I52,I49)</f>
        <v>0</v>
      </c>
      <c r="J53" s="45" t="n">
        <f aca="false">MIN(J50+J51+J52,J49)</f>
        <v>0</v>
      </c>
      <c r="K53" s="45" t="n">
        <f aca="false">MIN(K50+K51+K52,K49)</f>
        <v>0</v>
      </c>
      <c r="L53" s="45" t="n">
        <f aca="false">MIN(L50+L51+L52,L49)</f>
        <v>0</v>
      </c>
      <c r="M53" s="45" t="n">
        <f aca="false">MIN(M50+M51+M52,M49)</f>
        <v>0</v>
      </c>
      <c r="N53" s="45" t="n">
        <f aca="false">MIN(N50+N51+N52,N49)</f>
        <v>0</v>
      </c>
      <c r="O53" s="45" t="n">
        <f aca="false">MIN(O50+O51+O52,O49)</f>
        <v>0</v>
      </c>
      <c r="P53" s="45" t="n">
        <f aca="false">MIN(P50+P51+P52,P49)</f>
        <v>0</v>
      </c>
      <c r="Q53" s="45" t="n">
        <f aca="false">MIN(Q50+Q51+Q52,Q49)</f>
        <v>0</v>
      </c>
      <c r="R53" s="45" t="n">
        <f aca="false">MIN(R50+R51+R52,R49)</f>
        <v>0</v>
      </c>
      <c r="S53" s="45" t="n">
        <f aca="false">MIN(S50+S51+S52,S49)</f>
        <v>0</v>
      </c>
      <c r="T53" s="45" t="n">
        <f aca="false">MIN(T50+T51+T52,T49)</f>
        <v>0</v>
      </c>
      <c r="U53" s="45" t="n">
        <f aca="false">MIN(U50+U51+U52,U49)</f>
        <v>0</v>
      </c>
      <c r="V53" s="45" t="n">
        <f aca="false">MIN(V50+V51+V52,V49)</f>
        <v>38544.0534785125</v>
      </c>
      <c r="W53" s="45" t="n">
        <f aca="false">MIN(W50+W51+W52,W49)</f>
        <v>39314.9345480828</v>
      </c>
      <c r="X53" s="45" t="n">
        <f aca="false">MIN(X50+X51+X52,X49)</f>
        <v>40101.2332390444</v>
      </c>
      <c r="Y53" s="45" t="n">
        <f aca="false">MIN(Y50+Y51+Y52,Y49)</f>
        <v>0</v>
      </c>
      <c r="Z53" s="45" t="n">
        <f aca="false">MIN(Z50+Z51+Z52,Z49)</f>
        <v>0</v>
      </c>
      <c r="AA53" s="45" t="n">
        <f aca="false">MIN(AA50+AA51+AA52,AA49)</f>
        <v>0</v>
      </c>
      <c r="AB53" s="45" t="n">
        <f aca="false">MIN(AB50+AB51+AB52,AB49)</f>
        <v>0</v>
      </c>
      <c r="AC53" s="45" t="n">
        <f aca="false">MIN(AC50+AC51+AC52,AC49)</f>
        <v>0</v>
      </c>
      <c r="AD53" s="45" t="n">
        <f aca="false">MIN(AD50+AD51+AD52,AD49)</f>
        <v>0</v>
      </c>
      <c r="AE53" s="45" t="n">
        <f aca="false">MIN(AE50+AE51+AE52,AE49)</f>
        <v>0</v>
      </c>
      <c r="AF53" s="45" t="n">
        <f aca="false">MIN(AF50+AF51+AF52,AF49)</f>
        <v>0</v>
      </c>
    </row>
    <row r="54" customFormat="false" ht="15" hidden="false" customHeight="true" outlineLevel="0" collapsed="false">
      <c r="B54" s="24" t="s">
        <v>334</v>
      </c>
      <c r="C54" s="50" t="n">
        <f aca="false">C50+C51+C52-C53</f>
        <v>0</v>
      </c>
      <c r="D54" s="50" t="n">
        <f aca="false">D50+D51+D52-D53</f>
        <v>0</v>
      </c>
      <c r="E54" s="50" t="n">
        <f aca="false">E50+E51+E52-E53</f>
        <v>9000</v>
      </c>
      <c r="F54" s="50" t="n">
        <f aca="false">F50+F51+F52-F53</f>
        <v>18900</v>
      </c>
      <c r="G54" s="50" t="n">
        <f aca="false">G50+G51+G52-G53</f>
        <v>29790</v>
      </c>
      <c r="H54" s="50" t="n">
        <f aca="false">H50+H51+H52-H53</f>
        <v>41769</v>
      </c>
      <c r="I54" s="50" t="n">
        <f aca="false">I50+I51+I52-I53</f>
        <v>54945.9</v>
      </c>
      <c r="J54" s="50" t="n">
        <f aca="false">J50+J51+J52-J53</f>
        <v>69440.49</v>
      </c>
      <c r="K54" s="50" t="n">
        <f aca="false">K50+K51+K52-K53</f>
        <v>85384.539</v>
      </c>
      <c r="L54" s="50" t="n">
        <f aca="false">L50+L51+L52-L53</f>
        <v>102922.9929</v>
      </c>
      <c r="M54" s="50" t="n">
        <f aca="false">M50+M51+M52-M53</f>
        <v>122215.29219</v>
      </c>
      <c r="N54" s="50" t="n">
        <f aca="false">N50+N51+N52-N53</f>
        <v>143436.821409</v>
      </c>
      <c r="O54" s="50" t="n">
        <f aca="false">O50+O51+O52-O53</f>
        <v>166780.5035499</v>
      </c>
      <c r="P54" s="50" t="n">
        <f aca="false">P50+P51+P52-P53</f>
        <v>192458.55390489</v>
      </c>
      <c r="Q54" s="50" t="n">
        <f aca="false">Q50+Q51+Q52-Q53</f>
        <v>220704.409295379</v>
      </c>
      <c r="R54" s="50" t="n">
        <f aca="false">R50+R51+R52-R53</f>
        <v>251774.850224917</v>
      </c>
      <c r="S54" s="50" t="n">
        <f aca="false">S50+S51+S52-S53</f>
        <v>285952.335247409</v>
      </c>
      <c r="T54" s="50" t="n">
        <f aca="false">T50+T51+T52-T53</f>
        <v>323547.568772149</v>
      </c>
      <c r="U54" s="50" t="n">
        <f aca="false">U50+U51+U52-U53</f>
        <v>364902.325649364</v>
      </c>
      <c r="V54" s="50" t="n">
        <f aca="false">V50+V51+V52-V53</f>
        <v>362848.504735788</v>
      </c>
      <c r="W54" s="50" t="n">
        <f aca="false">W50+W51+W52-W53</f>
        <v>359818.420661284</v>
      </c>
      <c r="X54" s="50" t="n">
        <f aca="false">X50+X51+X52-X53</f>
        <v>355699.029488368</v>
      </c>
      <c r="Y54" s="50" t="n">
        <f aca="false">Y50+Y51+Y52-Y53</f>
        <v>391268.932437205</v>
      </c>
      <c r="Z54" s="50" t="n">
        <f aca="false">Z50+Z51+Z52-Z53</f>
        <v>430395.825680926</v>
      </c>
      <c r="AA54" s="50" t="n">
        <f aca="false">AA50+AA51+AA52-AA53</f>
        <v>473435.408249018</v>
      </c>
      <c r="AB54" s="50" t="n">
        <f aca="false">AB50+AB51+AB52-AB53</f>
        <v>520778.94907392</v>
      </c>
      <c r="AC54" s="50" t="n">
        <f aca="false">AC50+AC51+AC52-AC53</f>
        <v>572856.843981312</v>
      </c>
      <c r="AD54" s="50" t="n">
        <f aca="false">AD50+AD51+AD52-AD53</f>
        <v>630142.528379444</v>
      </c>
      <c r="AE54" s="50" t="n">
        <f aca="false">AE50+AE51+AE52-AE53</f>
        <v>693156.781217388</v>
      </c>
      <c r="AF54" s="50" t="n">
        <f aca="false">AF50+AF51+AF52-AF53</f>
        <v>762472.459339127</v>
      </c>
    </row>
    <row r="55" customFormat="false" ht="15" hidden="false" customHeight="true" outlineLevel="0" collapsed="false">
      <c r="B55" s="24" t="s">
        <v>335</v>
      </c>
      <c r="C55" s="50" t="n">
        <f aca="false">C49-C53</f>
        <v>0</v>
      </c>
      <c r="D55" s="50" t="n">
        <f aca="false">D49-D53</f>
        <v>0</v>
      </c>
      <c r="E55" s="50" t="n">
        <f aca="false">E49-E53</f>
        <v>0</v>
      </c>
      <c r="F55" s="50" t="n">
        <f aca="false">F49-F53</f>
        <v>0</v>
      </c>
      <c r="G55" s="50" t="n">
        <f aca="false">G49-G53</f>
        <v>0</v>
      </c>
      <c r="H55" s="50" t="n">
        <f aca="false">H49-H53</f>
        <v>0</v>
      </c>
      <c r="I55" s="50" t="n">
        <f aca="false">I49-I53</f>
        <v>0</v>
      </c>
      <c r="J55" s="50" t="n">
        <f aca="false">J49-J53</f>
        <v>0</v>
      </c>
      <c r="K55" s="50" t="n">
        <f aca="false">K49-K53</f>
        <v>0</v>
      </c>
      <c r="L55" s="50" t="n">
        <f aca="false">L49-L53</f>
        <v>0</v>
      </c>
      <c r="M55" s="50" t="n">
        <f aca="false">M49-M53</f>
        <v>0</v>
      </c>
      <c r="N55" s="50" t="n">
        <f aca="false">N49-N53</f>
        <v>0</v>
      </c>
      <c r="O55" s="50" t="n">
        <f aca="false">O49-O53</f>
        <v>0</v>
      </c>
      <c r="P55" s="50" t="n">
        <f aca="false">P49-P53</f>
        <v>0</v>
      </c>
      <c r="Q55" s="50" t="n">
        <f aca="false">Q49-Q53</f>
        <v>0</v>
      </c>
      <c r="R55" s="50" t="n">
        <f aca="false">R49-R53</f>
        <v>0</v>
      </c>
      <c r="S55" s="50" t="n">
        <f aca="false">S49-S53</f>
        <v>0</v>
      </c>
      <c r="T55" s="50" t="n">
        <f aca="false">T49-T53</f>
        <v>0</v>
      </c>
      <c r="U55" s="50" t="n">
        <f aca="false">U49-U53</f>
        <v>0</v>
      </c>
      <c r="V55" s="50" t="n">
        <f aca="false">V49-V53</f>
        <v>0</v>
      </c>
      <c r="W55" s="50" t="n">
        <f aca="false">W49-W53</f>
        <v>0</v>
      </c>
      <c r="X55" s="50" t="n">
        <f aca="false">X49-X53</f>
        <v>0</v>
      </c>
      <c r="Y55" s="50" t="n">
        <f aca="false">Y49-Y53</f>
        <v>0</v>
      </c>
      <c r="Z55" s="50" t="n">
        <f aca="false">Z49-Z53</f>
        <v>0</v>
      </c>
      <c r="AA55" s="50" t="n">
        <f aca="false">AA49-AA53</f>
        <v>0</v>
      </c>
      <c r="AB55" s="50" t="n">
        <f aca="false">AB49-AB53</f>
        <v>0</v>
      </c>
      <c r="AC55" s="50" t="n">
        <f aca="false">AC49-AC53</f>
        <v>0</v>
      </c>
      <c r="AD55" s="50" t="n">
        <f aca="false">AD49-AD53</f>
        <v>0</v>
      </c>
      <c r="AE55" s="50" t="n">
        <f aca="false">AE49-AE53</f>
        <v>0</v>
      </c>
      <c r="AF55" s="50" t="n">
        <f aca="false">AF49-AF53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48"/>
    <col collapsed="false" customWidth="true" hidden="false" outlineLevel="0" max="32" min="3" style="20" width="13"/>
  </cols>
  <sheetData>
    <row r="1" customFormat="false" ht="17.25" hidden="false" customHeight="true" outlineLevel="0" collapsed="false">
      <c r="A1" s="21" t="s">
        <v>336</v>
      </c>
    </row>
    <row r="2" customFormat="false" ht="15" hidden="false" customHeight="true" outlineLevel="0" collapsed="false">
      <c r="A2" s="22" t="s">
        <v>337</v>
      </c>
    </row>
    <row r="4" customFormat="false" ht="15" hidden="false" customHeight="true" outlineLevel="0" collapsed="false">
      <c r="A4" s="23" t="s">
        <v>300</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row>
    <row r="5" customFormat="false" ht="15" hidden="false" customHeight="true" outlineLevel="0" collapsed="false">
      <c r="B5" s="24" t="s">
        <v>123</v>
      </c>
      <c r="C5" s="25" t="n">
        <v>2026</v>
      </c>
      <c r="D5" s="25" t="n">
        <v>2027</v>
      </c>
      <c r="E5" s="25" t="n">
        <v>2028</v>
      </c>
      <c r="F5" s="25" t="n">
        <v>2029</v>
      </c>
      <c r="G5" s="25" t="n">
        <v>2030</v>
      </c>
      <c r="H5" s="25" t="n">
        <v>2031</v>
      </c>
      <c r="I5" s="25" t="n">
        <v>2032</v>
      </c>
      <c r="J5" s="25" t="n">
        <v>2033</v>
      </c>
      <c r="K5" s="25" t="n">
        <v>2034</v>
      </c>
      <c r="L5" s="25" t="n">
        <v>2035</v>
      </c>
      <c r="M5" s="25" t="n">
        <v>2036</v>
      </c>
      <c r="N5" s="25" t="n">
        <v>2037</v>
      </c>
      <c r="O5" s="25" t="n">
        <v>2038</v>
      </c>
      <c r="P5" s="25" t="n">
        <v>2039</v>
      </c>
      <c r="Q5" s="25" t="n">
        <v>2040</v>
      </c>
      <c r="R5" s="25" t="n">
        <v>2041</v>
      </c>
      <c r="S5" s="25" t="n">
        <v>2042</v>
      </c>
      <c r="T5" s="25" t="n">
        <v>2043</v>
      </c>
      <c r="U5" s="25" t="n">
        <v>2044</v>
      </c>
      <c r="V5" s="25" t="n">
        <v>2045</v>
      </c>
      <c r="W5" s="25" t="n">
        <v>2046</v>
      </c>
      <c r="X5" s="25" t="n">
        <v>2047</v>
      </c>
      <c r="Y5" s="25" t="n">
        <v>2048</v>
      </c>
      <c r="Z5" s="25" t="n">
        <v>2049</v>
      </c>
      <c r="AA5" s="25" t="n">
        <v>2050</v>
      </c>
      <c r="AB5" s="25" t="n">
        <v>2051</v>
      </c>
      <c r="AC5" s="25" t="n">
        <v>2052</v>
      </c>
      <c r="AD5" s="25" t="n">
        <v>2053</v>
      </c>
      <c r="AE5" s="25" t="n">
        <v>2054</v>
      </c>
      <c r="AF5" s="25" t="n">
        <v>2055</v>
      </c>
    </row>
    <row r="6" customFormat="false" ht="15" hidden="false" customHeight="true" outlineLevel="0" collapsed="false">
      <c r="B6" s="26" t="s">
        <v>127</v>
      </c>
      <c r="C6" s="44" t="n">
        <f aca="false">Assumptions!C$9</f>
        <v>1</v>
      </c>
      <c r="D6" s="44" t="n">
        <f aca="false">Assumptions!D$9</f>
        <v>1.04</v>
      </c>
      <c r="E6" s="44" t="n">
        <f aca="false">Assumptions!E$9</f>
        <v>1.0816</v>
      </c>
      <c r="F6" s="44" t="n">
        <f aca="false">Assumptions!F$9</f>
        <v>1.103232</v>
      </c>
      <c r="G6" s="44" t="n">
        <f aca="false">Assumptions!G$9</f>
        <v>1.12529664</v>
      </c>
      <c r="H6" s="44" t="n">
        <f aca="false">Assumptions!H$9</f>
        <v>1.1478025728</v>
      </c>
      <c r="I6" s="44" t="n">
        <f aca="false">Assumptions!I$9</f>
        <v>1.170758624256</v>
      </c>
      <c r="J6" s="44" t="n">
        <f aca="false">Assumptions!J$9</f>
        <v>1.19417379674112</v>
      </c>
      <c r="K6" s="44" t="n">
        <f aca="false">Assumptions!K$9</f>
        <v>1.21805727267594</v>
      </c>
      <c r="L6" s="44" t="n">
        <f aca="false">Assumptions!L$9</f>
        <v>1.24241841812946</v>
      </c>
      <c r="M6" s="44" t="n">
        <f aca="false">Assumptions!M$9</f>
        <v>1.26726678649205</v>
      </c>
      <c r="N6" s="44" t="n">
        <f aca="false">Assumptions!N$9</f>
        <v>1.29261212222189</v>
      </c>
      <c r="O6" s="44" t="n">
        <f aca="false">Assumptions!O$9</f>
        <v>1.31846436466633</v>
      </c>
      <c r="P6" s="44" t="n">
        <f aca="false">Assumptions!P$9</f>
        <v>1.34483365195966</v>
      </c>
      <c r="Q6" s="44" t="n">
        <f aca="false">Assumptions!Q$9</f>
        <v>1.37173032499885</v>
      </c>
      <c r="R6" s="44" t="n">
        <f aca="false">Assumptions!R$9</f>
        <v>1.39916493149883</v>
      </c>
      <c r="S6" s="44" t="n">
        <f aca="false">Assumptions!S$9</f>
        <v>1.4271482301288</v>
      </c>
      <c r="T6" s="44" t="n">
        <f aca="false">Assumptions!T$9</f>
        <v>1.45569119473138</v>
      </c>
      <c r="U6" s="44" t="n">
        <f aca="false">Assumptions!U$9</f>
        <v>1.48480501862601</v>
      </c>
      <c r="V6" s="44" t="n">
        <f aca="false">Assumptions!V$9</f>
        <v>1.51450111899853</v>
      </c>
      <c r="W6" s="44" t="n">
        <f aca="false">Assumptions!W$9</f>
        <v>1.5447911413785</v>
      </c>
      <c r="X6" s="44" t="n">
        <f aca="false">Assumptions!X$9</f>
        <v>1.57568696420607</v>
      </c>
      <c r="Y6" s="44" t="n">
        <f aca="false">Assumptions!Y$9</f>
        <v>1.60720070349019</v>
      </c>
      <c r="Z6" s="44" t="n">
        <f aca="false">Assumptions!Z$9</f>
        <v>1.63934471755999</v>
      </c>
      <c r="AA6" s="44" t="n">
        <f aca="false">Assumptions!AA$9</f>
        <v>1.67213161191119</v>
      </c>
      <c r="AB6" s="44" t="n">
        <f aca="false">Assumptions!AB$9</f>
        <v>1.70557424414942</v>
      </c>
      <c r="AC6" s="44" t="n">
        <f aca="false">Assumptions!AC$9</f>
        <v>1.7396857290324</v>
      </c>
      <c r="AD6" s="44" t="n">
        <f aca="false">Assumptions!AD$9</f>
        <v>1.77447944361305</v>
      </c>
      <c r="AE6" s="44" t="n">
        <f aca="false">Assumptions!AE$9</f>
        <v>1.80996903248531</v>
      </c>
      <c r="AF6" s="44" t="n">
        <f aca="false">Assumptions!AF$9</f>
        <v>1.84616841313502</v>
      </c>
    </row>
    <row r="8" customFormat="false" ht="15" hidden="false" customHeight="true" outlineLevel="0" collapsed="false">
      <c r="A8" s="23" t="s">
        <v>338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row>
    <row r="9" customFormat="false" ht="15" hidden="false" customHeight="true" outlineLevel="0" collapsed="false">
      <c r="B9" s="26" t="s">
        <v>339</v>
      </c>
      <c r="C9" s="51" t="n">
        <f aca="false">MM_Income!C$17</f>
        <v>119157.4</v>
      </c>
      <c r="D9" s="51" t="n">
        <f aca="false">MM_Income!D$17</f>
        <v>121741.4</v>
      </c>
      <c r="E9" s="51" t="n">
        <f aca="false">MM_Income!E$17</f>
        <v>124428.76</v>
      </c>
      <c r="F9" s="51" t="n">
        <f aca="false">MM_Income!F$17</f>
        <v>126187.6032</v>
      </c>
      <c r="G9" s="51" t="n">
        <f aca="false">MM_Income!G$17</f>
        <v>128175.627264</v>
      </c>
      <c r="H9" s="51" t="n">
        <f aca="false">MM_Income!H$17</f>
        <v>130739.13980928</v>
      </c>
      <c r="I9" s="51" t="n">
        <f aca="false">MM_Income!I$17</f>
        <v>133353.922605466</v>
      </c>
      <c r="J9" s="51" t="n">
        <f aca="false">MM_Income!J$17</f>
        <v>136021.001057575</v>
      </c>
      <c r="K9" s="51" t="n">
        <f aca="false">MM_Income!K$17</f>
        <v>138741.421078726</v>
      </c>
      <c r="L9" s="51" t="n">
        <f aca="false">MM_Income!L$17</f>
        <v>141516.249500301</v>
      </c>
      <c r="M9" s="51" t="n">
        <f aca="false">MM_Income!M$17</f>
        <v>144346.574490307</v>
      </c>
      <c r="N9" s="51" t="n">
        <f aca="false">MM_Income!N$17</f>
        <v>147233.505980113</v>
      </c>
      <c r="O9" s="51" t="n">
        <f aca="false">MM_Income!O$17</f>
        <v>150178.176099715</v>
      </c>
      <c r="P9" s="51" t="n">
        <f aca="false">MM_Income!P$17</f>
        <v>153181.73962171</v>
      </c>
      <c r="Q9" s="51" t="n">
        <f aca="false">MM_Income!Q$17</f>
        <v>156245.374414144</v>
      </c>
      <c r="R9" s="51" t="n">
        <f aca="false">MM_Income!R$17</f>
        <v>159370.281902427</v>
      </c>
      <c r="S9" s="51" t="n">
        <f aca="false">MM_Income!S$17</f>
        <v>162557.687540475</v>
      </c>
      <c r="T9" s="51" t="n">
        <f aca="false">MM_Income!T$17</f>
        <v>165808.841291285</v>
      </c>
      <c r="U9" s="51" t="n">
        <f aca="false">MM_Income!U$17</f>
        <v>169125.018117111</v>
      </c>
      <c r="V9" s="51" t="n">
        <f aca="false">MM_Income!V$17</f>
        <v>172507.518479453</v>
      </c>
      <c r="W9" s="51" t="n">
        <f aca="false">MM_Income!W$17</f>
        <v>175957.668849042</v>
      </c>
      <c r="X9" s="51" t="n">
        <f aca="false">MM_Income!X$17</f>
        <v>179476.822226023</v>
      </c>
      <c r="Y9" s="51" t="n">
        <f aca="false">MM_Income!Y$17</f>
        <v>183066.358670543</v>
      </c>
      <c r="Z9" s="51" t="n">
        <f aca="false">MM_Income!Z$17</f>
        <v>186727.685843954</v>
      </c>
      <c r="AA9" s="51" t="n">
        <f aca="false">MM_Income!AA$17</f>
        <v>190462.239560833</v>
      </c>
      <c r="AB9" s="51" t="n">
        <f aca="false">MM_Income!AB$17</f>
        <v>194271.48435205</v>
      </c>
      <c r="AC9" s="51" t="n">
        <f aca="false">MM_Income!AC$17</f>
        <v>198156.914039091</v>
      </c>
      <c r="AD9" s="51" t="n">
        <f aca="false">MM_Income!AD$17</f>
        <v>202120.052319873</v>
      </c>
      <c r="AE9" s="51" t="n">
        <f aca="false">MM_Income!AE$17</f>
        <v>206162.45336627</v>
      </c>
      <c r="AF9" s="51" t="n">
        <f aca="false">MM_Income!AF$17</f>
        <v>210285.702433595</v>
      </c>
    </row>
    <row r="10" customFormat="false" ht="15" hidden="false" customHeight="true" outlineLevel="0" collapsed="false">
      <c r="B10" s="26" t="s">
        <v>340</v>
      </c>
      <c r="C10" s="51" t="n">
        <f aca="false">DM_Income!C$17</f>
        <v>127486.4</v>
      </c>
      <c r="D10" s="51" t="n">
        <f aca="false">DM_Income!D$17</f>
        <v>131514.4</v>
      </c>
      <c r="E10" s="51" t="n">
        <f aca="false">DM_Income!E$17</f>
        <v>135703.52</v>
      </c>
      <c r="F10" s="51" t="n">
        <f aca="false">DM_Income!F$17</f>
        <v>137881.8624</v>
      </c>
      <c r="G10" s="51" t="n">
        <f aca="false">DM_Income!G$17</f>
        <v>140103.771648</v>
      </c>
      <c r="H10" s="51" t="n">
        <f aca="false">DM_Income!H$17</f>
        <v>142905.84708096</v>
      </c>
      <c r="I10" s="51" t="n">
        <f aca="false">DM_Income!I$17</f>
        <v>145763.964022579</v>
      </c>
      <c r="J10" s="51" t="n">
        <f aca="false">DM_Income!J$17</f>
        <v>148679.243303031</v>
      </c>
      <c r="K10" s="51" t="n">
        <f aca="false">DM_Income!K$17</f>
        <v>151652.828169091</v>
      </c>
      <c r="L10" s="51" t="n">
        <f aca="false">DM_Income!L$17</f>
        <v>154685.884732473</v>
      </c>
      <c r="M10" s="51" t="n">
        <f aca="false">DM_Income!M$17</f>
        <v>157779.602427123</v>
      </c>
      <c r="N10" s="51" t="n">
        <f aca="false">DM_Income!N$17</f>
        <v>160935.194475665</v>
      </c>
      <c r="O10" s="51" t="n">
        <f aca="false">DM_Income!O$17</f>
        <v>164153.898365179</v>
      </c>
      <c r="P10" s="51" t="n">
        <f aca="false">DM_Income!P$17</f>
        <v>167436.976332482</v>
      </c>
      <c r="Q10" s="51" t="n">
        <f aca="false">DM_Income!Q$17</f>
        <v>170785.715859132</v>
      </c>
      <c r="R10" s="51" t="n">
        <f aca="false">DM_Income!R$17</f>
        <v>174201.430176314</v>
      </c>
      <c r="S10" s="51" t="n">
        <f aca="false">DM_Income!S$17</f>
        <v>177685.458779841</v>
      </c>
      <c r="T10" s="51" t="n">
        <f aca="false">DM_Income!T$17</f>
        <v>181239.167955437</v>
      </c>
      <c r="U10" s="51" t="n">
        <f aca="false">DM_Income!U$17</f>
        <v>184863.951314546</v>
      </c>
      <c r="V10" s="51" t="n">
        <f aca="false">DM_Income!V$17</f>
        <v>188561.230340837</v>
      </c>
      <c r="W10" s="51" t="n">
        <f aca="false">DM_Income!W$17</f>
        <v>192332.454947654</v>
      </c>
      <c r="X10" s="51" t="n">
        <f aca="false">DM_Income!X$17</f>
        <v>196179.104046607</v>
      </c>
      <c r="Y10" s="51" t="n">
        <f aca="false">DM_Income!Y$17</f>
        <v>200102.686127539</v>
      </c>
      <c r="Z10" s="51" t="n">
        <f aca="false">DM_Income!Z$17</f>
        <v>204104.73985009</v>
      </c>
      <c r="AA10" s="51" t="n">
        <f aca="false">DM_Income!AA$17</f>
        <v>208186.834647092</v>
      </c>
      <c r="AB10" s="51" t="n">
        <f aca="false">DM_Income!AB$17</f>
        <v>212350.571340034</v>
      </c>
      <c r="AC10" s="51" t="n">
        <f aca="false">DM_Income!AC$17</f>
        <v>216597.582766834</v>
      </c>
      <c r="AD10" s="51" t="n">
        <f aca="false">DM_Income!AD$17</f>
        <v>220929.534422171</v>
      </c>
      <c r="AE10" s="51" t="n">
        <f aca="false">DM_Income!AE$17</f>
        <v>225348.125110614</v>
      </c>
      <c r="AF10" s="51" t="n">
        <f aca="false">DM_Income!AF$17</f>
        <v>229855.087612827</v>
      </c>
    </row>
    <row r="11" customFormat="false" ht="15" hidden="false" customHeight="true" outlineLevel="0" collapsed="false">
      <c r="B11" s="24" t="s">
        <v>341</v>
      </c>
      <c r="C11" s="50" t="n">
        <f aca="false">C9+C10</f>
        <v>246643.8</v>
      </c>
      <c r="D11" s="50" t="n">
        <f aca="false">D9+D10</f>
        <v>253255.8</v>
      </c>
      <c r="E11" s="50" t="n">
        <f aca="false">E9+E10</f>
        <v>260132.28</v>
      </c>
      <c r="F11" s="50" t="n">
        <f aca="false">F9+F10</f>
        <v>264069.4656</v>
      </c>
      <c r="G11" s="50" t="n">
        <f aca="false">G9+G10</f>
        <v>268279.398912</v>
      </c>
      <c r="H11" s="50" t="n">
        <f aca="false">H9+H10</f>
        <v>273644.98689024</v>
      </c>
      <c r="I11" s="50" t="n">
        <f aca="false">I9+I10</f>
        <v>279117.886628045</v>
      </c>
      <c r="J11" s="50" t="n">
        <f aca="false">J9+J10</f>
        <v>284700.244360606</v>
      </c>
      <c r="K11" s="50" t="n">
        <f aca="false">K9+K10</f>
        <v>290394.249247818</v>
      </c>
      <c r="L11" s="50" t="n">
        <f aca="false">L9+L10</f>
        <v>296202.134232774</v>
      </c>
      <c r="M11" s="50" t="n">
        <f aca="false">M9+M10</f>
        <v>302126.17691743</v>
      </c>
      <c r="N11" s="50" t="n">
        <f aca="false">N9+N10</f>
        <v>308168.700455778</v>
      </c>
      <c r="O11" s="50" t="n">
        <f aca="false">O9+O10</f>
        <v>314332.074464894</v>
      </c>
      <c r="P11" s="50" t="n">
        <f aca="false">P9+P10</f>
        <v>320618.715954192</v>
      </c>
      <c r="Q11" s="50" t="n">
        <f aca="false">Q9+Q10</f>
        <v>327031.090273276</v>
      </c>
      <c r="R11" s="50" t="n">
        <f aca="false">R9+R10</f>
        <v>333571.712078741</v>
      </c>
      <c r="S11" s="50" t="n">
        <f aca="false">S9+S10</f>
        <v>340243.146320316</v>
      </c>
      <c r="T11" s="50" t="n">
        <f aca="false">T9+T10</f>
        <v>347048.009246722</v>
      </c>
      <c r="U11" s="50" t="n">
        <f aca="false">U9+U10</f>
        <v>353988.969431657</v>
      </c>
      <c r="V11" s="50" t="n">
        <f aca="false">V9+V10</f>
        <v>361068.74882029</v>
      </c>
      <c r="W11" s="50" t="n">
        <f aca="false">W9+W10</f>
        <v>368290.123796696</v>
      </c>
      <c r="X11" s="50" t="n">
        <f aca="false">X9+X10</f>
        <v>375655.92627263</v>
      </c>
      <c r="Y11" s="50" t="n">
        <f aca="false">Y9+Y10</f>
        <v>383169.044798082</v>
      </c>
      <c r="Z11" s="50" t="n">
        <f aca="false">Z9+Z10</f>
        <v>390832.425694044</v>
      </c>
      <c r="AA11" s="50" t="n">
        <f aca="false">AA9+AA10</f>
        <v>398649.074207925</v>
      </c>
      <c r="AB11" s="50" t="n">
        <f aca="false">AB9+AB10</f>
        <v>406622.055692083</v>
      </c>
      <c r="AC11" s="50" t="n">
        <f aca="false">AC9+AC10</f>
        <v>414754.496805925</v>
      </c>
      <c r="AD11" s="50" t="n">
        <f aca="false">AD9+AD10</f>
        <v>423049.586742043</v>
      </c>
      <c r="AE11" s="50" t="n">
        <f aca="false">AE9+AE10</f>
        <v>431510.578476884</v>
      </c>
      <c r="AF11" s="50" t="n">
        <f aca="false">AF9+AF10</f>
        <v>440140.790046422</v>
      </c>
    </row>
    <row r="13" customFormat="false" ht="15" hidden="false" customHeight="true" outlineLevel="0" collapsed="false">
      <c r="A13" s="23" t="s">
        <v>342</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row>
    <row r="14" customFormat="false" ht="15" hidden="false" customHeight="true" outlineLevel="0" collapsed="false">
      <c r="B14" s="26" t="s">
        <v>343</v>
      </c>
      <c r="C14" s="51" t="n">
        <f aca="false">MM_Income!C$9</f>
        <v>60000</v>
      </c>
      <c r="D14" s="51" t="n">
        <f aca="false">MM_Income!D$9</f>
        <v>60000</v>
      </c>
      <c r="E14" s="51" t="n">
        <f aca="false">MM_Income!E$9</f>
        <v>60000</v>
      </c>
      <c r="F14" s="51" t="n">
        <f aca="false">MM_Income!F$9</f>
        <v>60000</v>
      </c>
      <c r="G14" s="51" t="n">
        <f aca="false">MM_Income!G$9</f>
        <v>60000</v>
      </c>
      <c r="H14" s="51" t="n">
        <f aca="false">MM_Income!H$9</f>
        <v>61200</v>
      </c>
      <c r="I14" s="51" t="n">
        <f aca="false">MM_Income!I$9</f>
        <v>62424</v>
      </c>
      <c r="J14" s="51" t="n">
        <f aca="false">MM_Income!J$9</f>
        <v>63672.48</v>
      </c>
      <c r="K14" s="51" t="n">
        <f aca="false">MM_Income!K$9</f>
        <v>64945.9296</v>
      </c>
      <c r="L14" s="51" t="n">
        <f aca="false">MM_Income!L$9</f>
        <v>66244.848192</v>
      </c>
      <c r="M14" s="51" t="n">
        <f aca="false">MM_Income!M$9</f>
        <v>67569.74515584</v>
      </c>
      <c r="N14" s="51" t="n">
        <f aca="false">MM_Income!N$9</f>
        <v>68921.1400589568</v>
      </c>
      <c r="O14" s="51" t="n">
        <f aca="false">MM_Income!O$9</f>
        <v>70299.562860136</v>
      </c>
      <c r="P14" s="51" t="n">
        <f aca="false">MM_Income!P$9</f>
        <v>71705.5541173387</v>
      </c>
      <c r="Q14" s="51" t="n">
        <f aca="false">MM_Income!Q$9</f>
        <v>73139.6651996854</v>
      </c>
      <c r="R14" s="51" t="n">
        <f aca="false">MM_Income!R$9</f>
        <v>74602.4585036792</v>
      </c>
      <c r="S14" s="51" t="n">
        <f aca="false">MM_Income!S$9</f>
        <v>76094.5076737527</v>
      </c>
      <c r="T14" s="51" t="n">
        <f aca="false">MM_Income!T$9</f>
        <v>77616.3978272278</v>
      </c>
      <c r="U14" s="51" t="n">
        <f aca="false">MM_Income!U$9</f>
        <v>79168.7257837723</v>
      </c>
      <c r="V14" s="51" t="n">
        <f aca="false">MM_Income!V$9</f>
        <v>80752.1002994478</v>
      </c>
      <c r="W14" s="51" t="n">
        <f aca="false">MM_Income!W$9</f>
        <v>82367.1423054368</v>
      </c>
      <c r="X14" s="51" t="n">
        <f aca="false">MM_Income!X$9</f>
        <v>84014.4851515455</v>
      </c>
      <c r="Y14" s="51" t="n">
        <f aca="false">MM_Income!Y$9</f>
        <v>85694.7748545764</v>
      </c>
      <c r="Z14" s="51" t="n">
        <f aca="false">MM_Income!Z$9</f>
        <v>87408.6703516679</v>
      </c>
      <c r="AA14" s="51" t="n">
        <f aca="false">MM_Income!AA$9</f>
        <v>89156.8437587013</v>
      </c>
      <c r="AB14" s="51" t="n">
        <f aca="false">MM_Income!AB$9</f>
        <v>90939.9806338753</v>
      </c>
      <c r="AC14" s="51" t="n">
        <f aca="false">MM_Income!AC$9</f>
        <v>92758.7802465528</v>
      </c>
      <c r="AD14" s="51" t="n">
        <f aca="false">MM_Income!AD$9</f>
        <v>94613.9558514839</v>
      </c>
      <c r="AE14" s="51" t="n">
        <f aca="false">MM_Income!AE$9</f>
        <v>96506.2349685136</v>
      </c>
      <c r="AF14" s="51" t="n">
        <f aca="false">MM_Income!AF$9</f>
        <v>98436.3596678838</v>
      </c>
    </row>
    <row r="15" customFormat="false" ht="15" hidden="false" customHeight="true" outlineLevel="0" collapsed="false">
      <c r="B15" s="26" t="s">
        <v>344</v>
      </c>
      <c r="C15" s="51" t="n">
        <f aca="false">DM_Income!C$9</f>
        <v>60000</v>
      </c>
      <c r="D15" s="51" t="n">
        <f aca="false">DM_Income!D$9</f>
        <v>60000</v>
      </c>
      <c r="E15" s="51" t="n">
        <f aca="false">DM_Income!E$9</f>
        <v>60000</v>
      </c>
      <c r="F15" s="51" t="n">
        <f aca="false">DM_Income!F$9</f>
        <v>60000</v>
      </c>
      <c r="G15" s="51" t="n">
        <f aca="false">DM_Income!G$9</f>
        <v>60000</v>
      </c>
      <c r="H15" s="51" t="n">
        <f aca="false">DM_Income!H$9</f>
        <v>61200</v>
      </c>
      <c r="I15" s="51" t="n">
        <f aca="false">DM_Income!I$9</f>
        <v>62424</v>
      </c>
      <c r="J15" s="51" t="n">
        <f aca="false">DM_Income!J$9</f>
        <v>63672.48</v>
      </c>
      <c r="K15" s="51" t="n">
        <f aca="false">DM_Income!K$9</f>
        <v>64945.9296</v>
      </c>
      <c r="L15" s="51" t="n">
        <f aca="false">DM_Income!L$9</f>
        <v>66244.848192</v>
      </c>
      <c r="M15" s="51" t="n">
        <f aca="false">DM_Income!M$9</f>
        <v>67569.74515584</v>
      </c>
      <c r="N15" s="51" t="n">
        <f aca="false">DM_Income!N$9</f>
        <v>68921.1400589568</v>
      </c>
      <c r="O15" s="51" t="n">
        <f aca="false">DM_Income!O$9</f>
        <v>70299.562860136</v>
      </c>
      <c r="P15" s="51" t="n">
        <f aca="false">DM_Income!P$9</f>
        <v>71705.5541173387</v>
      </c>
      <c r="Q15" s="51" t="n">
        <f aca="false">DM_Income!Q$9</f>
        <v>73139.6651996854</v>
      </c>
      <c r="R15" s="51" t="n">
        <f aca="false">DM_Income!R$9</f>
        <v>74602.4585036792</v>
      </c>
      <c r="S15" s="51" t="n">
        <f aca="false">DM_Income!S$9</f>
        <v>76094.5076737527</v>
      </c>
      <c r="T15" s="51" t="n">
        <f aca="false">DM_Income!T$9</f>
        <v>77616.3978272278</v>
      </c>
      <c r="U15" s="51" t="n">
        <f aca="false">DM_Income!U$9</f>
        <v>79168.7257837723</v>
      </c>
      <c r="V15" s="51" t="n">
        <f aca="false">DM_Income!V$9</f>
        <v>80752.1002994478</v>
      </c>
      <c r="W15" s="51" t="n">
        <f aca="false">DM_Income!W$9</f>
        <v>82367.1423054368</v>
      </c>
      <c r="X15" s="51" t="n">
        <f aca="false">DM_Income!X$9</f>
        <v>84014.4851515455</v>
      </c>
      <c r="Y15" s="51" t="n">
        <f aca="false">DM_Income!Y$9</f>
        <v>85694.7748545764</v>
      </c>
      <c r="Z15" s="51" t="n">
        <f aca="false">DM_Income!Z$9</f>
        <v>87408.6703516679</v>
      </c>
      <c r="AA15" s="51" t="n">
        <f aca="false">DM_Income!AA$9</f>
        <v>89156.8437587013</v>
      </c>
      <c r="AB15" s="51" t="n">
        <f aca="false">DM_Income!AB$9</f>
        <v>90939.9806338753</v>
      </c>
      <c r="AC15" s="51" t="n">
        <f aca="false">DM_Income!AC$9</f>
        <v>92758.7802465528</v>
      </c>
      <c r="AD15" s="51" t="n">
        <f aca="false">DM_Income!AD$9</f>
        <v>94613.9558514839</v>
      </c>
      <c r="AE15" s="51" t="n">
        <f aca="false">DM_Income!AE$9</f>
        <v>96506.2349685136</v>
      </c>
      <c r="AF15" s="51" t="n">
        <f aca="false">DM_Income!AF$9</f>
        <v>98436.3596678838</v>
      </c>
    </row>
    <row r="16" customFormat="false" ht="15" hidden="false" customHeight="true" outlineLevel="0" collapsed="false">
      <c r="B16" s="26" t="s">
        <v>345</v>
      </c>
      <c r="C16" s="51" t="n">
        <f aca="false">-MM_Income!C$21</f>
        <v>20000</v>
      </c>
      <c r="D16" s="51" t="n">
        <f aca="false">-MM_Income!D$21</f>
        <v>20000</v>
      </c>
      <c r="E16" s="51" t="n">
        <f aca="false">-MM_Income!E$21</f>
        <v>20000</v>
      </c>
      <c r="F16" s="51" t="n">
        <f aca="false">-MM_Income!F$21</f>
        <v>20000</v>
      </c>
      <c r="G16" s="51" t="n">
        <f aca="false">-MM_Income!G$21</f>
        <v>20000</v>
      </c>
      <c r="H16" s="51" t="n">
        <f aca="false">-MM_Income!H$21</f>
        <v>20400</v>
      </c>
      <c r="I16" s="51" t="n">
        <f aca="false">-MM_Income!I$21</f>
        <v>20808</v>
      </c>
      <c r="J16" s="51" t="n">
        <f aca="false">-MM_Income!J$21</f>
        <v>21224.16</v>
      </c>
      <c r="K16" s="51" t="n">
        <f aca="false">-MM_Income!K$21</f>
        <v>21648.6432</v>
      </c>
      <c r="L16" s="51" t="n">
        <f aca="false">-MM_Income!L$21</f>
        <v>22081.616064</v>
      </c>
      <c r="M16" s="51" t="n">
        <f aca="false">-MM_Income!M$21</f>
        <v>22523.24838528</v>
      </c>
      <c r="N16" s="51" t="n">
        <f aca="false">-MM_Income!N$21</f>
        <v>22973.7133529856</v>
      </c>
      <c r="O16" s="51" t="n">
        <f aca="false">-MM_Income!O$21</f>
        <v>23433.1876200453</v>
      </c>
      <c r="P16" s="51" t="n">
        <f aca="false">-MM_Income!P$21</f>
        <v>23901.8513724462</v>
      </c>
      <c r="Q16" s="51" t="n">
        <f aca="false">-MM_Income!Q$21</f>
        <v>24379.8883998951</v>
      </c>
      <c r="R16" s="51" t="n">
        <f aca="false">-MM_Income!R$21</f>
        <v>24867.4861678931</v>
      </c>
      <c r="S16" s="51" t="n">
        <f aca="false">-MM_Income!S$21</f>
        <v>25364.8358912509</v>
      </c>
      <c r="T16" s="51" t="n">
        <f aca="false">-MM_Income!T$21</f>
        <v>25872.1326090759</v>
      </c>
      <c r="U16" s="51" t="n">
        <f aca="false">-MM_Income!U$21</f>
        <v>26389.5752612574</v>
      </c>
      <c r="V16" s="51" t="n">
        <f aca="false">-MM_Income!V$21</f>
        <v>26917.3667664826</v>
      </c>
      <c r="W16" s="51" t="n">
        <f aca="false">-MM_Income!W$21</f>
        <v>27455.7141018123</v>
      </c>
      <c r="X16" s="51" t="n">
        <f aca="false">-MM_Income!X$21</f>
        <v>28004.8283838485</v>
      </c>
      <c r="Y16" s="51" t="n">
        <f aca="false">-MM_Income!Y$21</f>
        <v>28564.9249515255</v>
      </c>
      <c r="Z16" s="51" t="n">
        <f aca="false">-MM_Income!Z$21</f>
        <v>29136.223450556</v>
      </c>
      <c r="AA16" s="51" t="n">
        <f aca="false">-MM_Income!AA$21</f>
        <v>29718.9479195671</v>
      </c>
      <c r="AB16" s="51" t="n">
        <f aca="false">-MM_Income!AB$21</f>
        <v>30313.3268779584</v>
      </c>
      <c r="AC16" s="51" t="n">
        <f aca="false">-MM_Income!AC$21</f>
        <v>30919.5934155176</v>
      </c>
      <c r="AD16" s="51" t="n">
        <f aca="false">-MM_Income!AD$21</f>
        <v>31537.985283828</v>
      </c>
      <c r="AE16" s="51" t="n">
        <f aca="false">-MM_Income!AE$21</f>
        <v>32168.7449895045</v>
      </c>
      <c r="AF16" s="51" t="n">
        <f aca="false">-MM_Income!AF$21</f>
        <v>32812.1198892946</v>
      </c>
    </row>
    <row r="17" customFormat="false" ht="15" hidden="false" customHeight="true" outlineLevel="0" collapsed="false">
      <c r="B17" s="26" t="s">
        <v>346</v>
      </c>
      <c r="C17" s="51" t="n">
        <f aca="false">-DM_Income!C$21</f>
        <v>20000</v>
      </c>
      <c r="D17" s="51" t="n">
        <f aca="false">-DM_Income!D$21</f>
        <v>20000</v>
      </c>
      <c r="E17" s="51" t="n">
        <f aca="false">-DM_Income!E$21</f>
        <v>20000</v>
      </c>
      <c r="F17" s="51" t="n">
        <f aca="false">-DM_Income!F$21</f>
        <v>20000</v>
      </c>
      <c r="G17" s="51" t="n">
        <f aca="false">-DM_Income!G$21</f>
        <v>20000</v>
      </c>
      <c r="H17" s="51" t="n">
        <f aca="false">-DM_Income!H$21</f>
        <v>20400</v>
      </c>
      <c r="I17" s="51" t="n">
        <f aca="false">-DM_Income!I$21</f>
        <v>20808</v>
      </c>
      <c r="J17" s="51" t="n">
        <f aca="false">-DM_Income!J$21</f>
        <v>21224.16</v>
      </c>
      <c r="K17" s="51" t="n">
        <f aca="false">-DM_Income!K$21</f>
        <v>21648.6432</v>
      </c>
      <c r="L17" s="51" t="n">
        <f aca="false">-DM_Income!L$21</f>
        <v>22081.616064</v>
      </c>
      <c r="M17" s="51" t="n">
        <f aca="false">-DM_Income!M$21</f>
        <v>22523.24838528</v>
      </c>
      <c r="N17" s="51" t="n">
        <f aca="false">-DM_Income!N$21</f>
        <v>22973.7133529856</v>
      </c>
      <c r="O17" s="51" t="n">
        <f aca="false">-DM_Income!O$21</f>
        <v>23433.1876200453</v>
      </c>
      <c r="P17" s="51" t="n">
        <f aca="false">-DM_Income!P$21</f>
        <v>23901.8513724462</v>
      </c>
      <c r="Q17" s="51" t="n">
        <f aca="false">-DM_Income!Q$21</f>
        <v>24379.8883998951</v>
      </c>
      <c r="R17" s="51" t="n">
        <f aca="false">-DM_Income!R$21</f>
        <v>24867.4861678931</v>
      </c>
      <c r="S17" s="51" t="n">
        <f aca="false">-DM_Income!S$21</f>
        <v>25364.8358912509</v>
      </c>
      <c r="T17" s="51" t="n">
        <f aca="false">-DM_Income!T$21</f>
        <v>25872.1326090759</v>
      </c>
      <c r="U17" s="51" t="n">
        <f aca="false">-DM_Income!U$21</f>
        <v>26389.5752612574</v>
      </c>
      <c r="V17" s="51" t="n">
        <f aca="false">-DM_Income!V$21</f>
        <v>26917.3667664826</v>
      </c>
      <c r="W17" s="51" t="n">
        <f aca="false">-DM_Income!W$21</f>
        <v>27455.7141018123</v>
      </c>
      <c r="X17" s="51" t="n">
        <f aca="false">-DM_Income!X$21</f>
        <v>28004.8283838485</v>
      </c>
      <c r="Y17" s="51" t="n">
        <f aca="false">-DM_Income!Y$21</f>
        <v>28564.9249515255</v>
      </c>
      <c r="Z17" s="51" t="n">
        <f aca="false">-DM_Income!Z$21</f>
        <v>29136.223450556</v>
      </c>
      <c r="AA17" s="51" t="n">
        <f aca="false">-DM_Income!AA$21</f>
        <v>29718.9479195671</v>
      </c>
      <c r="AB17" s="51" t="n">
        <f aca="false">-DM_Income!AB$21</f>
        <v>30313.3268779584</v>
      </c>
      <c r="AC17" s="51" t="n">
        <f aca="false">-DM_Income!AC$21</f>
        <v>30919.5934155176</v>
      </c>
      <c r="AD17" s="51" t="n">
        <f aca="false">-DM_Income!AD$21</f>
        <v>31537.985283828</v>
      </c>
      <c r="AE17" s="51" t="n">
        <f aca="false">-DM_Income!AE$21</f>
        <v>32168.7449895045</v>
      </c>
      <c r="AF17" s="51" t="n">
        <f aca="false">-DM_Income!AF$21</f>
        <v>32812.1198892946</v>
      </c>
    </row>
    <row r="18" customFormat="false" ht="15" hidden="false" customHeight="true" outlineLevel="0" collapsed="false">
      <c r="B18" s="26" t="s">
        <v>347</v>
      </c>
      <c r="C18" s="51" t="n">
        <f aca="false">Children!C$41</f>
        <v>9000</v>
      </c>
      <c r="D18" s="51" t="n">
        <f aca="false">Children!D$41</f>
        <v>9000</v>
      </c>
      <c r="E18" s="51" t="n">
        <f aca="false">Children!E$41</f>
        <v>9000</v>
      </c>
      <c r="F18" s="51" t="n">
        <f aca="false">Children!F$41</f>
        <v>9000</v>
      </c>
      <c r="G18" s="51" t="n">
        <f aca="false">Children!G$41</f>
        <v>9000</v>
      </c>
      <c r="H18" s="51" t="n">
        <f aca="false">Children!H$41</f>
        <v>9000</v>
      </c>
      <c r="I18" s="51" t="n">
        <f aca="false">Children!I$41</f>
        <v>9000</v>
      </c>
      <c r="J18" s="51" t="n">
        <f aca="false">Children!J$41</f>
        <v>9000</v>
      </c>
      <c r="K18" s="51" t="n">
        <f aca="false">Children!K$41</f>
        <v>9000</v>
      </c>
      <c r="L18" s="51" t="n">
        <f aca="false">Children!L$41</f>
        <v>9000</v>
      </c>
      <c r="M18" s="51" t="n">
        <f aca="false">Children!M$41</f>
        <v>9000</v>
      </c>
      <c r="N18" s="51" t="n">
        <f aca="false">Children!N$41</f>
        <v>9000</v>
      </c>
      <c r="O18" s="51" t="n">
        <f aca="false">Children!O$41</f>
        <v>9000</v>
      </c>
      <c r="P18" s="51" t="n">
        <f aca="false">Children!P$41</f>
        <v>9000</v>
      </c>
      <c r="Q18" s="51" t="n">
        <f aca="false">Children!Q$41</f>
        <v>9000</v>
      </c>
      <c r="R18" s="51" t="n">
        <f aca="false">Children!R$41</f>
        <v>9000</v>
      </c>
      <c r="S18" s="51" t="n">
        <f aca="false">Children!S$41</f>
        <v>0</v>
      </c>
      <c r="T18" s="51" t="n">
        <f aca="false">Children!T$41</f>
        <v>0</v>
      </c>
      <c r="U18" s="51" t="n">
        <f aca="false">Children!U$41</f>
        <v>0</v>
      </c>
      <c r="V18" s="51" t="n">
        <f aca="false">Children!V$41</f>
        <v>0</v>
      </c>
      <c r="W18" s="51" t="n">
        <f aca="false">Children!W$41</f>
        <v>0</v>
      </c>
      <c r="X18" s="51" t="n">
        <f aca="false">Children!X$41</f>
        <v>0</v>
      </c>
      <c r="Y18" s="51" t="n">
        <f aca="false">Children!Y$41</f>
        <v>0</v>
      </c>
      <c r="Z18" s="51" t="n">
        <f aca="false">Children!Z$41</f>
        <v>0</v>
      </c>
      <c r="AA18" s="51" t="n">
        <f aca="false">Children!AA$41</f>
        <v>0</v>
      </c>
      <c r="AB18" s="51" t="n">
        <f aca="false">Children!AB$41</f>
        <v>0</v>
      </c>
      <c r="AC18" s="51" t="n">
        <f aca="false">Children!AC$41</f>
        <v>0</v>
      </c>
      <c r="AD18" s="51" t="n">
        <f aca="false">Children!AD$41</f>
        <v>0</v>
      </c>
      <c r="AE18" s="51" t="n">
        <f aca="false">Children!AE$41</f>
        <v>0</v>
      </c>
      <c r="AF18" s="51" t="n">
        <f aca="false">Children!AF$41</f>
        <v>0</v>
      </c>
    </row>
    <row r="19" customFormat="false" ht="15" hidden="false" customHeight="true" outlineLevel="0" collapsed="false">
      <c r="B19" s="24" t="s">
        <v>348</v>
      </c>
      <c r="C19" s="50" t="n">
        <f aca="false">SUM(C14:C18)</f>
        <v>169000</v>
      </c>
      <c r="D19" s="50" t="n">
        <f aca="false">SUM(D14:D18)</f>
        <v>169000</v>
      </c>
      <c r="E19" s="50" t="n">
        <f aca="false">SUM(E14:E18)</f>
        <v>169000</v>
      </c>
      <c r="F19" s="50" t="n">
        <f aca="false">SUM(F14:F18)</f>
        <v>169000</v>
      </c>
      <c r="G19" s="50" t="n">
        <f aca="false">SUM(G14:G18)</f>
        <v>169000</v>
      </c>
      <c r="H19" s="50" t="n">
        <f aca="false">SUM(H14:H18)</f>
        <v>172200</v>
      </c>
      <c r="I19" s="50" t="n">
        <f aca="false">SUM(I14:I18)</f>
        <v>175464</v>
      </c>
      <c r="J19" s="50" t="n">
        <f aca="false">SUM(J14:J18)</f>
        <v>178793.28</v>
      </c>
      <c r="K19" s="50" t="n">
        <f aca="false">SUM(K14:K18)</f>
        <v>182189.1456</v>
      </c>
      <c r="L19" s="50" t="n">
        <f aca="false">SUM(L14:L18)</f>
        <v>185652.928512</v>
      </c>
      <c r="M19" s="50" t="n">
        <f aca="false">SUM(M14:M18)</f>
        <v>189185.98708224</v>
      </c>
      <c r="N19" s="50" t="n">
        <f aca="false">SUM(N14:N18)</f>
        <v>192789.706823885</v>
      </c>
      <c r="O19" s="50" t="n">
        <f aca="false">SUM(O14:O18)</f>
        <v>196465.500960363</v>
      </c>
      <c r="P19" s="50" t="n">
        <f aca="false">SUM(P14:P18)</f>
        <v>200214.81097957</v>
      </c>
      <c r="Q19" s="50" t="n">
        <f aca="false">SUM(Q14:Q18)</f>
        <v>204039.107199161</v>
      </c>
      <c r="R19" s="50" t="n">
        <f aca="false">SUM(R14:R18)</f>
        <v>207939.889343144</v>
      </c>
      <c r="S19" s="50" t="n">
        <f aca="false">SUM(S14:S18)</f>
        <v>202918.687130007</v>
      </c>
      <c r="T19" s="50" t="n">
        <f aca="false">SUM(T14:T18)</f>
        <v>206977.060872607</v>
      </c>
      <c r="U19" s="50" t="n">
        <f aca="false">SUM(U14:U18)</f>
        <v>211116.60209006</v>
      </c>
      <c r="V19" s="50" t="n">
        <f aca="false">SUM(V14:V18)</f>
        <v>215338.934131861</v>
      </c>
      <c r="W19" s="50" t="n">
        <f aca="false">SUM(W14:W18)</f>
        <v>219645.712814498</v>
      </c>
      <c r="X19" s="50" t="n">
        <f aca="false">SUM(X14:X18)</f>
        <v>224038.627070788</v>
      </c>
      <c r="Y19" s="50" t="n">
        <f aca="false">SUM(Y14:Y18)</f>
        <v>228519.399612204</v>
      </c>
      <c r="Z19" s="50" t="n">
        <f aca="false">SUM(Z14:Z18)</f>
        <v>233089.787604448</v>
      </c>
      <c r="AA19" s="50" t="n">
        <f aca="false">SUM(AA14:AA18)</f>
        <v>237751.583356537</v>
      </c>
      <c r="AB19" s="50" t="n">
        <f aca="false">SUM(AB14:AB18)</f>
        <v>242506.615023668</v>
      </c>
      <c r="AC19" s="50" t="n">
        <f aca="false">SUM(AC14:AC18)</f>
        <v>247356.747324141</v>
      </c>
      <c r="AD19" s="50" t="n">
        <f aca="false">SUM(AD14:AD18)</f>
        <v>252303.882270624</v>
      </c>
      <c r="AE19" s="50" t="n">
        <f aca="false">SUM(AE14:AE18)</f>
        <v>257349.959916036</v>
      </c>
      <c r="AF19" s="50" t="n">
        <f aca="false">SUM(AF14:AF18)</f>
        <v>262496.959114357</v>
      </c>
    </row>
    <row r="20" customFormat="false" ht="15" hidden="false" customHeight="true" outlineLevel="0" collapsed="false">
      <c r="B20" s="24" t="s">
        <v>349</v>
      </c>
      <c r="C20" s="50" t="n">
        <f aca="false">C11-C19</f>
        <v>77643.8</v>
      </c>
      <c r="D20" s="50" t="n">
        <f aca="false">D11-D19</f>
        <v>84255.8</v>
      </c>
      <c r="E20" s="50" t="n">
        <f aca="false">E11-E19</f>
        <v>91132.28</v>
      </c>
      <c r="F20" s="50" t="n">
        <f aca="false">F11-F19</f>
        <v>95069.4656</v>
      </c>
      <c r="G20" s="50" t="n">
        <f aca="false">G11-G19</f>
        <v>99279.398912</v>
      </c>
      <c r="H20" s="50" t="n">
        <f aca="false">H11-H19</f>
        <v>101444.98689024</v>
      </c>
      <c r="I20" s="50" t="n">
        <f aca="false">I11-I19</f>
        <v>103653.886628045</v>
      </c>
      <c r="J20" s="50" t="n">
        <f aca="false">J11-J19</f>
        <v>105906.964360606</v>
      </c>
      <c r="K20" s="50" t="n">
        <f aca="false">K11-K19</f>
        <v>108205.103647818</v>
      </c>
      <c r="L20" s="50" t="n">
        <f aca="false">L11-L19</f>
        <v>110549.205720774</v>
      </c>
      <c r="M20" s="50" t="n">
        <f aca="false">M11-M19</f>
        <v>112940.18983519</v>
      </c>
      <c r="N20" s="50" t="n">
        <f aca="false">N11-N19</f>
        <v>115378.993631894</v>
      </c>
      <c r="O20" s="50" t="n">
        <f aca="false">O11-O19</f>
        <v>117866.573504531</v>
      </c>
      <c r="P20" s="50" t="n">
        <f aca="false">P11-P19</f>
        <v>120403.904974622</v>
      </c>
      <c r="Q20" s="50" t="n">
        <f aca="false">Q11-Q19</f>
        <v>122991.983074114</v>
      </c>
      <c r="R20" s="50" t="n">
        <f aca="false">R11-R19</f>
        <v>125631.822735597</v>
      </c>
      <c r="S20" s="50" t="n">
        <f aca="false">S11-S19</f>
        <v>137324.459190309</v>
      </c>
      <c r="T20" s="50" t="n">
        <f aca="false">T11-T19</f>
        <v>140070.948374115</v>
      </c>
      <c r="U20" s="50" t="n">
        <f aca="false">U11-U19</f>
        <v>142872.367341597</v>
      </c>
      <c r="V20" s="50" t="n">
        <f aca="false">V11-V19</f>
        <v>145729.814688429</v>
      </c>
      <c r="W20" s="50" t="n">
        <f aca="false">W11-W19</f>
        <v>148644.410982198</v>
      </c>
      <c r="X20" s="50" t="n">
        <f aca="false">X11-X19</f>
        <v>151617.299201842</v>
      </c>
      <c r="Y20" s="50" t="n">
        <f aca="false">Y11-Y19</f>
        <v>154649.645185878</v>
      </c>
      <c r="Z20" s="50" t="n">
        <f aca="false">Z11-Z19</f>
        <v>157742.638089596</v>
      </c>
      <c r="AA20" s="50" t="n">
        <f aca="false">AA11-AA19</f>
        <v>160897.490851388</v>
      </c>
      <c r="AB20" s="50" t="n">
        <f aca="false">AB11-AB19</f>
        <v>164115.440668416</v>
      </c>
      <c r="AC20" s="50" t="n">
        <f aca="false">AC11-AC19</f>
        <v>167397.749481784</v>
      </c>
      <c r="AD20" s="50" t="n">
        <f aca="false">AD11-AD19</f>
        <v>170745.70447142</v>
      </c>
      <c r="AE20" s="50" t="n">
        <f aca="false">AE11-AE19</f>
        <v>174160.618560848</v>
      </c>
      <c r="AF20" s="50" t="n">
        <f aca="false">AF11-AF19</f>
        <v>177643.830932065</v>
      </c>
    </row>
    <row r="22" customFormat="false" ht="15" hidden="false" customHeight="true" outlineLevel="0" collapsed="false">
      <c r="A22" s="23" t="s">
        <v>350</v>
      </c>
      <c r="B22" s="23"/>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row>
    <row r="23" customFormat="false" ht="15" hidden="false" customHeight="true" outlineLevel="0" collapsed="false">
      <c r="B23" s="26" t="s">
        <v>351</v>
      </c>
      <c r="C23" s="45" t="n">
        <f aca="false">12*Assumptions!$C$24*C$6</f>
        <v>12000</v>
      </c>
      <c r="D23" s="45" t="n">
        <f aca="false">12*Assumptions!$C$24*D$6</f>
        <v>12480</v>
      </c>
      <c r="E23" s="45" t="n">
        <f aca="false">12*Assumptions!$C$24*E$6</f>
        <v>12979.2</v>
      </c>
      <c r="F23" s="45" t="n">
        <f aca="false">12*Assumptions!$C$24*F$6</f>
        <v>13238.784</v>
      </c>
      <c r="G23" s="45" t="n">
        <f aca="false">12*Assumptions!$C$24*G$6</f>
        <v>13503.55968</v>
      </c>
      <c r="H23" s="45" t="n">
        <f aca="false">12*Assumptions!$C$24*H$6</f>
        <v>13773.6308736</v>
      </c>
      <c r="I23" s="45" t="n">
        <f aca="false">12*Assumptions!$C$24*I$6</f>
        <v>14049.103491072</v>
      </c>
      <c r="J23" s="45" t="n">
        <f aca="false">12*Assumptions!$C$24*J$6</f>
        <v>14330.0855608934</v>
      </c>
      <c r="K23" s="45" t="n">
        <f aca="false">12*Assumptions!$C$24*K$6</f>
        <v>14616.6872721113</v>
      </c>
      <c r="L23" s="45" t="n">
        <f aca="false">12*Assumptions!$C$24*L$6</f>
        <v>14909.0210175535</v>
      </c>
      <c r="M23" s="45" t="n">
        <f aca="false">12*Assumptions!$C$24*M$6</f>
        <v>15207.2014379046</v>
      </c>
      <c r="N23" s="45" t="n">
        <f aca="false">12*Assumptions!$C$24*N$6</f>
        <v>15511.3454666627</v>
      </c>
      <c r="O23" s="45" t="n">
        <f aca="false">12*Assumptions!$C$24*O$6</f>
        <v>15821.572375996</v>
      </c>
      <c r="P23" s="45" t="n">
        <f aca="false">12*Assumptions!$C$24*P$6</f>
        <v>16138.0038235159</v>
      </c>
      <c r="Q23" s="45" t="n">
        <f aca="false">12*Assumptions!$C$24*Q$6</f>
        <v>16460.7638999862</v>
      </c>
      <c r="R23" s="45" t="n">
        <f aca="false">12*Assumptions!$C$24*R$6</f>
        <v>16789.9791779859</v>
      </c>
      <c r="S23" s="45" t="n">
        <f aca="false">12*Assumptions!$C$24*S$6</f>
        <v>17125.7787615456</v>
      </c>
      <c r="T23" s="45" t="n">
        <f aca="false">12*Assumptions!$C$24*T$6</f>
        <v>17468.2943367765</v>
      </c>
      <c r="U23" s="45" t="n">
        <f aca="false">12*Assumptions!$C$24*U$6</f>
        <v>17817.6602235121</v>
      </c>
      <c r="V23" s="45" t="n">
        <f aca="false">12*Assumptions!$C$24*V$6</f>
        <v>18174.0134279823</v>
      </c>
      <c r="W23" s="45" t="n">
        <f aca="false">12*Assumptions!$C$24*W$6</f>
        <v>18537.493696542</v>
      </c>
      <c r="X23" s="45" t="n">
        <f aca="false">12*Assumptions!$C$24*X$6</f>
        <v>18908.2435704728</v>
      </c>
      <c r="Y23" s="45" t="n">
        <f aca="false">12*Assumptions!$C$24*Y$6</f>
        <v>19286.4084418823</v>
      </c>
      <c r="Z23" s="45" t="n">
        <f aca="false">12*Assumptions!$C$24*Z$6</f>
        <v>19672.1366107199</v>
      </c>
      <c r="AA23" s="45" t="n">
        <f aca="false">12*Assumptions!$C$24*AA$6</f>
        <v>20065.5793429343</v>
      </c>
      <c r="AB23" s="45" t="n">
        <f aca="false">12*Assumptions!$C$24*AB$6</f>
        <v>20466.890929793</v>
      </c>
      <c r="AC23" s="45" t="n">
        <f aca="false">12*Assumptions!$C$24*AC$6</f>
        <v>20876.2287483889</v>
      </c>
      <c r="AD23" s="45" t="n">
        <f aca="false">12*Assumptions!$C$24*AD$6</f>
        <v>21293.7533233566</v>
      </c>
      <c r="AE23" s="45" t="n">
        <f aca="false">12*Assumptions!$C$24*AE$6</f>
        <v>21719.6283898238</v>
      </c>
      <c r="AF23" s="45" t="n">
        <f aca="false">12*Assumptions!$C$24*AF$6</f>
        <v>22154.0209576202</v>
      </c>
    </row>
    <row r="24" customFormat="false" ht="15" hidden="false" customHeight="true" outlineLevel="0" collapsed="false">
      <c r="B24" s="26" t="s">
        <v>352</v>
      </c>
      <c r="C24" s="45" t="n">
        <f aca="false">12*Assumptions!$D$24*C$6</f>
        <v>9600</v>
      </c>
      <c r="D24" s="45" t="n">
        <f aca="false">12*Assumptions!$D$24*D$6</f>
        <v>9984</v>
      </c>
      <c r="E24" s="45" t="n">
        <f aca="false">12*Assumptions!$D$24*E$6</f>
        <v>10383.36</v>
      </c>
      <c r="F24" s="45" t="n">
        <f aca="false">12*Assumptions!$D$24*F$6</f>
        <v>10591.0272</v>
      </c>
      <c r="G24" s="45" t="n">
        <f aca="false">12*Assumptions!$D$24*G$6</f>
        <v>10802.847744</v>
      </c>
      <c r="H24" s="45" t="n">
        <f aca="false">12*Assumptions!$D$24*H$6</f>
        <v>11018.90469888</v>
      </c>
      <c r="I24" s="45" t="n">
        <f aca="false">12*Assumptions!$D$24*I$6</f>
        <v>11239.2827928576</v>
      </c>
      <c r="J24" s="45" t="n">
        <f aca="false">12*Assumptions!$D$24*J$6</f>
        <v>11464.0684487148</v>
      </c>
      <c r="K24" s="45" t="n">
        <f aca="false">12*Assumptions!$D$24*K$6</f>
        <v>11693.3498176891</v>
      </c>
      <c r="L24" s="45" t="n">
        <f aca="false">12*Assumptions!$D$24*L$6</f>
        <v>11927.2168140428</v>
      </c>
      <c r="M24" s="45" t="n">
        <f aca="false">12*Assumptions!$D$24*M$6</f>
        <v>12165.7611503237</v>
      </c>
      <c r="N24" s="45" t="n">
        <f aca="false">12*Assumptions!$D$24*N$6</f>
        <v>12409.0763733302</v>
      </c>
      <c r="O24" s="45" t="n">
        <f aca="false">12*Assumptions!$D$24*O$6</f>
        <v>12657.2579007968</v>
      </c>
      <c r="P24" s="45" t="n">
        <f aca="false">12*Assumptions!$D$24*P$6</f>
        <v>12910.4030588127</v>
      </c>
      <c r="Q24" s="45" t="n">
        <f aca="false">12*Assumptions!$D$24*Q$6</f>
        <v>13168.611119989</v>
      </c>
      <c r="R24" s="45" t="n">
        <f aca="false">12*Assumptions!$D$24*R$6</f>
        <v>13431.9833423887</v>
      </c>
      <c r="S24" s="45" t="n">
        <f aca="false">12*Assumptions!$D$24*S$6</f>
        <v>13700.6230092365</v>
      </c>
      <c r="T24" s="45" t="n">
        <f aca="false">12*Assumptions!$D$24*T$6</f>
        <v>13974.6354694212</v>
      </c>
      <c r="U24" s="45" t="n">
        <f aca="false">12*Assumptions!$D$24*U$6</f>
        <v>14254.1281788097</v>
      </c>
      <c r="V24" s="45" t="n">
        <f aca="false">12*Assumptions!$D$24*V$6</f>
        <v>14539.2107423859</v>
      </c>
      <c r="W24" s="45" t="n">
        <f aca="false">12*Assumptions!$D$24*W$6</f>
        <v>14829.9949572336</v>
      </c>
      <c r="X24" s="45" t="n">
        <f aca="false">12*Assumptions!$D$24*X$6</f>
        <v>15126.5948563782</v>
      </c>
      <c r="Y24" s="45" t="n">
        <f aca="false">12*Assumptions!$D$24*Y$6</f>
        <v>15429.1267535058</v>
      </c>
      <c r="Z24" s="45" t="n">
        <f aca="false">12*Assumptions!$D$24*Z$6</f>
        <v>15737.7092885759</v>
      </c>
      <c r="AA24" s="45" t="n">
        <f aca="false">12*Assumptions!$D$24*AA$6</f>
        <v>16052.4634743474</v>
      </c>
      <c r="AB24" s="45" t="n">
        <f aca="false">12*Assumptions!$D$24*AB$6</f>
        <v>16373.5127438344</v>
      </c>
      <c r="AC24" s="45" t="n">
        <f aca="false">12*Assumptions!$D$24*AC$6</f>
        <v>16700.9829987111</v>
      </c>
      <c r="AD24" s="45" t="n">
        <f aca="false">12*Assumptions!$D$24*AD$6</f>
        <v>17035.0026586853</v>
      </c>
      <c r="AE24" s="45" t="n">
        <f aca="false">12*Assumptions!$D$24*AE$6</f>
        <v>17375.702711859</v>
      </c>
      <c r="AF24" s="45" t="n">
        <f aca="false">12*Assumptions!$D$24*AF$6</f>
        <v>17723.2167660962</v>
      </c>
    </row>
    <row r="25" customFormat="false" ht="15" hidden="false" customHeight="true" outlineLevel="0" collapsed="false">
      <c r="B25" s="26" t="s">
        <v>353</v>
      </c>
      <c r="C25" s="45" t="n">
        <f aca="false">IF(C5&lt;=Assumptions!$C$53,12*Assumptions!$C$52*C$6,0)</f>
        <v>23400</v>
      </c>
      <c r="D25" s="45" t="n">
        <f aca="false">IF(D5&lt;=Assumptions!$C$53,12*Assumptions!$C$52*D$6,0)</f>
        <v>24336</v>
      </c>
      <c r="E25" s="45" t="n">
        <f aca="false">IF(E5&lt;=Assumptions!$C$53,12*Assumptions!$C$52*E$6,0)</f>
        <v>25309.44</v>
      </c>
      <c r="F25" s="45" t="n">
        <f aca="false">IF(F5&lt;=Assumptions!$C$53,12*Assumptions!$C$52*F$6,0)</f>
        <v>25815.6288</v>
      </c>
      <c r="G25" s="45" t="n">
        <f aca="false">IF(G5&lt;=Assumptions!$C$53,12*Assumptions!$C$52*G$6,0)</f>
        <v>26331.941376</v>
      </c>
      <c r="H25" s="45" t="n">
        <f aca="false">IF(H5&lt;=Assumptions!$C$53,12*Assumptions!$C$52*H$6,0)</f>
        <v>26858.58020352</v>
      </c>
      <c r="I25" s="45" t="n">
        <f aca="false">IF(I5&lt;=Assumptions!$C$53,12*Assumptions!$C$52*I$6,0)</f>
        <v>27395.7518075904</v>
      </c>
      <c r="J25" s="45" t="n">
        <f aca="false">IF(J5&lt;=Assumptions!$C$53,12*Assumptions!$C$52*J$6,0)</f>
        <v>27943.6668437422</v>
      </c>
      <c r="K25" s="45" t="n">
        <f aca="false">IF(K5&lt;=Assumptions!$C$53,12*Assumptions!$C$52*K$6,0)</f>
        <v>28502.5401806171</v>
      </c>
      <c r="L25" s="45" t="n">
        <f aca="false">IF(L5&lt;=Assumptions!$C$53,12*Assumptions!$C$52*L$6,0)</f>
        <v>29072.5909842294</v>
      </c>
      <c r="M25" s="45" t="n">
        <f aca="false">IF(M5&lt;=Assumptions!$C$53,12*Assumptions!$C$52*M$6,0)</f>
        <v>29654.042803914</v>
      </c>
      <c r="N25" s="45" t="n">
        <f aca="false">IF(N5&lt;=Assumptions!$C$53,12*Assumptions!$C$52*N$6,0)</f>
        <v>30247.1236599923</v>
      </c>
      <c r="O25" s="45" t="n">
        <f aca="false">IF(O5&lt;=Assumptions!$C$53,12*Assumptions!$C$52*O$6,0)</f>
        <v>30852.0661331921</v>
      </c>
      <c r="P25" s="45" t="n">
        <f aca="false">IF(P5&lt;=Assumptions!$C$53,12*Assumptions!$C$52*P$6,0)</f>
        <v>31469.107455856</v>
      </c>
      <c r="Q25" s="45" t="n">
        <f aca="false">IF(Q5&lt;=Assumptions!$C$53,12*Assumptions!$C$52*Q$6,0)</f>
        <v>32098.4896049731</v>
      </c>
      <c r="R25" s="45" t="n">
        <f aca="false">IF(R5&lt;=Assumptions!$C$53,12*Assumptions!$C$52*R$6,0)</f>
        <v>32740.4593970725</v>
      </c>
      <c r="S25" s="45" t="n">
        <f aca="false">IF(S5&lt;=Assumptions!$C$53,12*Assumptions!$C$52*S$6,0)</f>
        <v>33395.268585014</v>
      </c>
      <c r="T25" s="45" t="n">
        <f aca="false">IF(T5&lt;=Assumptions!$C$53,12*Assumptions!$C$52*T$6,0)</f>
        <v>34063.1739567143</v>
      </c>
      <c r="U25" s="45" t="n">
        <f aca="false">IF(U5&lt;=Assumptions!$C$53,12*Assumptions!$C$52*U$6,0)</f>
        <v>34744.4374358486</v>
      </c>
      <c r="V25" s="45" t="n">
        <f aca="false">IF(V5&lt;=Assumptions!$C$53,12*Assumptions!$C$52*V$6,0)</f>
        <v>35439.3261845655</v>
      </c>
      <c r="W25" s="45" t="n">
        <f aca="false">IF(W5&lt;=Assumptions!$C$53,12*Assumptions!$C$52*W$6,0)</f>
        <v>36148.1127082568</v>
      </c>
      <c r="X25" s="45" t="n">
        <f aca="false">IF(X5&lt;=Assumptions!$C$53,12*Assumptions!$C$52*X$6,0)</f>
        <v>36871.074962422</v>
      </c>
      <c r="Y25" s="45" t="n">
        <f aca="false">IF(Y5&lt;=Assumptions!$C$53,12*Assumptions!$C$52*Y$6,0)</f>
        <v>37608.4964616704</v>
      </c>
      <c r="Z25" s="45" t="n">
        <f aca="false">IF(Z5&lt;=Assumptions!$C$53,12*Assumptions!$C$52*Z$6,0)</f>
        <v>38360.6663909038</v>
      </c>
      <c r="AA25" s="45" t="n">
        <f aca="false">IF(AA5&lt;=Assumptions!$C$53,12*Assumptions!$C$52*AA$6,0)</f>
        <v>39127.8797187219</v>
      </c>
      <c r="AB25" s="45" t="n">
        <f aca="false">IF(AB5&lt;=Assumptions!$C$53,12*Assumptions!$C$52*AB$6,0)</f>
        <v>39910.4373130963</v>
      </c>
      <c r="AC25" s="45" t="n">
        <f aca="false">IF(AC5&lt;=Assumptions!$C$53,12*Assumptions!$C$52*AC$6,0)</f>
        <v>40708.6460593583</v>
      </c>
      <c r="AD25" s="45" t="n">
        <f aca="false">IF(AD5&lt;=Assumptions!$C$53,12*Assumptions!$C$52*AD$6,0)</f>
        <v>41522.8189805454</v>
      </c>
      <c r="AE25" s="45" t="n">
        <f aca="false">IF(AE5&lt;=Assumptions!$C$53,12*Assumptions!$C$52*AE$6,0)</f>
        <v>42353.2753601563</v>
      </c>
      <c r="AF25" s="45" t="n">
        <f aca="false">IF(AF5&lt;=Assumptions!$C$53,12*Assumptions!$C$52*AF$6,0)</f>
        <v>43200.3408673595</v>
      </c>
    </row>
    <row r="26" customFormat="false" ht="15" hidden="false" customHeight="true" outlineLevel="0" collapsed="false">
      <c r="B26" s="26" t="s">
        <v>354</v>
      </c>
      <c r="C26" s="45" t="n">
        <f aca="false">12*Assumptions!$C$54*C$6</f>
        <v>24000</v>
      </c>
      <c r="D26" s="45" t="n">
        <f aca="false">12*Assumptions!$C$54*D$6</f>
        <v>24960</v>
      </c>
      <c r="E26" s="45" t="n">
        <f aca="false">12*Assumptions!$C$54*E$6</f>
        <v>25958.4</v>
      </c>
      <c r="F26" s="45" t="n">
        <f aca="false">12*Assumptions!$C$54*F$6</f>
        <v>26477.568</v>
      </c>
      <c r="G26" s="45" t="n">
        <f aca="false">12*Assumptions!$C$54*G$6</f>
        <v>27007.11936</v>
      </c>
      <c r="H26" s="45" t="n">
        <f aca="false">12*Assumptions!$C$54*H$6</f>
        <v>27547.2617472</v>
      </c>
      <c r="I26" s="45" t="n">
        <f aca="false">12*Assumptions!$C$54*I$6</f>
        <v>28098.206982144</v>
      </c>
      <c r="J26" s="45" t="n">
        <f aca="false">12*Assumptions!$C$54*J$6</f>
        <v>28660.1711217869</v>
      </c>
      <c r="K26" s="45" t="n">
        <f aca="false">12*Assumptions!$C$54*K$6</f>
        <v>29233.3745442226</v>
      </c>
      <c r="L26" s="45" t="n">
        <f aca="false">12*Assumptions!$C$54*L$6</f>
        <v>29818.0420351071</v>
      </c>
      <c r="M26" s="45" t="n">
        <f aca="false">12*Assumptions!$C$54*M$6</f>
        <v>30414.4028758092</v>
      </c>
      <c r="N26" s="45" t="n">
        <f aca="false">12*Assumptions!$C$54*N$6</f>
        <v>31022.6909333254</v>
      </c>
      <c r="O26" s="45" t="n">
        <f aca="false">12*Assumptions!$C$54*O$6</f>
        <v>31643.1447519919</v>
      </c>
      <c r="P26" s="45" t="n">
        <f aca="false">12*Assumptions!$C$54*P$6</f>
        <v>32276.0076470317</v>
      </c>
      <c r="Q26" s="45" t="n">
        <f aca="false">12*Assumptions!$C$54*Q$6</f>
        <v>32921.5277999724</v>
      </c>
      <c r="R26" s="45" t="n">
        <f aca="false">12*Assumptions!$C$54*R$6</f>
        <v>33579.9583559718</v>
      </c>
      <c r="S26" s="45" t="n">
        <f aca="false">12*Assumptions!$C$54*S$6</f>
        <v>34251.5575230913</v>
      </c>
      <c r="T26" s="45" t="n">
        <f aca="false">12*Assumptions!$C$54*T$6</f>
        <v>34936.5886735531</v>
      </c>
      <c r="U26" s="45" t="n">
        <f aca="false">12*Assumptions!$C$54*U$6</f>
        <v>35635.3204470242</v>
      </c>
      <c r="V26" s="45" t="n">
        <f aca="false">12*Assumptions!$C$54*V$6</f>
        <v>36348.0268559646</v>
      </c>
      <c r="W26" s="45" t="n">
        <f aca="false">12*Assumptions!$C$54*W$6</f>
        <v>37074.9873930839</v>
      </c>
      <c r="X26" s="45" t="n">
        <f aca="false">12*Assumptions!$C$54*X$6</f>
        <v>37816.4871409456</v>
      </c>
      <c r="Y26" s="45" t="n">
        <f aca="false">12*Assumptions!$C$54*Y$6</f>
        <v>38572.8168837645</v>
      </c>
      <c r="Z26" s="45" t="n">
        <f aca="false">12*Assumptions!$C$54*Z$6</f>
        <v>39344.2732214398</v>
      </c>
      <c r="AA26" s="45" t="n">
        <f aca="false">12*Assumptions!$C$54*AA$6</f>
        <v>40131.1586858686</v>
      </c>
      <c r="AB26" s="45" t="n">
        <f aca="false">12*Assumptions!$C$54*AB$6</f>
        <v>40933.781859586</v>
      </c>
      <c r="AC26" s="45" t="n">
        <f aca="false">12*Assumptions!$C$54*AC$6</f>
        <v>41752.4574967777</v>
      </c>
      <c r="AD26" s="45" t="n">
        <f aca="false">12*Assumptions!$C$54*AD$6</f>
        <v>42587.5066467133</v>
      </c>
      <c r="AE26" s="45" t="n">
        <f aca="false">12*Assumptions!$C$54*AE$6</f>
        <v>43439.2567796475</v>
      </c>
      <c r="AF26" s="45" t="n">
        <f aca="false">12*Assumptions!$C$54*AF$6</f>
        <v>44308.0419152405</v>
      </c>
    </row>
    <row r="27" customFormat="false" ht="15" hidden="false" customHeight="true" outlineLevel="0" collapsed="false">
      <c r="B27" s="26" t="s">
        <v>355</v>
      </c>
      <c r="C27" s="51" t="n">
        <f aca="false">Children!C$12</f>
        <v>18000</v>
      </c>
      <c r="D27" s="51" t="n">
        <f aca="false">Children!D$12</f>
        <v>18720</v>
      </c>
      <c r="E27" s="51" t="n">
        <f aca="false">Children!E$12</f>
        <v>19468.8</v>
      </c>
      <c r="F27" s="51" t="n">
        <f aca="false">Children!F$12</f>
        <v>19858.176</v>
      </c>
      <c r="G27" s="51" t="n">
        <f aca="false">Children!G$12</f>
        <v>20255.33952</v>
      </c>
      <c r="H27" s="51" t="n">
        <f aca="false">Children!H$12</f>
        <v>20660.4463104</v>
      </c>
      <c r="I27" s="51" t="n">
        <f aca="false">Children!I$12</f>
        <v>21073.655236608</v>
      </c>
      <c r="J27" s="51" t="n">
        <f aca="false">Children!J$12</f>
        <v>21495.1283413402</v>
      </c>
      <c r="K27" s="51" t="n">
        <f aca="false">Children!K$12</f>
        <v>0</v>
      </c>
      <c r="L27" s="51" t="n">
        <f aca="false">Children!L$12</f>
        <v>0</v>
      </c>
      <c r="M27" s="51" t="n">
        <f aca="false">Children!M$12</f>
        <v>0</v>
      </c>
      <c r="N27" s="51" t="n">
        <f aca="false">Children!N$12</f>
        <v>0</v>
      </c>
      <c r="O27" s="51" t="n">
        <f aca="false">Children!O$12</f>
        <v>0</v>
      </c>
      <c r="P27" s="51" t="n">
        <f aca="false">Children!P$12</f>
        <v>0</v>
      </c>
      <c r="Q27" s="51" t="n">
        <f aca="false">Children!Q$12</f>
        <v>0</v>
      </c>
      <c r="R27" s="51" t="n">
        <f aca="false">Children!R$12</f>
        <v>0</v>
      </c>
      <c r="S27" s="51" t="n">
        <f aca="false">Children!S$12</f>
        <v>0</v>
      </c>
      <c r="T27" s="51" t="n">
        <f aca="false">Children!T$12</f>
        <v>0</v>
      </c>
      <c r="U27" s="51" t="n">
        <f aca="false">Children!U$12</f>
        <v>0</v>
      </c>
      <c r="V27" s="51" t="n">
        <f aca="false">Children!V$12</f>
        <v>0</v>
      </c>
      <c r="W27" s="51" t="n">
        <f aca="false">Children!W$12</f>
        <v>0</v>
      </c>
      <c r="X27" s="51" t="n">
        <f aca="false">Children!X$12</f>
        <v>0</v>
      </c>
      <c r="Y27" s="51" t="n">
        <f aca="false">Children!Y$12</f>
        <v>0</v>
      </c>
      <c r="Z27" s="51" t="n">
        <f aca="false">Children!Z$12</f>
        <v>0</v>
      </c>
      <c r="AA27" s="51" t="n">
        <f aca="false">Children!AA$12</f>
        <v>0</v>
      </c>
      <c r="AB27" s="51" t="n">
        <f aca="false">Children!AB$12</f>
        <v>0</v>
      </c>
      <c r="AC27" s="51" t="n">
        <f aca="false">Children!AC$12</f>
        <v>0</v>
      </c>
      <c r="AD27" s="51" t="n">
        <f aca="false">Children!AD$12</f>
        <v>0</v>
      </c>
      <c r="AE27" s="51" t="n">
        <f aca="false">Children!AE$12</f>
        <v>0</v>
      </c>
      <c r="AF27" s="51" t="n">
        <f aca="false">Children!AF$12</f>
        <v>0</v>
      </c>
    </row>
    <row r="28" customFormat="false" ht="15" hidden="false" customHeight="true" outlineLevel="0" collapsed="false">
      <c r="B28" s="26" t="s">
        <v>356</v>
      </c>
      <c r="C28" s="51" t="n">
        <f aca="false">Children!C$11</f>
        <v>32400</v>
      </c>
      <c r="D28" s="51" t="n">
        <f aca="false">Children!D$11</f>
        <v>33696</v>
      </c>
      <c r="E28" s="51" t="n">
        <f aca="false">Children!E$11</f>
        <v>23362.56</v>
      </c>
      <c r="F28" s="51" t="n">
        <f aca="false">Children!F$11</f>
        <v>0</v>
      </c>
      <c r="G28" s="51" t="n">
        <f aca="false">Children!G$11</f>
        <v>0</v>
      </c>
      <c r="H28" s="51" t="n">
        <f aca="false">Children!H$11</f>
        <v>0</v>
      </c>
      <c r="I28" s="51" t="n">
        <f aca="false">Children!I$11</f>
        <v>0</v>
      </c>
      <c r="J28" s="51" t="n">
        <f aca="false">Children!J$11</f>
        <v>0</v>
      </c>
      <c r="K28" s="51" t="n">
        <f aca="false">Children!K$11</f>
        <v>0</v>
      </c>
      <c r="L28" s="51" t="n">
        <f aca="false">Children!L$11</f>
        <v>0</v>
      </c>
      <c r="M28" s="51" t="n">
        <f aca="false">Children!M$11</f>
        <v>0</v>
      </c>
      <c r="N28" s="51" t="n">
        <f aca="false">Children!N$11</f>
        <v>0</v>
      </c>
      <c r="O28" s="51" t="n">
        <f aca="false">Children!O$11</f>
        <v>0</v>
      </c>
      <c r="P28" s="51" t="n">
        <f aca="false">Children!P$11</f>
        <v>0</v>
      </c>
      <c r="Q28" s="51" t="n">
        <f aca="false">Children!Q$11</f>
        <v>0</v>
      </c>
      <c r="R28" s="51" t="n">
        <f aca="false">Children!R$11</f>
        <v>0</v>
      </c>
      <c r="S28" s="51" t="n">
        <f aca="false">Children!S$11</f>
        <v>0</v>
      </c>
      <c r="T28" s="51" t="n">
        <f aca="false">Children!T$11</f>
        <v>0</v>
      </c>
      <c r="U28" s="51" t="n">
        <f aca="false">Children!U$11</f>
        <v>0</v>
      </c>
      <c r="V28" s="51" t="n">
        <f aca="false">Children!V$11</f>
        <v>0</v>
      </c>
      <c r="W28" s="51" t="n">
        <f aca="false">Children!W$11</f>
        <v>0</v>
      </c>
      <c r="X28" s="51" t="n">
        <f aca="false">Children!X$11</f>
        <v>0</v>
      </c>
      <c r="Y28" s="51" t="n">
        <f aca="false">Children!Y$11</f>
        <v>0</v>
      </c>
      <c r="Z28" s="51" t="n">
        <f aca="false">Children!Z$11</f>
        <v>0</v>
      </c>
      <c r="AA28" s="51" t="n">
        <f aca="false">Children!AA$11</f>
        <v>0</v>
      </c>
      <c r="AB28" s="51" t="n">
        <f aca="false">Children!AB$11</f>
        <v>0</v>
      </c>
      <c r="AC28" s="51" t="n">
        <f aca="false">Children!AC$11</f>
        <v>0</v>
      </c>
      <c r="AD28" s="51" t="n">
        <f aca="false">Children!AD$11</f>
        <v>0</v>
      </c>
      <c r="AE28" s="51" t="n">
        <f aca="false">Children!AE$11</f>
        <v>0</v>
      </c>
      <c r="AF28" s="51" t="n">
        <f aca="false">Children!AF$11</f>
        <v>0</v>
      </c>
    </row>
    <row r="29" customFormat="false" ht="15" hidden="false" customHeight="true" outlineLevel="0" collapsed="false">
      <c r="B29" s="26" t="s">
        <v>357</v>
      </c>
      <c r="C29" s="45" t="n">
        <f aca="false">Assumptions!$C$58*C$6</f>
        <v>3000</v>
      </c>
      <c r="D29" s="45" t="n">
        <f aca="false">Assumptions!$C$58*D$6</f>
        <v>3120</v>
      </c>
      <c r="E29" s="45" t="n">
        <f aca="false">Assumptions!$C$58*E$6</f>
        <v>3244.8</v>
      </c>
      <c r="F29" s="45" t="n">
        <f aca="false">Assumptions!$C$58*F$6</f>
        <v>3309.696</v>
      </c>
      <c r="G29" s="45" t="n">
        <f aca="false">Assumptions!$C$58*G$6</f>
        <v>3375.88992</v>
      </c>
      <c r="H29" s="45" t="n">
        <f aca="false">Assumptions!$C$58*H$6</f>
        <v>3443.4077184</v>
      </c>
      <c r="I29" s="45" t="n">
        <f aca="false">Assumptions!$C$58*I$6</f>
        <v>3512.275872768</v>
      </c>
      <c r="J29" s="45" t="n">
        <f aca="false">Assumptions!$C$58*J$6</f>
        <v>3582.52139022336</v>
      </c>
      <c r="K29" s="45" t="n">
        <f aca="false">Assumptions!$C$58*K$6</f>
        <v>3654.17181802783</v>
      </c>
      <c r="L29" s="45" t="n">
        <f aca="false">Assumptions!$C$58*L$6</f>
        <v>3727.25525438838</v>
      </c>
      <c r="M29" s="45" t="n">
        <f aca="false">Assumptions!$C$58*M$6</f>
        <v>3801.80035947615</v>
      </c>
      <c r="N29" s="45" t="n">
        <f aca="false">Assumptions!$C$58*N$6</f>
        <v>3877.83636666568</v>
      </c>
      <c r="O29" s="45" t="n">
        <f aca="false">Assumptions!$C$58*O$6</f>
        <v>3955.39309399899</v>
      </c>
      <c r="P29" s="45" t="n">
        <f aca="false">Assumptions!$C$58*P$6</f>
        <v>4034.50095587897</v>
      </c>
      <c r="Q29" s="45" t="n">
        <f aca="false">Assumptions!$C$58*Q$6</f>
        <v>4115.19097499655</v>
      </c>
      <c r="R29" s="45" t="n">
        <f aca="false">Assumptions!$C$58*R$6</f>
        <v>4197.49479449648</v>
      </c>
      <c r="S29" s="45" t="n">
        <f aca="false">Assumptions!$C$58*S$6</f>
        <v>4281.44469038641</v>
      </c>
      <c r="T29" s="45" t="n">
        <f aca="false">Assumptions!$C$58*T$6</f>
        <v>4367.07358419414</v>
      </c>
      <c r="U29" s="45" t="n">
        <f aca="false">Assumptions!$C$58*U$6</f>
        <v>4454.41505587802</v>
      </c>
      <c r="V29" s="45" t="n">
        <f aca="false">Assumptions!$C$58*V$6</f>
        <v>4543.50335699558</v>
      </c>
      <c r="W29" s="45" t="n">
        <f aca="false">Assumptions!$C$58*W$6</f>
        <v>4634.37342413549</v>
      </c>
      <c r="X29" s="45" t="n">
        <f aca="false">Assumptions!$C$58*X$6</f>
        <v>4727.0608926182</v>
      </c>
      <c r="Y29" s="45" t="n">
        <f aca="false">Assumptions!$C$58*Y$6</f>
        <v>4821.60211047057</v>
      </c>
      <c r="Z29" s="45" t="n">
        <f aca="false">Assumptions!$C$58*Z$6</f>
        <v>4918.03415267998</v>
      </c>
      <c r="AA29" s="45" t="n">
        <f aca="false">Assumptions!$C$58*AA$6</f>
        <v>5016.39483573358</v>
      </c>
      <c r="AB29" s="45" t="n">
        <f aca="false">Assumptions!$C$58*AB$6</f>
        <v>5116.72273244825</v>
      </c>
      <c r="AC29" s="45" t="n">
        <f aca="false">Assumptions!$C$58*AC$6</f>
        <v>5219.05718709721</v>
      </c>
      <c r="AD29" s="45" t="n">
        <f aca="false">Assumptions!$C$58*AD$6</f>
        <v>5323.43833083916</v>
      </c>
      <c r="AE29" s="45" t="n">
        <f aca="false">Assumptions!$C$58*AE$6</f>
        <v>5429.90709745594</v>
      </c>
      <c r="AF29" s="45" t="n">
        <f aca="false">Assumptions!$C$58*AF$6</f>
        <v>5538.50523940506</v>
      </c>
    </row>
    <row r="30" customFormat="false" ht="15" hidden="false" customHeight="true" outlineLevel="0" collapsed="false">
      <c r="B30" s="26" t="s">
        <v>358</v>
      </c>
      <c r="C30" s="45" t="n">
        <f aca="false">Assumptions!$C$59*C$6</f>
        <v>1000</v>
      </c>
      <c r="D30" s="45" t="n">
        <f aca="false">Assumptions!$C$59*D$6</f>
        <v>1040</v>
      </c>
      <c r="E30" s="45" t="n">
        <f aca="false">Assumptions!$C$59*E$6</f>
        <v>1081.6</v>
      </c>
      <c r="F30" s="45" t="n">
        <f aca="false">Assumptions!$C$59*F$6</f>
        <v>1103.232</v>
      </c>
      <c r="G30" s="45" t="n">
        <f aca="false">Assumptions!$C$59*G$6</f>
        <v>1125.29664</v>
      </c>
      <c r="H30" s="45" t="n">
        <f aca="false">Assumptions!$C$59*H$6</f>
        <v>1147.8025728</v>
      </c>
      <c r="I30" s="45" t="n">
        <f aca="false">Assumptions!$C$59*I$6</f>
        <v>1170.758624256</v>
      </c>
      <c r="J30" s="45" t="n">
        <f aca="false">Assumptions!$C$59*J$6</f>
        <v>1194.17379674112</v>
      </c>
      <c r="K30" s="45" t="n">
        <f aca="false">Assumptions!$C$59*K$6</f>
        <v>1218.05727267594</v>
      </c>
      <c r="L30" s="45" t="n">
        <f aca="false">Assumptions!$C$59*L$6</f>
        <v>1242.41841812946</v>
      </c>
      <c r="M30" s="45" t="n">
        <f aca="false">Assumptions!$C$59*M$6</f>
        <v>1267.26678649205</v>
      </c>
      <c r="N30" s="45" t="n">
        <f aca="false">Assumptions!$C$59*N$6</f>
        <v>1292.61212222189</v>
      </c>
      <c r="O30" s="45" t="n">
        <f aca="false">Assumptions!$C$59*O$6</f>
        <v>1318.46436466633</v>
      </c>
      <c r="P30" s="45" t="n">
        <f aca="false">Assumptions!$C$59*P$6</f>
        <v>1344.83365195966</v>
      </c>
      <c r="Q30" s="45" t="n">
        <f aca="false">Assumptions!$C$59*Q$6</f>
        <v>1371.73032499885</v>
      </c>
      <c r="R30" s="45" t="n">
        <f aca="false">Assumptions!$C$59*R$6</f>
        <v>1399.16493149883</v>
      </c>
      <c r="S30" s="45" t="n">
        <f aca="false">Assumptions!$C$59*S$6</f>
        <v>1427.1482301288</v>
      </c>
      <c r="T30" s="45" t="n">
        <f aca="false">Assumptions!$C$59*T$6</f>
        <v>1455.69119473138</v>
      </c>
      <c r="U30" s="45" t="n">
        <f aca="false">Assumptions!$C$59*U$6</f>
        <v>1484.80501862601</v>
      </c>
      <c r="V30" s="45" t="n">
        <f aca="false">Assumptions!$C$59*V$6</f>
        <v>1514.50111899853</v>
      </c>
      <c r="W30" s="45" t="n">
        <f aca="false">Assumptions!$C$59*W$6</f>
        <v>1544.7911413785</v>
      </c>
      <c r="X30" s="45" t="n">
        <f aca="false">Assumptions!$C$59*X$6</f>
        <v>1575.68696420607</v>
      </c>
      <c r="Y30" s="45" t="n">
        <f aca="false">Assumptions!$C$59*Y$6</f>
        <v>1607.20070349019</v>
      </c>
      <c r="Z30" s="45" t="n">
        <f aca="false">Assumptions!$C$59*Z$6</f>
        <v>1639.34471755999</v>
      </c>
      <c r="AA30" s="45" t="n">
        <f aca="false">Assumptions!$C$59*AA$6</f>
        <v>1672.13161191119</v>
      </c>
      <c r="AB30" s="45" t="n">
        <f aca="false">Assumptions!$C$59*AB$6</f>
        <v>1705.57424414942</v>
      </c>
      <c r="AC30" s="45" t="n">
        <f aca="false">Assumptions!$C$59*AC$6</f>
        <v>1739.6857290324</v>
      </c>
      <c r="AD30" s="45" t="n">
        <f aca="false">Assumptions!$C$59*AD$6</f>
        <v>1774.47944361305</v>
      </c>
      <c r="AE30" s="45" t="n">
        <f aca="false">Assumptions!$C$59*AE$6</f>
        <v>1809.96903248531</v>
      </c>
      <c r="AF30" s="45" t="n">
        <f aca="false">Assumptions!$C$59*AF$6</f>
        <v>1846.16841313502</v>
      </c>
    </row>
    <row r="31" customFormat="false" ht="15" hidden="false" customHeight="true" outlineLevel="0" collapsed="false">
      <c r="B31" s="26" t="s">
        <v>359</v>
      </c>
      <c r="C31" s="45" t="n">
        <f aca="false">Assumptions!$C$60*C$6</f>
        <v>2000</v>
      </c>
      <c r="D31" s="45" t="n">
        <f aca="false">Assumptions!$C$60*D$6</f>
        <v>2080</v>
      </c>
      <c r="E31" s="45" t="n">
        <f aca="false">Assumptions!$C$60*E$6</f>
        <v>2163.2</v>
      </c>
      <c r="F31" s="45" t="n">
        <f aca="false">Assumptions!$C$60*F$6</f>
        <v>2206.464</v>
      </c>
      <c r="G31" s="45" t="n">
        <f aca="false">Assumptions!$C$60*G$6</f>
        <v>2250.59328</v>
      </c>
      <c r="H31" s="45" t="n">
        <f aca="false">Assumptions!$C$60*H$6</f>
        <v>2295.6051456</v>
      </c>
      <c r="I31" s="45" t="n">
        <f aca="false">Assumptions!$C$60*I$6</f>
        <v>2341.517248512</v>
      </c>
      <c r="J31" s="45" t="n">
        <f aca="false">Assumptions!$C$60*J$6</f>
        <v>2388.34759348224</v>
      </c>
      <c r="K31" s="45" t="n">
        <f aca="false">Assumptions!$C$60*K$6</f>
        <v>2436.11454535189</v>
      </c>
      <c r="L31" s="45" t="n">
        <f aca="false">Assumptions!$C$60*L$6</f>
        <v>2484.83683625892</v>
      </c>
      <c r="M31" s="45" t="n">
        <f aca="false">Assumptions!$C$60*M$6</f>
        <v>2534.5335729841</v>
      </c>
      <c r="N31" s="45" t="n">
        <f aca="false">Assumptions!$C$60*N$6</f>
        <v>2585.22424444378</v>
      </c>
      <c r="O31" s="45" t="n">
        <f aca="false">Assumptions!$C$60*O$6</f>
        <v>2636.92872933266</v>
      </c>
      <c r="P31" s="45" t="n">
        <f aca="false">Assumptions!$C$60*P$6</f>
        <v>2689.66730391931</v>
      </c>
      <c r="Q31" s="45" t="n">
        <f aca="false">Assumptions!$C$60*Q$6</f>
        <v>2743.4606499977</v>
      </c>
      <c r="R31" s="45" t="n">
        <f aca="false">Assumptions!$C$60*R$6</f>
        <v>2798.32986299765</v>
      </c>
      <c r="S31" s="45" t="n">
        <f aca="false">Assumptions!$C$60*S$6</f>
        <v>2854.29646025761</v>
      </c>
      <c r="T31" s="45" t="n">
        <f aca="false">Assumptions!$C$60*T$6</f>
        <v>2911.38238946276</v>
      </c>
      <c r="U31" s="45" t="n">
        <f aca="false">Assumptions!$C$60*U$6</f>
        <v>2969.61003725201</v>
      </c>
      <c r="V31" s="45" t="n">
        <f aca="false">Assumptions!$C$60*V$6</f>
        <v>3029.00223799705</v>
      </c>
      <c r="W31" s="45" t="n">
        <f aca="false">Assumptions!$C$60*W$6</f>
        <v>3089.58228275699</v>
      </c>
      <c r="X31" s="45" t="n">
        <f aca="false">Assumptions!$C$60*X$6</f>
        <v>3151.37392841214</v>
      </c>
      <c r="Y31" s="45" t="n">
        <f aca="false">Assumptions!$C$60*Y$6</f>
        <v>3214.40140698038</v>
      </c>
      <c r="Z31" s="45" t="n">
        <f aca="false">Assumptions!$C$60*Z$6</f>
        <v>3278.68943511999</v>
      </c>
      <c r="AA31" s="45" t="n">
        <f aca="false">Assumptions!$C$60*AA$6</f>
        <v>3344.26322382239</v>
      </c>
      <c r="AB31" s="45" t="n">
        <f aca="false">Assumptions!$C$60*AB$6</f>
        <v>3411.14848829883</v>
      </c>
      <c r="AC31" s="45" t="n">
        <f aca="false">Assumptions!$C$60*AC$6</f>
        <v>3479.37145806481</v>
      </c>
      <c r="AD31" s="45" t="n">
        <f aca="false">Assumptions!$C$60*AD$6</f>
        <v>3548.95888722611</v>
      </c>
      <c r="AE31" s="45" t="n">
        <f aca="false">Assumptions!$C$60*AE$6</f>
        <v>3619.93806497063</v>
      </c>
      <c r="AF31" s="45" t="n">
        <f aca="false">Assumptions!$C$60*AF$6</f>
        <v>3692.33682627004</v>
      </c>
    </row>
    <row r="32" customFormat="false" ht="15" hidden="false" customHeight="true" outlineLevel="0" collapsed="false">
      <c r="B32" s="26" t="s">
        <v>360</v>
      </c>
      <c r="C32" s="51" t="n">
        <f aca="false">Children!C$40</f>
        <v>0</v>
      </c>
      <c r="D32" s="51" t="n">
        <f aca="false">Children!D$40</f>
        <v>0</v>
      </c>
      <c r="E32" s="51" t="n">
        <f aca="false">Children!E$40</f>
        <v>0</v>
      </c>
      <c r="F32" s="51" t="n">
        <f aca="false">Children!F$40</f>
        <v>0</v>
      </c>
      <c r="G32" s="51" t="n">
        <f aca="false">Children!G$40</f>
        <v>0</v>
      </c>
      <c r="H32" s="51" t="n">
        <f aca="false">Children!H$40</f>
        <v>0</v>
      </c>
      <c r="I32" s="51" t="n">
        <f aca="false">Children!I$40</f>
        <v>0</v>
      </c>
      <c r="J32" s="51" t="n">
        <f aca="false">Children!J$40</f>
        <v>0</v>
      </c>
      <c r="K32" s="51" t="n">
        <f aca="false">Children!K$40</f>
        <v>0</v>
      </c>
      <c r="L32" s="51" t="n">
        <f aca="false">Children!L$40</f>
        <v>0</v>
      </c>
      <c r="M32" s="51" t="n">
        <f aca="false">Children!M$40</f>
        <v>0</v>
      </c>
      <c r="N32" s="51" t="n">
        <f aca="false">Children!N$40</f>
        <v>0</v>
      </c>
      <c r="O32" s="51" t="n">
        <f aca="false">Children!O$40</f>
        <v>0</v>
      </c>
      <c r="P32" s="51" t="n">
        <f aca="false">Children!P$40</f>
        <v>0</v>
      </c>
      <c r="Q32" s="51" t="n">
        <f aca="false">Children!Q$40</f>
        <v>9900.43231659653</v>
      </c>
      <c r="R32" s="51" t="n">
        <f aca="false">Children!R$40</f>
        <v>35608.7475066451</v>
      </c>
      <c r="S32" s="51" t="n">
        <f aca="false">Children!S$40</f>
        <v>0</v>
      </c>
      <c r="T32" s="51" t="n">
        <f aca="false">Children!T$40</f>
        <v>0</v>
      </c>
      <c r="U32" s="51" t="n">
        <f aca="false">Children!U$40</f>
        <v>0</v>
      </c>
      <c r="V32" s="51" t="n">
        <f aca="false">Children!V$40</f>
        <v>0</v>
      </c>
      <c r="W32" s="51" t="n">
        <f aca="false">Children!W$40</f>
        <v>0</v>
      </c>
      <c r="X32" s="51" t="n">
        <f aca="false">Children!X$40</f>
        <v>0</v>
      </c>
      <c r="Y32" s="51" t="n">
        <f aca="false">Children!Y$40</f>
        <v>0</v>
      </c>
      <c r="Z32" s="51" t="n">
        <f aca="false">Children!Z$40</f>
        <v>0</v>
      </c>
      <c r="AA32" s="51" t="n">
        <f aca="false">Children!AA$40</f>
        <v>0</v>
      </c>
      <c r="AB32" s="51" t="n">
        <f aca="false">Children!AB$40</f>
        <v>0</v>
      </c>
      <c r="AC32" s="51" t="n">
        <f aca="false">Children!AC$40</f>
        <v>0</v>
      </c>
      <c r="AD32" s="51" t="n">
        <f aca="false">Children!AD$40</f>
        <v>0</v>
      </c>
      <c r="AE32" s="51" t="n">
        <f aca="false">Children!AE$40</f>
        <v>0</v>
      </c>
      <c r="AF32" s="51" t="n">
        <f aca="false">Children!AF$40</f>
        <v>0</v>
      </c>
    </row>
    <row r="33" customFormat="false" ht="15" hidden="false" customHeight="true" outlineLevel="0" collapsed="false">
      <c r="B33" s="24" t="s">
        <v>361</v>
      </c>
      <c r="C33" s="50" t="n">
        <f aca="false">SUM(C23:C32)</f>
        <v>125400</v>
      </c>
      <c r="D33" s="50" t="n">
        <f aca="false">SUM(D23:D32)</f>
        <v>130416</v>
      </c>
      <c r="E33" s="50" t="n">
        <f aca="false">SUM(E23:E32)</f>
        <v>123951.36</v>
      </c>
      <c r="F33" s="50" t="n">
        <f aca="false">SUM(F23:F32)</f>
        <v>102600.576</v>
      </c>
      <c r="G33" s="50" t="n">
        <f aca="false">SUM(G23:G32)</f>
        <v>104652.58752</v>
      </c>
      <c r="H33" s="50" t="n">
        <f aca="false">SUM(H23:H32)</f>
        <v>106745.6392704</v>
      </c>
      <c r="I33" s="50" t="n">
        <f aca="false">SUM(I23:I32)</f>
        <v>108880.552055808</v>
      </c>
      <c r="J33" s="50" t="n">
        <f aca="false">SUM(J23:J32)</f>
        <v>111058.163096924</v>
      </c>
      <c r="K33" s="50" t="n">
        <f aca="false">SUM(K23:K32)</f>
        <v>91354.2954506957</v>
      </c>
      <c r="L33" s="50" t="n">
        <f aca="false">SUM(L23:L32)</f>
        <v>93181.3813597096</v>
      </c>
      <c r="M33" s="50" t="n">
        <f aca="false">SUM(M23:M32)</f>
        <v>95045.0089869038</v>
      </c>
      <c r="N33" s="50" t="n">
        <f aca="false">SUM(N23:N32)</f>
        <v>96945.9091666419</v>
      </c>
      <c r="O33" s="50" t="n">
        <f aca="false">SUM(O23:O32)</f>
        <v>98884.8273499747</v>
      </c>
      <c r="P33" s="50" t="n">
        <f aca="false">SUM(P23:P32)</f>
        <v>100862.523896974</v>
      </c>
      <c r="Q33" s="50" t="n">
        <f aca="false">SUM(Q23:Q32)</f>
        <v>112780.20669151</v>
      </c>
      <c r="R33" s="50" t="n">
        <f aca="false">SUM(R23:R32)</f>
        <v>140546.117369057</v>
      </c>
      <c r="S33" s="50" t="n">
        <f aca="false">SUM(S23:S32)</f>
        <v>107036.11725966</v>
      </c>
      <c r="T33" s="50" t="n">
        <f aca="false">SUM(T23:T32)</f>
        <v>109176.839604853</v>
      </c>
      <c r="U33" s="50" t="n">
        <f aca="false">SUM(U23:U32)</f>
        <v>111360.376396951</v>
      </c>
      <c r="V33" s="50" t="n">
        <f aca="false">SUM(V23:V32)</f>
        <v>113587.58392489</v>
      </c>
      <c r="W33" s="50" t="n">
        <f aca="false">SUM(W23:W32)</f>
        <v>115859.335603387</v>
      </c>
      <c r="X33" s="50" t="n">
        <f aca="false">SUM(X23:X32)</f>
        <v>118176.522315455</v>
      </c>
      <c r="Y33" s="50" t="n">
        <f aca="false">SUM(Y23:Y32)</f>
        <v>120540.052761764</v>
      </c>
      <c r="Z33" s="50" t="n">
        <f aca="false">SUM(Z23:Z32)</f>
        <v>122950.853816999</v>
      </c>
      <c r="AA33" s="50" t="n">
        <f aca="false">SUM(AA23:AA32)</f>
        <v>125409.870893339</v>
      </c>
      <c r="AB33" s="50" t="n">
        <f aca="false">SUM(AB23:AB32)</f>
        <v>127918.068311206</v>
      </c>
      <c r="AC33" s="50" t="n">
        <f aca="false">SUM(AC23:AC32)</f>
        <v>130476.42967743</v>
      </c>
      <c r="AD33" s="50" t="n">
        <f aca="false">SUM(AD23:AD32)</f>
        <v>133085.958270979</v>
      </c>
      <c r="AE33" s="50" t="n">
        <f aca="false">SUM(AE23:AE32)</f>
        <v>135747.677436399</v>
      </c>
      <c r="AF33" s="50" t="n">
        <f aca="false">SUM(AF23:AF32)</f>
        <v>138462.630985127</v>
      </c>
    </row>
    <row r="34" customFormat="false" ht="15" hidden="false" customHeight="true" outlineLevel="0" collapsed="false">
      <c r="B34" s="49" t="s">
        <v>362</v>
      </c>
      <c r="C34" s="45" t="n">
        <f aca="false">C33/C$6</f>
        <v>125400</v>
      </c>
      <c r="D34" s="45" t="n">
        <f aca="false">D33/D$6</f>
        <v>125400</v>
      </c>
      <c r="E34" s="45" t="n">
        <f aca="false">E33/E$6</f>
        <v>114600</v>
      </c>
      <c r="F34" s="45" t="n">
        <f aca="false">F33/F$6</f>
        <v>93000</v>
      </c>
      <c r="G34" s="45" t="n">
        <f aca="false">G33/G$6</f>
        <v>93000</v>
      </c>
      <c r="H34" s="45" t="n">
        <f aca="false">H33/H$6</f>
        <v>93000</v>
      </c>
      <c r="I34" s="45" t="n">
        <f aca="false">I33/I$6</f>
        <v>93000</v>
      </c>
      <c r="J34" s="45" t="n">
        <f aca="false">J33/J$6</f>
        <v>93000</v>
      </c>
      <c r="K34" s="45" t="n">
        <f aca="false">K33/K$6</f>
        <v>75000</v>
      </c>
      <c r="L34" s="45" t="n">
        <f aca="false">L33/L$6</f>
        <v>75000</v>
      </c>
      <c r="M34" s="45" t="n">
        <f aca="false">M33/M$6</f>
        <v>75000</v>
      </c>
      <c r="N34" s="45" t="n">
        <f aca="false">N33/N$6</f>
        <v>75000</v>
      </c>
      <c r="O34" s="45" t="n">
        <f aca="false">O33/O$6</f>
        <v>75000</v>
      </c>
      <c r="P34" s="45" t="n">
        <f aca="false">P33/P$6</f>
        <v>75000</v>
      </c>
      <c r="Q34" s="45" t="n">
        <f aca="false">Q33/Q$6</f>
        <v>82217.4771791276</v>
      </c>
      <c r="R34" s="45" t="n">
        <f aca="false">R33/R$6</f>
        <v>100450</v>
      </c>
      <c r="S34" s="45" t="n">
        <f aca="false">S33/S$6</f>
        <v>75000</v>
      </c>
      <c r="T34" s="45" t="n">
        <f aca="false">T33/T$6</f>
        <v>75000</v>
      </c>
      <c r="U34" s="45" t="n">
        <f aca="false">U33/U$6</f>
        <v>75000</v>
      </c>
      <c r="V34" s="45" t="n">
        <f aca="false">V33/V$6</f>
        <v>75000</v>
      </c>
      <c r="W34" s="45" t="n">
        <f aca="false">W33/W$6</f>
        <v>75000</v>
      </c>
      <c r="X34" s="45" t="n">
        <f aca="false">X33/X$6</f>
        <v>75000</v>
      </c>
      <c r="Y34" s="45" t="n">
        <f aca="false">Y33/Y$6</f>
        <v>75000</v>
      </c>
      <c r="Z34" s="45" t="n">
        <f aca="false">Z33/Z$6</f>
        <v>75000</v>
      </c>
      <c r="AA34" s="45" t="n">
        <f aca="false">AA33/AA$6</f>
        <v>75000</v>
      </c>
      <c r="AB34" s="45" t="n">
        <f aca="false">AB33/AB$6</f>
        <v>75000</v>
      </c>
      <c r="AC34" s="45" t="n">
        <f aca="false">AC33/AC$6</f>
        <v>75000</v>
      </c>
      <c r="AD34" s="45" t="n">
        <f aca="false">AD33/AD$6</f>
        <v>75000</v>
      </c>
      <c r="AE34" s="45" t="n">
        <f aca="false">AE33/AE$6</f>
        <v>75000</v>
      </c>
      <c r="AF34" s="45" t="n">
        <f aca="false">AF33/AF$6</f>
        <v>75000</v>
      </c>
    </row>
    <row r="35" customFormat="false" ht="15" hidden="false" customHeight="true" outlineLevel="0" collapsed="false">
      <c r="B35" s="49" t="s">
        <v>363</v>
      </c>
      <c r="C35" s="45" t="n">
        <f aca="false">C23+C24+C25+C26+C29+C30+C31</f>
        <v>75000</v>
      </c>
      <c r="D35" s="45" t="n">
        <f aca="false">D23+D24+D25+D26+D29+D30+D31</f>
        <v>78000</v>
      </c>
      <c r="E35" s="45" t="n">
        <f aca="false">E23+E24+E25+E26+E29+E30+E31</f>
        <v>81120</v>
      </c>
      <c r="F35" s="45" t="n">
        <f aca="false">F23+F24+F25+F26+F29+F30+F31</f>
        <v>82742.4</v>
      </c>
      <c r="G35" s="45" t="n">
        <f aca="false">G23+G24+G25+G26+G29+G30+G31</f>
        <v>84397.248</v>
      </c>
      <c r="H35" s="45" t="n">
        <f aca="false">H23+H24+H25+H26+H29+H30+H31</f>
        <v>86085.19296</v>
      </c>
      <c r="I35" s="45" t="n">
        <f aca="false">I23+I24+I25+I26+I29+I30+I31</f>
        <v>87806.8968192</v>
      </c>
      <c r="J35" s="45" t="n">
        <f aca="false">J23+J24+J25+J26+J29+J30+J31</f>
        <v>89563.034755584</v>
      </c>
      <c r="K35" s="45" t="n">
        <f aca="false">K23+K24+K25+K26+K29+K30+K31</f>
        <v>91354.2954506957</v>
      </c>
      <c r="L35" s="45" t="n">
        <f aca="false">L23+L24+L25+L26+L29+L30+L31</f>
        <v>93181.3813597096</v>
      </c>
      <c r="M35" s="45" t="n">
        <f aca="false">M23+M24+M25+M26+M29+M30+M31</f>
        <v>95045.0089869038</v>
      </c>
      <c r="N35" s="45" t="n">
        <f aca="false">N23+N24+N25+N26+N29+N30+N31</f>
        <v>96945.9091666419</v>
      </c>
      <c r="O35" s="45" t="n">
        <f aca="false">O23+O24+O25+O26+O29+O30+O31</f>
        <v>98884.8273499747</v>
      </c>
      <c r="P35" s="45" t="n">
        <f aca="false">P23+P24+P25+P26+P29+P30+P31</f>
        <v>100862.523896974</v>
      </c>
      <c r="Q35" s="45" t="n">
        <f aca="false">Q23+Q24+Q25+Q26+Q29+Q30+Q31</f>
        <v>102879.774374914</v>
      </c>
      <c r="R35" s="45" t="n">
        <f aca="false">R23+R24+R25+R26+R29+R30+R31</f>
        <v>104937.369862412</v>
      </c>
      <c r="S35" s="45" t="n">
        <f aca="false">S23+S24+S25+S26+S29+S30+S31</f>
        <v>107036.11725966</v>
      </c>
      <c r="T35" s="45" t="n">
        <f aca="false">T23+T24+T25+T26+T29+T30+T31</f>
        <v>109176.839604853</v>
      </c>
      <c r="U35" s="45" t="n">
        <f aca="false">U23+U24+U25+U26+U29+U30+U31</f>
        <v>111360.376396951</v>
      </c>
      <c r="V35" s="45" t="n">
        <f aca="false">V23+V24+V25+V26+V29+V30+V31</f>
        <v>113587.58392489</v>
      </c>
      <c r="W35" s="45" t="n">
        <f aca="false">W23+W24+W25+W26+W29+W30+W31</f>
        <v>115859.335603387</v>
      </c>
      <c r="X35" s="45" t="n">
        <f aca="false">X23+X24+X25+X26+X29+X30+X31</f>
        <v>118176.522315455</v>
      </c>
      <c r="Y35" s="45" t="n">
        <f aca="false">Y23+Y24+Y25+Y26+Y29+Y30+Y31</f>
        <v>120540.052761764</v>
      </c>
      <c r="Z35" s="45" t="n">
        <f aca="false">Z23+Z24+Z25+Z26+Z29+Z30+Z31</f>
        <v>122950.853816999</v>
      </c>
      <c r="AA35" s="45" t="n">
        <f aca="false">AA23+AA24+AA25+AA26+AA29+AA30+AA31</f>
        <v>125409.870893339</v>
      </c>
      <c r="AB35" s="45" t="n">
        <f aca="false">AB23+AB24+AB25+AB26+AB29+AB30+AB31</f>
        <v>127918.068311206</v>
      </c>
      <c r="AC35" s="45" t="n">
        <f aca="false">AC23+AC24+AC25+AC26+AC29+AC30+AC31</f>
        <v>130476.42967743</v>
      </c>
      <c r="AD35" s="45" t="n">
        <f aca="false">AD23+AD24+AD25+AD26+AD29+AD30+AD31</f>
        <v>133085.958270979</v>
      </c>
      <c r="AE35" s="45" t="n">
        <f aca="false">AE23+AE24+AE25+AE26+AE29+AE30+AE31</f>
        <v>135747.677436399</v>
      </c>
      <c r="AF35" s="45" t="n">
        <f aca="false">AF23+AF24+AF25+AF26+AF29+AF30+AF31</f>
        <v>138462.630985127</v>
      </c>
    </row>
    <row r="37" customFormat="false" ht="15" hidden="false" customHeight="true" outlineLevel="0" collapsed="false">
      <c r="A37" s="23" t="s">
        <v>364</v>
      </c>
      <c r="B37" s="23"/>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row>
    <row r="38" customFormat="false" ht="15" hidden="false" customHeight="true" outlineLevel="0" collapsed="false">
      <c r="B38" s="24" t="s">
        <v>365</v>
      </c>
      <c r="C38" s="50" t="n">
        <f aca="false">C20-C33</f>
        <v>-47756.2</v>
      </c>
      <c r="D38" s="50" t="n">
        <f aca="false">D20-D33</f>
        <v>-46160.2</v>
      </c>
      <c r="E38" s="50" t="n">
        <f aca="false">E20-E33</f>
        <v>-32819.08</v>
      </c>
      <c r="F38" s="50" t="n">
        <f aca="false">F20-F33</f>
        <v>-7531.11040000003</v>
      </c>
      <c r="G38" s="50" t="n">
        <f aca="false">G20-G33</f>
        <v>-5373.18860800001</v>
      </c>
      <c r="H38" s="50" t="n">
        <f aca="false">H20-H33</f>
        <v>-5300.65238015998</v>
      </c>
      <c r="I38" s="50" t="n">
        <f aca="false">I20-I33</f>
        <v>-5226.66542776315</v>
      </c>
      <c r="J38" s="50" t="n">
        <f aca="false">J20-J33</f>
        <v>-5151.19873631846</v>
      </c>
      <c r="K38" s="50" t="n">
        <f aca="false">K20-K33</f>
        <v>16850.8081971222</v>
      </c>
      <c r="L38" s="50" t="n">
        <f aca="false">L20-L33</f>
        <v>17367.8243610646</v>
      </c>
      <c r="M38" s="50" t="n">
        <f aca="false">M20-M33</f>
        <v>17895.1808482859</v>
      </c>
      <c r="N38" s="50" t="n">
        <f aca="false">N20-N33</f>
        <v>18433.0844652517</v>
      </c>
      <c r="O38" s="50" t="n">
        <f aca="false">O20-O33</f>
        <v>18981.7461545566</v>
      </c>
      <c r="P38" s="50" t="n">
        <f aca="false">P20-P33</f>
        <v>19541.3810776478</v>
      </c>
      <c r="Q38" s="50" t="n">
        <f aca="false">Q20-Q33</f>
        <v>10211.7763826042</v>
      </c>
      <c r="R38" s="50" t="n">
        <f aca="false">R20-R33</f>
        <v>-14914.2946334604</v>
      </c>
      <c r="S38" s="50" t="n">
        <f aca="false">S20-S33</f>
        <v>30288.3419306484</v>
      </c>
      <c r="T38" s="50" t="n">
        <f aca="false">T20-T33</f>
        <v>30894.1087692615</v>
      </c>
      <c r="U38" s="50" t="n">
        <f aca="false">U20-U33</f>
        <v>31511.9909446467</v>
      </c>
      <c r="V38" s="50" t="n">
        <f aca="false">V20-V33</f>
        <v>32142.2307635396</v>
      </c>
      <c r="W38" s="50" t="n">
        <f aca="false">W20-W33</f>
        <v>32785.0753788103</v>
      </c>
      <c r="X38" s="50" t="n">
        <f aca="false">X20-X33</f>
        <v>33440.7768863865</v>
      </c>
      <c r="Y38" s="50" t="n">
        <f aca="false">Y20-Y33</f>
        <v>34109.5924241143</v>
      </c>
      <c r="Z38" s="50" t="n">
        <f aca="false">Z20-Z33</f>
        <v>34791.7842725966</v>
      </c>
      <c r="AA38" s="50" t="n">
        <f aca="false">AA20-AA33</f>
        <v>35487.6199580485</v>
      </c>
      <c r="AB38" s="50" t="n">
        <f aca="false">AB20-AB33</f>
        <v>36197.3723572095</v>
      </c>
      <c r="AC38" s="50" t="n">
        <f aca="false">AC20-AC33</f>
        <v>36921.3198043536</v>
      </c>
      <c r="AD38" s="50" t="n">
        <f aca="false">AD20-AD33</f>
        <v>37659.7462004407</v>
      </c>
      <c r="AE38" s="50" t="n">
        <f aca="false">AE20-AE33</f>
        <v>38412.9411244496</v>
      </c>
      <c r="AF38" s="50" t="n">
        <f aca="false">AF20-AF33</f>
        <v>39181.1999469386</v>
      </c>
    </row>
    <row r="40" customFormat="false" ht="15" hidden="false" customHeight="true" outlineLevel="0" collapsed="false">
      <c r="A40" s="23" t="s">
        <v>366</v>
      </c>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row>
    <row r="41" customFormat="false" ht="15" hidden="false" customHeight="true" outlineLevel="0" collapsed="false">
      <c r="B41" s="26" t="s">
        <v>367</v>
      </c>
      <c r="C41" s="45" t="n">
        <v>0</v>
      </c>
      <c r="D41" s="45" t="n">
        <f aca="false">C44</f>
        <v>0</v>
      </c>
      <c r="E41" s="45" t="n">
        <f aca="false">D44</f>
        <v>0</v>
      </c>
      <c r="F41" s="45" t="n">
        <f aca="false">E44</f>
        <v>0</v>
      </c>
      <c r="G41" s="45" t="n">
        <f aca="false">F44</f>
        <v>0</v>
      </c>
      <c r="H41" s="45" t="n">
        <f aca="false">G44</f>
        <v>0</v>
      </c>
      <c r="I41" s="45" t="n">
        <f aca="false">H44</f>
        <v>0</v>
      </c>
      <c r="J41" s="45" t="n">
        <f aca="false">I44</f>
        <v>0</v>
      </c>
      <c r="K41" s="45" t="n">
        <f aca="false">J44</f>
        <v>0</v>
      </c>
      <c r="L41" s="45" t="n">
        <f aca="false">K44</f>
        <v>16850.8081971222</v>
      </c>
      <c r="M41" s="45" t="n">
        <f aca="false">L44</f>
        <v>35650.9512549421</v>
      </c>
      <c r="N41" s="45" t="n">
        <f aca="false">M44</f>
        <v>56576.4629598981</v>
      </c>
      <c r="O41" s="45" t="n">
        <f aca="false">N44</f>
        <v>79818.5467767411</v>
      </c>
      <c r="P41" s="45" t="n">
        <f aca="false">O44</f>
        <v>105584.869407321</v>
      </c>
      <c r="Q41" s="45" t="n">
        <f aca="false">P44</f>
        <v>134100.964384591</v>
      </c>
      <c r="R41" s="45" t="n">
        <f aca="false">Q44</f>
        <v>155711.322739885</v>
      </c>
      <c r="S41" s="45" t="n">
        <f aca="false">R44</f>
        <v>154032.490539315</v>
      </c>
      <c r="T41" s="45" t="n">
        <f aca="false">S44</f>
        <v>197413.594165805</v>
      </c>
      <c r="U41" s="45" t="n">
        <f aca="false">T44</f>
        <v>245087.85843916</v>
      </c>
      <c r="V41" s="45" t="n">
        <f aca="false">U44</f>
        <v>297432.317351135</v>
      </c>
      <c r="W41" s="45" t="n">
        <f aca="false">V44</f>
        <v>354856.295089522</v>
      </c>
      <c r="X41" s="45" t="n">
        <f aca="false">W44</f>
        <v>417804.155550941</v>
      </c>
      <c r="Y41" s="45" t="n">
        <f aca="false">X44</f>
        <v>486758.285659158</v>
      </c>
      <c r="Z41" s="45" t="n">
        <f aca="false">Y44</f>
        <v>562242.3323643</v>
      </c>
      <c r="AA41" s="45" t="n">
        <f aca="false">Z44</f>
        <v>644824.714887862</v>
      </c>
      <c r="AB41" s="45" t="n">
        <f aca="false">AA44</f>
        <v>735122.435611379</v>
      </c>
      <c r="AC41" s="45" t="n">
        <f aca="false">AB44</f>
        <v>833805.214995556</v>
      </c>
      <c r="AD41" s="45" t="n">
        <f aca="false">AC44</f>
        <v>941599.978074532</v>
      </c>
      <c r="AE41" s="45" t="n">
        <f aca="false">AD44</f>
        <v>1059295.72241131</v>
      </c>
      <c r="AF41" s="45" t="n">
        <f aca="false">AE44</f>
        <v>1187748.79994072</v>
      </c>
    </row>
    <row r="42" customFormat="false" ht="15" hidden="false" customHeight="true" outlineLevel="0" collapsed="false">
      <c r="B42" s="49" t="s">
        <v>368</v>
      </c>
      <c r="C42" s="45" t="n">
        <f aca="false">C41*Assumptions!$C$28</f>
        <v>0</v>
      </c>
      <c r="D42" s="45" t="n">
        <f aca="false">D41*Assumptions!$C$28</f>
        <v>0</v>
      </c>
      <c r="E42" s="45" t="n">
        <f aca="false">E41*Assumptions!$C$28</f>
        <v>0</v>
      </c>
      <c r="F42" s="45" t="n">
        <f aca="false">F41*Assumptions!$C$28</f>
        <v>0</v>
      </c>
      <c r="G42" s="45" t="n">
        <f aca="false">G41*Assumptions!$C$28</f>
        <v>0</v>
      </c>
      <c r="H42" s="45" t="n">
        <f aca="false">H41*Assumptions!$C$28</f>
        <v>0</v>
      </c>
      <c r="I42" s="45" t="n">
        <f aca="false">I41*Assumptions!$C$28</f>
        <v>0</v>
      </c>
      <c r="J42" s="45" t="n">
        <f aca="false">J41*Assumptions!$C$28</f>
        <v>0</v>
      </c>
      <c r="K42" s="45" t="n">
        <f aca="false">K41*Assumptions!$C$28</f>
        <v>0</v>
      </c>
      <c r="L42" s="45" t="n">
        <f aca="false">L41*Assumptions!$C$28</f>
        <v>1432.31869675538</v>
      </c>
      <c r="M42" s="45" t="n">
        <f aca="false">M41*Assumptions!$C$28</f>
        <v>3030.33085667008</v>
      </c>
      <c r="N42" s="45" t="n">
        <f aca="false">N41*Assumptions!$C$28</f>
        <v>4808.99935159134</v>
      </c>
      <c r="O42" s="45" t="n">
        <f aca="false">O41*Assumptions!$C$28</f>
        <v>6784.57647602299</v>
      </c>
      <c r="P42" s="45" t="n">
        <f aca="false">P41*Assumptions!$C$28</f>
        <v>8974.71389962226</v>
      </c>
      <c r="Q42" s="45" t="n">
        <f aca="false">Q41*Assumptions!$C$28</f>
        <v>11398.5819726902</v>
      </c>
      <c r="R42" s="45" t="n">
        <f aca="false">R41*Assumptions!$C$28</f>
        <v>13235.4624328902</v>
      </c>
      <c r="S42" s="45" t="n">
        <f aca="false">S41*Assumptions!$C$28</f>
        <v>13092.7616958418</v>
      </c>
      <c r="T42" s="45" t="n">
        <f aca="false">T41*Assumptions!$C$28</f>
        <v>16780.1555040934</v>
      </c>
      <c r="U42" s="45" t="n">
        <f aca="false">U41*Assumptions!$C$28</f>
        <v>20832.4679673286</v>
      </c>
      <c r="V42" s="45" t="n">
        <f aca="false">V41*Assumptions!$C$28</f>
        <v>25281.7469748465</v>
      </c>
      <c r="W42" s="45" t="n">
        <f aca="false">W41*Assumptions!$C$28</f>
        <v>30162.7850826093</v>
      </c>
      <c r="X42" s="45" t="n">
        <f aca="false">X41*Assumptions!$C$28</f>
        <v>35513.35322183</v>
      </c>
      <c r="Y42" s="45" t="n">
        <f aca="false">Y41*Assumptions!$C$28</f>
        <v>41374.4542810284</v>
      </c>
      <c r="Z42" s="45" t="n">
        <f aca="false">Z41*Assumptions!$C$28</f>
        <v>47790.5982509655</v>
      </c>
      <c r="AA42" s="45" t="n">
        <f aca="false">AA41*Assumptions!$C$28</f>
        <v>54810.1007654683</v>
      </c>
      <c r="AB42" s="45" t="n">
        <f aca="false">AB41*Assumptions!$C$28</f>
        <v>62485.4070269672</v>
      </c>
      <c r="AC42" s="45" t="n">
        <f aca="false">AC41*Assumptions!$C$28</f>
        <v>70873.4432746223</v>
      </c>
      <c r="AD42" s="45" t="n">
        <f aca="false">AD41*Assumptions!$C$28</f>
        <v>80035.9981363352</v>
      </c>
      <c r="AE42" s="45" t="n">
        <f aca="false">AE41*Assumptions!$C$28</f>
        <v>90040.1364049612</v>
      </c>
      <c r="AF42" s="45" t="n">
        <f aca="false">AF41*Assumptions!$C$28</f>
        <v>100958.647994961</v>
      </c>
    </row>
    <row r="43" customFormat="false" ht="15" hidden="false" customHeight="true" outlineLevel="0" collapsed="false">
      <c r="B43" s="49" t="s">
        <v>369</v>
      </c>
      <c r="C43" s="45" t="n">
        <f aca="false">C38</f>
        <v>-47756.2</v>
      </c>
      <c r="D43" s="45" t="n">
        <f aca="false">D38</f>
        <v>-46160.2</v>
      </c>
      <c r="E43" s="45" t="n">
        <f aca="false">E38</f>
        <v>-32819.08</v>
      </c>
      <c r="F43" s="45" t="n">
        <f aca="false">F38</f>
        <v>-7531.11040000003</v>
      </c>
      <c r="G43" s="45" t="n">
        <f aca="false">G38</f>
        <v>-5373.18860800001</v>
      </c>
      <c r="H43" s="45" t="n">
        <f aca="false">H38</f>
        <v>-5300.65238015998</v>
      </c>
      <c r="I43" s="45" t="n">
        <f aca="false">I38</f>
        <v>-5226.66542776315</v>
      </c>
      <c r="J43" s="45" t="n">
        <f aca="false">J38</f>
        <v>-5151.19873631846</v>
      </c>
      <c r="K43" s="45" t="n">
        <f aca="false">K38</f>
        <v>16850.8081971222</v>
      </c>
      <c r="L43" s="45" t="n">
        <f aca="false">L38</f>
        <v>17367.8243610646</v>
      </c>
      <c r="M43" s="45" t="n">
        <f aca="false">M38</f>
        <v>17895.1808482859</v>
      </c>
      <c r="N43" s="45" t="n">
        <f aca="false">N38</f>
        <v>18433.0844652517</v>
      </c>
      <c r="O43" s="45" t="n">
        <f aca="false">O38</f>
        <v>18981.7461545566</v>
      </c>
      <c r="P43" s="45" t="n">
        <f aca="false">P38</f>
        <v>19541.3810776478</v>
      </c>
      <c r="Q43" s="45" t="n">
        <f aca="false">Q38</f>
        <v>10211.7763826042</v>
      </c>
      <c r="R43" s="45" t="n">
        <f aca="false">R38</f>
        <v>-14914.2946334604</v>
      </c>
      <c r="S43" s="45" t="n">
        <f aca="false">S38</f>
        <v>30288.3419306484</v>
      </c>
      <c r="T43" s="45" t="n">
        <f aca="false">T38</f>
        <v>30894.1087692615</v>
      </c>
      <c r="U43" s="45" t="n">
        <f aca="false">U38</f>
        <v>31511.9909446467</v>
      </c>
      <c r="V43" s="45" t="n">
        <f aca="false">V38</f>
        <v>32142.2307635396</v>
      </c>
      <c r="W43" s="45" t="n">
        <f aca="false">W38</f>
        <v>32785.0753788103</v>
      </c>
      <c r="X43" s="45" t="n">
        <f aca="false">X38</f>
        <v>33440.7768863865</v>
      </c>
      <c r="Y43" s="45" t="n">
        <f aca="false">Y38</f>
        <v>34109.5924241143</v>
      </c>
      <c r="Z43" s="45" t="n">
        <f aca="false">Z38</f>
        <v>34791.7842725966</v>
      </c>
      <c r="AA43" s="45" t="n">
        <f aca="false">AA38</f>
        <v>35487.6199580485</v>
      </c>
      <c r="AB43" s="45" t="n">
        <f aca="false">AB38</f>
        <v>36197.3723572095</v>
      </c>
      <c r="AC43" s="45" t="n">
        <f aca="false">AC38</f>
        <v>36921.3198043536</v>
      </c>
      <c r="AD43" s="45" t="n">
        <f aca="false">AD38</f>
        <v>37659.7462004407</v>
      </c>
      <c r="AE43" s="45" t="n">
        <f aca="false">AE38</f>
        <v>38412.9411244496</v>
      </c>
      <c r="AF43" s="45" t="n">
        <f aca="false">AF38</f>
        <v>39181.1999469386</v>
      </c>
    </row>
    <row r="44" customFormat="false" ht="15" hidden="false" customHeight="true" outlineLevel="0" collapsed="false">
      <c r="B44" s="24" t="s">
        <v>370</v>
      </c>
      <c r="C44" s="48" t="n">
        <f aca="false">MAX(0,C41+C42+C43)</f>
        <v>0</v>
      </c>
      <c r="D44" s="48" t="n">
        <f aca="false">MAX(0,D41+D42+D43)</f>
        <v>0</v>
      </c>
      <c r="E44" s="48" t="n">
        <f aca="false">MAX(0,E41+E42+E43)</f>
        <v>0</v>
      </c>
      <c r="F44" s="48" t="n">
        <f aca="false">MAX(0,F41+F42+F43)</f>
        <v>0</v>
      </c>
      <c r="G44" s="48" t="n">
        <f aca="false">MAX(0,G41+G42+G43)</f>
        <v>0</v>
      </c>
      <c r="H44" s="48" t="n">
        <f aca="false">MAX(0,H41+H42+H43)</f>
        <v>0</v>
      </c>
      <c r="I44" s="48" t="n">
        <f aca="false">MAX(0,I41+I42+I43)</f>
        <v>0</v>
      </c>
      <c r="J44" s="48" t="n">
        <f aca="false">MAX(0,J41+J42+J43)</f>
        <v>0</v>
      </c>
      <c r="K44" s="48" t="n">
        <f aca="false">MAX(0,K41+K42+K43)</f>
        <v>16850.8081971222</v>
      </c>
      <c r="L44" s="48" t="n">
        <f aca="false">MAX(0,L41+L42+L43)</f>
        <v>35650.9512549421</v>
      </c>
      <c r="M44" s="48" t="n">
        <f aca="false">MAX(0,M41+M42+M43)</f>
        <v>56576.4629598981</v>
      </c>
      <c r="N44" s="48" t="n">
        <f aca="false">MAX(0,N41+N42+N43)</f>
        <v>79818.5467767411</v>
      </c>
      <c r="O44" s="48" t="n">
        <f aca="false">MAX(0,O41+O42+O43)</f>
        <v>105584.869407321</v>
      </c>
      <c r="P44" s="48" t="n">
        <f aca="false">MAX(0,P41+P42+P43)</f>
        <v>134100.964384591</v>
      </c>
      <c r="Q44" s="48" t="n">
        <f aca="false">MAX(0,Q41+Q42+Q43)</f>
        <v>155711.322739885</v>
      </c>
      <c r="R44" s="48" t="n">
        <f aca="false">MAX(0,R41+R42+R43)</f>
        <v>154032.490539315</v>
      </c>
      <c r="S44" s="48" t="n">
        <f aca="false">MAX(0,S41+S42+S43)</f>
        <v>197413.594165805</v>
      </c>
      <c r="T44" s="48" t="n">
        <f aca="false">MAX(0,T41+T42+T43)</f>
        <v>245087.85843916</v>
      </c>
      <c r="U44" s="48" t="n">
        <f aca="false">MAX(0,U41+U42+U43)</f>
        <v>297432.317351135</v>
      </c>
      <c r="V44" s="48" t="n">
        <f aca="false">MAX(0,V41+V42+V43)</f>
        <v>354856.295089522</v>
      </c>
      <c r="W44" s="48" t="n">
        <f aca="false">MAX(0,W41+W42+W43)</f>
        <v>417804.155550941</v>
      </c>
      <c r="X44" s="48" t="n">
        <f aca="false">MAX(0,X41+X42+X43)</f>
        <v>486758.285659158</v>
      </c>
      <c r="Y44" s="48" t="n">
        <f aca="false">MAX(0,Y41+Y42+Y43)</f>
        <v>562242.3323643</v>
      </c>
      <c r="Z44" s="48" t="n">
        <f aca="false">MAX(0,Z41+Z42+Z43)</f>
        <v>644824.714887862</v>
      </c>
      <c r="AA44" s="48" t="n">
        <f aca="false">MAX(0,AA41+AA42+AA43)</f>
        <v>735122.435611379</v>
      </c>
      <c r="AB44" s="48" t="n">
        <f aca="false">MAX(0,AB41+AB42+AB43)</f>
        <v>833805.214995556</v>
      </c>
      <c r="AC44" s="48" t="n">
        <f aca="false">MAX(0,AC41+AC42+AC43)</f>
        <v>941599.978074532</v>
      </c>
      <c r="AD44" s="48" t="n">
        <f aca="false">MAX(0,AD41+AD42+AD43)</f>
        <v>1059295.72241131</v>
      </c>
      <c r="AE44" s="48" t="n">
        <f aca="false">MAX(0,AE41+AE42+AE43)</f>
        <v>1187748.79994072</v>
      </c>
      <c r="AF44" s="48" t="n">
        <f aca="false">MAX(0,AF41+AF42+AF43)</f>
        <v>1327888.64788262</v>
      </c>
    </row>
    <row r="45" customFormat="false" ht="15" hidden="false" customHeight="true" outlineLevel="0" collapsed="false">
      <c r="B45" s="26" t="s">
        <v>371</v>
      </c>
      <c r="C45" s="45" t="n">
        <f aca="false">MAX(0,-(C41+C42+C43))</f>
        <v>47756.2</v>
      </c>
      <c r="D45" s="45" t="n">
        <f aca="false">MAX(0,-(D41+D42+D43))</f>
        <v>46160.2</v>
      </c>
      <c r="E45" s="45" t="n">
        <f aca="false">MAX(0,-(E41+E42+E43))</f>
        <v>32819.08</v>
      </c>
      <c r="F45" s="45" t="n">
        <f aca="false">MAX(0,-(F41+F42+F43))</f>
        <v>7531.11040000003</v>
      </c>
      <c r="G45" s="45" t="n">
        <f aca="false">MAX(0,-(G41+G42+G43))</f>
        <v>5373.18860800001</v>
      </c>
      <c r="H45" s="45" t="n">
        <f aca="false">MAX(0,-(H41+H42+H43))</f>
        <v>5300.65238015998</v>
      </c>
      <c r="I45" s="45" t="n">
        <f aca="false">MAX(0,-(I41+I42+I43))</f>
        <v>5226.66542776315</v>
      </c>
      <c r="J45" s="45" t="n">
        <f aca="false">MAX(0,-(J41+J42+J43))</f>
        <v>5151.19873631846</v>
      </c>
      <c r="K45" s="45" t="n">
        <f aca="false">MAX(0,-(K41+K42+K43))</f>
        <v>0</v>
      </c>
      <c r="L45" s="45" t="n">
        <f aca="false">MAX(0,-(L41+L42+L43))</f>
        <v>0</v>
      </c>
      <c r="M45" s="45" t="n">
        <f aca="false">MAX(0,-(M41+M42+M43))</f>
        <v>0</v>
      </c>
      <c r="N45" s="45" t="n">
        <f aca="false">MAX(0,-(N41+N42+N43))</f>
        <v>0</v>
      </c>
      <c r="O45" s="45" t="n">
        <f aca="false">MAX(0,-(O41+O42+O43))</f>
        <v>0</v>
      </c>
      <c r="P45" s="45" t="n">
        <f aca="false">MAX(0,-(P41+P42+P43))</f>
        <v>0</v>
      </c>
      <c r="Q45" s="45" t="n">
        <f aca="false">MAX(0,-(Q41+Q42+Q43))</f>
        <v>0</v>
      </c>
      <c r="R45" s="45" t="n">
        <f aca="false">MAX(0,-(R41+R42+R43))</f>
        <v>0</v>
      </c>
      <c r="S45" s="45" t="n">
        <f aca="false">MAX(0,-(S41+S42+S43))</f>
        <v>0</v>
      </c>
      <c r="T45" s="45" t="n">
        <f aca="false">MAX(0,-(T41+T42+T43))</f>
        <v>0</v>
      </c>
      <c r="U45" s="45" t="n">
        <f aca="false">MAX(0,-(U41+U42+U43))</f>
        <v>0</v>
      </c>
      <c r="V45" s="45" t="n">
        <f aca="false">MAX(0,-(V41+V42+V43))</f>
        <v>0</v>
      </c>
      <c r="W45" s="45" t="n">
        <f aca="false">MAX(0,-(W41+W42+W43))</f>
        <v>0</v>
      </c>
      <c r="X45" s="45" t="n">
        <f aca="false">MAX(0,-(X41+X42+X43))</f>
        <v>0</v>
      </c>
      <c r="Y45" s="45" t="n">
        <f aca="false">MAX(0,-(Y41+Y42+Y43))</f>
        <v>0</v>
      </c>
      <c r="Z45" s="45" t="n">
        <f aca="false">MAX(0,-(Z41+Z42+Z43))</f>
        <v>0</v>
      </c>
      <c r="AA45" s="45" t="n">
        <f aca="false">MAX(0,-(AA41+AA42+AA43))</f>
        <v>0</v>
      </c>
      <c r="AB45" s="45" t="n">
        <f aca="false">MAX(0,-(AB41+AB42+AB43))</f>
        <v>0</v>
      </c>
      <c r="AC45" s="45" t="n">
        <f aca="false">MAX(0,-(AC41+AC42+AC43))</f>
        <v>0</v>
      </c>
      <c r="AD45" s="45" t="n">
        <f aca="false">MAX(0,-(AD41+AD42+AD43))</f>
        <v>0</v>
      </c>
      <c r="AE45" s="45" t="n">
        <f aca="false">MAX(0,-(AE41+AE42+AE43))</f>
        <v>0</v>
      </c>
      <c r="AF45" s="45" t="n">
        <f aca="false">MAX(0,-(AF41+AF42+AF43))</f>
        <v>0</v>
      </c>
    </row>
    <row r="46" customFormat="false" ht="15" hidden="false" customHeight="true" outlineLevel="0" collapsed="false">
      <c r="B46" s="49" t="s">
        <v>372</v>
      </c>
      <c r="C46" s="45" t="n">
        <f aca="false">IF(MM_Income!C$31+DM_Income!C$31=0,0,C45*MM_Income!C$31/(MM_Income!C$31+DM_Income!C$31))</f>
        <v>14694.2153846154</v>
      </c>
      <c r="D46" s="45" t="n">
        <f aca="false">IF(MM_Income!D$31+DM_Income!D$31=0,0,D45*MM_Income!D$31/(MM_Income!D$31+DM_Income!D$31))</f>
        <v>15479.2799659977</v>
      </c>
      <c r="E46" s="45" t="n">
        <f aca="false">IF(MM_Income!E$31+DM_Income!E$31=0,0,E45*MM_Income!E$31/(MM_Income!E$31+DM_Income!E$31))</f>
        <v>11726.2531099843</v>
      </c>
      <c r="F46" s="45" t="n">
        <f aca="false">IF(MM_Income!F$31+DM_Income!F$31=0,0,F45*MM_Income!F$31/(MM_Income!F$31+DM_Income!F$31))</f>
        <v>2818.39432111322</v>
      </c>
      <c r="G46" s="45" t="n">
        <f aca="false">IF(MM_Income!G$31+DM_Income!G$31=0,0,G45*MM_Income!G$31/(MM_Income!G$31+DM_Income!G$31))</f>
        <v>2077.85849822236</v>
      </c>
      <c r="H46" s="45" t="n">
        <f aca="false">IF(MM_Income!H$31+DM_Income!H$31=0,0,H45*MM_Income!H$31/(MM_Income!H$31+DM_Income!H$31))</f>
        <v>2100.03870521032</v>
      </c>
      <c r="I46" s="45" t="n">
        <f aca="false">IF(MM_Income!I$31+DM_Income!I$31=0,0,I45*MM_Income!I$31/(MM_Income!I$31+DM_Income!I$31))</f>
        <v>2110.15128531371</v>
      </c>
      <c r="J46" s="45" t="n">
        <f aca="false">IF(MM_Income!J$31+DM_Income!J$31=0,0,J45*MM_Income!J$31/(MM_Income!J$31+DM_Income!J$31))</f>
        <v>2111.23645888618</v>
      </c>
      <c r="K46" s="45" t="n">
        <f aca="false">IF(MM_Income!K$31+DM_Income!K$31=0,0,K45*MM_Income!K$31/(MM_Income!K$31+DM_Income!K$31))</f>
        <v>0</v>
      </c>
      <c r="L46" s="45" t="n">
        <f aca="false">IF(MM_Income!L$31+DM_Income!L$31=0,0,L45*MM_Income!L$31/(MM_Income!L$31+DM_Income!L$31))</f>
        <v>0</v>
      </c>
      <c r="M46" s="45" t="n">
        <f aca="false">IF(MM_Income!M$31+DM_Income!M$31=0,0,M45*MM_Income!M$31/(MM_Income!M$31+DM_Income!M$31))</f>
        <v>0</v>
      </c>
      <c r="N46" s="45" t="n">
        <f aca="false">IF(MM_Income!N$31+DM_Income!N$31=0,0,N45*MM_Income!N$31/(MM_Income!N$31+DM_Income!N$31))</f>
        <v>0</v>
      </c>
      <c r="O46" s="45" t="n">
        <f aca="false">IF(MM_Income!O$31+DM_Income!O$31=0,0,O45*MM_Income!O$31/(MM_Income!O$31+DM_Income!O$31))</f>
        <v>0</v>
      </c>
      <c r="P46" s="45" t="n">
        <f aca="false">IF(MM_Income!P$31+DM_Income!P$31=0,0,P45*MM_Income!P$31/(MM_Income!P$31+DM_Income!P$31))</f>
        <v>0</v>
      </c>
      <c r="Q46" s="45" t="n">
        <f aca="false">IF(MM_Income!Q$31+DM_Income!Q$31=0,0,Q45*MM_Income!Q$31/(MM_Income!Q$31+DM_Income!Q$31))</f>
        <v>0</v>
      </c>
      <c r="R46" s="45" t="n">
        <f aca="false">IF(MM_Income!R$31+DM_Income!R$31=0,0,R45*MM_Income!R$31/(MM_Income!R$31+DM_Income!R$31))</f>
        <v>0</v>
      </c>
      <c r="S46" s="45" t="n">
        <f aca="false">IF(MM_Income!S$31+DM_Income!S$31=0,0,S45*MM_Income!S$31/(MM_Income!S$31+DM_Income!S$31))</f>
        <v>0</v>
      </c>
      <c r="T46" s="45" t="n">
        <f aca="false">IF(MM_Income!T$31+DM_Income!T$31=0,0,T45*MM_Income!T$31/(MM_Income!T$31+DM_Income!T$31))</f>
        <v>0</v>
      </c>
      <c r="U46" s="45" t="n">
        <f aca="false">IF(MM_Income!U$31+DM_Income!U$31=0,0,U45*MM_Income!U$31/(MM_Income!U$31+DM_Income!U$31))</f>
        <v>0</v>
      </c>
      <c r="V46" s="45" t="n">
        <f aca="false">IF(MM_Income!V$31+DM_Income!V$31=0,0,V45*MM_Income!V$31/(MM_Income!V$31+DM_Income!V$31))</f>
        <v>0</v>
      </c>
      <c r="W46" s="45" t="n">
        <f aca="false">IF(MM_Income!W$31+DM_Income!W$31=0,0,W45*MM_Income!W$31/(MM_Income!W$31+DM_Income!W$31))</f>
        <v>0</v>
      </c>
      <c r="X46" s="45" t="n">
        <f aca="false">IF(MM_Income!X$31+DM_Income!X$31=0,0,X45*MM_Income!X$31/(MM_Income!X$31+DM_Income!X$31))</f>
        <v>0</v>
      </c>
      <c r="Y46" s="45" t="n">
        <f aca="false">IF(MM_Income!Y$31+DM_Income!Y$31=0,0,Y45*MM_Income!Y$31/(MM_Income!Y$31+DM_Income!Y$31))</f>
        <v>0</v>
      </c>
      <c r="Z46" s="45" t="n">
        <f aca="false">IF(MM_Income!Z$31+DM_Income!Z$31=0,0,Z45*MM_Income!Z$31/(MM_Income!Z$31+DM_Income!Z$31))</f>
        <v>0</v>
      </c>
      <c r="AA46" s="45" t="n">
        <f aca="false">IF(MM_Income!AA$31+DM_Income!AA$31=0,0,AA45*MM_Income!AA$31/(MM_Income!AA$31+DM_Income!AA$31))</f>
        <v>0</v>
      </c>
      <c r="AB46" s="45" t="n">
        <f aca="false">IF(MM_Income!AB$31+DM_Income!AB$31=0,0,AB45*MM_Income!AB$31/(MM_Income!AB$31+DM_Income!AB$31))</f>
        <v>0</v>
      </c>
      <c r="AC46" s="45" t="n">
        <f aca="false">IF(MM_Income!AC$31+DM_Income!AC$31=0,0,AC45*MM_Income!AC$31/(MM_Income!AC$31+DM_Income!AC$31))</f>
        <v>0</v>
      </c>
      <c r="AD46" s="45" t="n">
        <f aca="false">IF(MM_Income!AD$31+DM_Income!AD$31=0,0,AD45*MM_Income!AD$31/(MM_Income!AD$31+DM_Income!AD$31))</f>
        <v>0</v>
      </c>
      <c r="AE46" s="45" t="n">
        <f aca="false">IF(MM_Income!AE$31+DM_Income!AE$31=0,0,AE45*MM_Income!AE$31/(MM_Income!AE$31+DM_Income!AE$31))</f>
        <v>0</v>
      </c>
      <c r="AF46" s="45" t="n">
        <f aca="false">IF(MM_Income!AF$31+DM_Income!AF$31=0,0,AF45*MM_Income!AF$31/(MM_Income!AF$31+DM_Income!AF$31))</f>
        <v>0</v>
      </c>
    </row>
    <row r="47" customFormat="false" ht="15" hidden="false" customHeight="true" outlineLevel="0" collapsed="false">
      <c r="B47" s="49" t="s">
        <v>373</v>
      </c>
      <c r="C47" s="45" t="n">
        <f aca="false">C45-C46</f>
        <v>33061.9846153846</v>
      </c>
      <c r="D47" s="45" t="n">
        <f aca="false">D45-D46</f>
        <v>30680.9200340023</v>
      </c>
      <c r="E47" s="45" t="n">
        <f aca="false">E45-E46</f>
        <v>21092.8268900157</v>
      </c>
      <c r="F47" s="45" t="n">
        <f aca="false">F45-F46</f>
        <v>4712.71607888682</v>
      </c>
      <c r="G47" s="45" t="n">
        <f aca="false">G45-G46</f>
        <v>3295.33010977765</v>
      </c>
      <c r="H47" s="45" t="n">
        <f aca="false">H45-H46</f>
        <v>3200.61367494966</v>
      </c>
      <c r="I47" s="45" t="n">
        <f aca="false">I45-I46</f>
        <v>3116.51414244943</v>
      </c>
      <c r="J47" s="45" t="n">
        <f aca="false">J45-J46</f>
        <v>3039.96227743228</v>
      </c>
      <c r="K47" s="45" t="n">
        <f aca="false">K45-K46</f>
        <v>0</v>
      </c>
      <c r="L47" s="45" t="n">
        <f aca="false">L45-L46</f>
        <v>0</v>
      </c>
      <c r="M47" s="45" t="n">
        <f aca="false">M45-M46</f>
        <v>0</v>
      </c>
      <c r="N47" s="45" t="n">
        <f aca="false">N45-N46</f>
        <v>0</v>
      </c>
      <c r="O47" s="45" t="n">
        <f aca="false">O45-O46</f>
        <v>0</v>
      </c>
      <c r="P47" s="45" t="n">
        <f aca="false">P45-P46</f>
        <v>0</v>
      </c>
      <c r="Q47" s="45" t="n">
        <f aca="false">Q45-Q46</f>
        <v>0</v>
      </c>
      <c r="R47" s="45" t="n">
        <f aca="false">R45-R46</f>
        <v>0</v>
      </c>
      <c r="S47" s="45" t="n">
        <f aca="false">S45-S46</f>
        <v>0</v>
      </c>
      <c r="T47" s="45" t="n">
        <f aca="false">T45-T46</f>
        <v>0</v>
      </c>
      <c r="U47" s="45" t="n">
        <f aca="false">U45-U46</f>
        <v>0</v>
      </c>
      <c r="V47" s="45" t="n">
        <f aca="false">V45-V46</f>
        <v>0</v>
      </c>
      <c r="W47" s="45" t="n">
        <f aca="false">W45-W46</f>
        <v>0</v>
      </c>
      <c r="X47" s="45" t="n">
        <f aca="false">X45-X46</f>
        <v>0</v>
      </c>
      <c r="Y47" s="45" t="n">
        <f aca="false">Y45-Y46</f>
        <v>0</v>
      </c>
      <c r="Z47" s="45" t="n">
        <f aca="false">Z45-Z46</f>
        <v>0</v>
      </c>
      <c r="AA47" s="45" t="n">
        <f aca="false">AA45-AA46</f>
        <v>0</v>
      </c>
      <c r="AB47" s="45" t="n">
        <f aca="false">AB45-AB46</f>
        <v>0</v>
      </c>
      <c r="AC47" s="45" t="n">
        <f aca="false">AC45-AC46</f>
        <v>0</v>
      </c>
      <c r="AD47" s="45" t="n">
        <f aca="false">AD45-AD46</f>
        <v>0</v>
      </c>
      <c r="AE47" s="45" t="n">
        <f aca="false">AE45-AE46</f>
        <v>0</v>
      </c>
      <c r="AF47" s="45" t="n">
        <f aca="false">AF45-AF46</f>
        <v>0</v>
      </c>
    </row>
    <row r="49" customFormat="false" ht="15" hidden="false" customHeight="true" outlineLevel="0" collapsed="false">
      <c r="B49" s="26" t="s">
        <v>374</v>
      </c>
      <c r="C49" s="51" t="n">
        <f aca="false">MM_Income!C$35</f>
        <v>93305.7846153846</v>
      </c>
      <c r="D49" s="51" t="n">
        <f aca="false">MM_Income!D$35</f>
        <v>107157.083110925</v>
      </c>
      <c r="E49" s="51" t="n">
        <f aca="false">MM_Income!E$35</f>
        <v>126146.538312034</v>
      </c>
      <c r="F49" s="51" t="n">
        <f aca="false">MM_Income!F$35</f>
        <v>155942.797822124</v>
      </c>
      <c r="G49" s="51" t="n">
        <f aca="false">MM_Income!G$35</f>
        <v>189459.219106114</v>
      </c>
      <c r="H49" s="51" t="n">
        <f aca="false">MM_Income!H$35</f>
        <v>226705.102311515</v>
      </c>
      <c r="I49" s="51" t="n">
        <f aca="false">MM_Income!I$35</f>
        <v>268073.461257353</v>
      </c>
      <c r="J49" s="51" t="n">
        <f aca="false">MM_Income!J$35</f>
        <v>313993.730924202</v>
      </c>
      <c r="K49" s="51" t="n">
        <f aca="false">MM_Income!K$35</f>
        <v>367041.747216622</v>
      </c>
      <c r="L49" s="51" t="n">
        <f aca="false">MM_Income!L$35</f>
        <v>425827.538002284</v>
      </c>
      <c r="M49" s="51" t="n">
        <f aca="false">MM_Income!M$35</f>
        <v>490933.540187792</v>
      </c>
      <c r="N49" s="51" t="n">
        <f aca="false">MM_Income!N$35</f>
        <v>563000.607559557</v>
      </c>
      <c r="O49" s="51" t="n">
        <f aca="false">MM_Income!O$35</f>
        <v>642733.855935558</v>
      </c>
      <c r="P49" s="51" t="n">
        <f aca="false">MM_Income!P$35</f>
        <v>730909.09290156</v>
      </c>
      <c r="Q49" s="51" t="n">
        <f aca="false">MM_Income!Q$35</f>
        <v>828379.890591612</v>
      </c>
      <c r="R49" s="51" t="n">
        <f aca="false">MM_Income!R$35</f>
        <v>936085.365818666</v>
      </c>
      <c r="S49" s="51" t="n">
        <f aca="false">MM_Income!S$35</f>
        <v>1055058.73829178</v>
      </c>
      <c r="T49" s="51" t="n">
        <f aca="false">MM_Income!T$35</f>
        <v>1186436.74473004</v>
      </c>
      <c r="U49" s="51" t="n">
        <f aca="false">MM_Income!U$35</f>
        <v>1331469.9944643</v>
      </c>
      <c r="V49" s="51" t="n">
        <f aca="false">MM_Income!V$35</f>
        <v>1491534.36067721</v>
      </c>
      <c r="W49" s="51" t="n">
        <f aca="false">MM_Income!W$35</f>
        <v>1668143.51084674</v>
      </c>
      <c r="X49" s="51" t="n">
        <f aca="false">MM_Income!X$35</f>
        <v>1862962.69031527</v>
      </c>
      <c r="Y49" s="51" t="n">
        <f aca="false">MM_Income!Y$35</f>
        <v>2077823.88429832</v>
      </c>
      <c r="Z49" s="51" t="n">
        <f aca="false">MM_Income!Z$35</f>
        <v>2314742.49617871</v>
      </c>
      <c r="AA49" s="51" t="n">
        <f aca="false">MM_Income!AA$35</f>
        <v>2575935.69371615</v>
      </c>
      <c r="AB49" s="51" t="n">
        <f aca="false">MM_Income!AB$35</f>
        <v>2863842.58996572</v>
      </c>
      <c r="AC49" s="51" t="n">
        <f aca="false">MM_Income!AC$35</f>
        <v>3181146.44237781</v>
      </c>
      <c r="AD49" s="51" t="n">
        <f aca="false">MM_Income!AD$35</f>
        <v>3530799.07189942</v>
      </c>
      <c r="AE49" s="51" t="n">
        <f aca="false">MM_Income!AE$35</f>
        <v>3916047.72407886</v>
      </c>
      <c r="AF49" s="51" t="n">
        <f aca="false">MM_Income!AF$35</f>
        <v>4340464.61637604</v>
      </c>
    </row>
    <row r="50" customFormat="false" ht="15" hidden="false" customHeight="true" outlineLevel="0" collapsed="false">
      <c r="B50" s="26" t="s">
        <v>375</v>
      </c>
      <c r="C50" s="51" t="n">
        <f aca="false">DM_Income!C$35</f>
        <v>184938.015384615</v>
      </c>
      <c r="D50" s="51" t="n">
        <f aca="false">DM_Income!D$35</f>
        <v>192750.896889075</v>
      </c>
      <c r="E50" s="51" t="n">
        <f aca="false">DM_Income!E$35</f>
        <v>210933.159687966</v>
      </c>
      <c r="F50" s="51" t="n">
        <f aca="false">DM_Income!F$35</f>
        <v>247313.759577876</v>
      </c>
      <c r="G50" s="51" t="n">
        <f aca="false">DM_Income!G$35</f>
        <v>288749.805425886</v>
      </c>
      <c r="H50" s="51" t="n">
        <f aca="false">DM_Income!H$35</f>
        <v>334824.172293525</v>
      </c>
      <c r="I50" s="51" t="n">
        <f aca="false">DM_Income!I$35</f>
        <v>385998.075380428</v>
      </c>
      <c r="J50" s="51" t="n">
        <f aca="false">DM_Income!J$35</f>
        <v>442782.080641039</v>
      </c>
      <c r="K50" s="51" t="n">
        <f aca="false">DM_Income!K$35</f>
        <v>508708.931905143</v>
      </c>
      <c r="L50" s="51" t="n">
        <f aca="false">DM_Income!L$35</f>
        <v>581661.441159657</v>
      </c>
      <c r="M50" s="51" t="n">
        <f aca="false">DM_Income!M$35</f>
        <v>662350.833660903</v>
      </c>
      <c r="N50" s="51" t="n">
        <f aca="false">DM_Income!N$35</f>
        <v>751559.630379979</v>
      </c>
      <c r="O50" s="51" t="n">
        <f aca="false">DM_Income!O$35</f>
        <v>850148.781038022</v>
      </c>
      <c r="P50" s="51" t="n">
        <f aca="false">DM_Income!P$35</f>
        <v>959065.51051427</v>
      </c>
      <c r="Q50" s="51" t="n">
        <f aca="false">DM_Income!Q$35</f>
        <v>1079351.94996559</v>
      </c>
      <c r="R50" s="51" t="n">
        <f aca="false">DM_Income!R$35</f>
        <v>1212154.63113004</v>
      </c>
      <c r="S50" s="51" t="n">
        <f aca="false">DM_Income!S$35</f>
        <v>1358734.9301343</v>
      </c>
      <c r="T50" s="51" t="n">
        <f aca="false">DM_Income!T$35</f>
        <v>1520480.55575681</v>
      </c>
      <c r="U50" s="51" t="n">
        <f aca="false">DM_Income!U$35</f>
        <v>1698918.18659374</v>
      </c>
      <c r="V50" s="51" t="n">
        <f aca="false">DM_Income!V$35</f>
        <v>1895727.3720196</v>
      </c>
      <c r="W50" s="51" t="n">
        <f aca="false">DM_Income!W$35</f>
        <v>2112755.82332337</v>
      </c>
      <c r="X50" s="51" t="n">
        <f aca="false">DM_Income!X$35</f>
        <v>2352036.23403956</v>
      </c>
      <c r="Y50" s="51" t="n">
        <f aca="false">DM_Income!Y$35</f>
        <v>2615804.78239504</v>
      </c>
      <c r="Z50" s="51" t="n">
        <f aca="false">DM_Income!Z$35</f>
        <v>2906521.4840851</v>
      </c>
      <c r="AA50" s="51" t="n">
        <f aca="false">DM_Income!AA$35</f>
        <v>3226892.58041318</v>
      </c>
      <c r="AB50" s="51" t="n">
        <f aca="false">DM_Income!AB$35</f>
        <v>3579895.16533245</v>
      </c>
      <c r="AC50" s="51" t="n">
        <f aca="false">DM_Income!AC$35</f>
        <v>3968804.27528122</v>
      </c>
      <c r="AD50" s="51" t="n">
        <f aca="false">DM_Income!AD$35</f>
        <v>4397222.68809317</v>
      </c>
      <c r="AE50" s="51" t="n">
        <f aca="false">DM_Income!AE$35</f>
        <v>4869113.70189199</v>
      </c>
      <c r="AF50" s="51" t="n">
        <f aca="false">DM_Income!AF$35</f>
        <v>5388837.19197048</v>
      </c>
    </row>
    <row r="51" customFormat="false" ht="15" hidden="false" customHeight="true" outlineLevel="0" collapsed="false">
      <c r="B51" s="24" t="s">
        <v>376</v>
      </c>
      <c r="C51" s="48" t="n">
        <f aca="false">C49+C50</f>
        <v>278243.8</v>
      </c>
      <c r="D51" s="48" t="n">
        <f aca="false">D49+D50</f>
        <v>299907.98</v>
      </c>
      <c r="E51" s="48" t="n">
        <f aca="false">E49+E50</f>
        <v>337079.698</v>
      </c>
      <c r="F51" s="48" t="n">
        <f aca="false">F49+F50</f>
        <v>403256.5574</v>
      </c>
      <c r="G51" s="48" t="n">
        <f aca="false">G49+G50</f>
        <v>478209.024532</v>
      </c>
      <c r="H51" s="48" t="n">
        <f aca="false">H49+H50</f>
        <v>561529.27460504</v>
      </c>
      <c r="I51" s="48" t="n">
        <f aca="false">I49+I50</f>
        <v>654071.536637781</v>
      </c>
      <c r="J51" s="48" t="n">
        <f aca="false">J49+J50</f>
        <v>756775.81156524</v>
      </c>
      <c r="K51" s="48" t="n">
        <f aca="false">K49+K50</f>
        <v>875750.679121764</v>
      </c>
      <c r="L51" s="48" t="n">
        <f aca="false">L49+L50</f>
        <v>1007488.97916194</v>
      </c>
      <c r="M51" s="48" t="n">
        <f aca="false">M49+M50</f>
        <v>1153284.3738487</v>
      </c>
      <c r="N51" s="48" t="n">
        <f aca="false">N49+N50</f>
        <v>1314560.23793954</v>
      </c>
      <c r="O51" s="48" t="n">
        <f aca="false">O49+O50</f>
        <v>1492882.63697358</v>
      </c>
      <c r="P51" s="48" t="n">
        <f aca="false">P49+P50</f>
        <v>1689974.60341583</v>
      </c>
      <c r="Q51" s="48" t="n">
        <f aca="false">Q49+Q50</f>
        <v>1907731.8405572</v>
      </c>
      <c r="R51" s="48" t="n">
        <f aca="false">R49+R50</f>
        <v>2148239.99694871</v>
      </c>
      <c r="S51" s="48" t="n">
        <f aca="false">S49+S50</f>
        <v>2413793.66842608</v>
      </c>
      <c r="T51" s="48" t="n">
        <f aca="false">T49+T50</f>
        <v>2706917.30048684</v>
      </c>
      <c r="U51" s="48" t="n">
        <f aca="false">U49+U50</f>
        <v>3030388.18105804</v>
      </c>
      <c r="V51" s="48" t="n">
        <f aca="false">V49+V50</f>
        <v>3387261.73269681</v>
      </c>
      <c r="W51" s="48" t="n">
        <f aca="false">W49+W50</f>
        <v>3780899.33417012</v>
      </c>
      <c r="X51" s="48" t="n">
        <f aca="false">X49+X50</f>
        <v>4214998.92435483</v>
      </c>
      <c r="Y51" s="48" t="n">
        <f aca="false">Y49+Y50</f>
        <v>4693628.66669336</v>
      </c>
      <c r="Z51" s="48" t="n">
        <f aca="false">Z49+Z50</f>
        <v>5221263.98026381</v>
      </c>
      <c r="AA51" s="48" t="n">
        <f aca="false">AA49+AA50</f>
        <v>5802828.27412932</v>
      </c>
      <c r="AB51" s="48" t="n">
        <f aca="false">AB49+AB50</f>
        <v>6443737.75529817</v>
      </c>
      <c r="AC51" s="48" t="n">
        <f aca="false">AC49+AC50</f>
        <v>7149950.71765903</v>
      </c>
      <c r="AD51" s="48" t="n">
        <f aca="false">AD49+AD50</f>
        <v>7928021.75999258</v>
      </c>
      <c r="AE51" s="48" t="n">
        <f aca="false">AE49+AE50</f>
        <v>8785161.42597085</v>
      </c>
      <c r="AF51" s="48" t="n">
        <f aca="false">AF49+AF50</f>
        <v>9729301.80834653</v>
      </c>
    </row>
    <row r="52" customFormat="false" ht="15" hidden="false" customHeight="true" outlineLevel="0" collapsed="false">
      <c r="B52" s="26" t="s">
        <v>377</v>
      </c>
      <c r="C52" s="51" t="n">
        <f aca="false">MM_Income!C$28</f>
        <v>588000</v>
      </c>
      <c r="D52" s="51" t="n">
        <f aca="false">MM_Income!D$28</f>
        <v>706800</v>
      </c>
      <c r="E52" s="51" t="n">
        <f aca="false">MM_Income!E$28</f>
        <v>837480</v>
      </c>
      <c r="F52" s="51" t="n">
        <f aca="false">MM_Income!F$28</f>
        <v>981228</v>
      </c>
      <c r="G52" s="51" t="n">
        <f aca="false">MM_Income!G$28</f>
        <v>1139350.8</v>
      </c>
      <c r="H52" s="51" t="n">
        <f aca="false">MM_Income!H$28</f>
        <v>1314485.88</v>
      </c>
      <c r="I52" s="51" t="n">
        <f aca="false">MM_Income!I$28</f>
        <v>1508358.468</v>
      </c>
      <c r="J52" s="51" t="n">
        <f aca="false">MM_Income!J$28</f>
        <v>1722866.7948</v>
      </c>
      <c r="K52" s="51" t="n">
        <f aca="false">MM_Income!K$28</f>
        <v>1960099.40388</v>
      </c>
      <c r="L52" s="51" t="n">
        <f aca="false">MM_Income!L$28</f>
        <v>2222354.19246</v>
      </c>
      <c r="M52" s="51" t="n">
        <f aca="false">MM_Income!M$28</f>
        <v>2512159.35686184</v>
      </c>
      <c r="N52" s="51" t="n">
        <f aca="false">MM_Income!N$28</f>
        <v>2832296.43260698</v>
      </c>
      <c r="O52" s="51" t="n">
        <f aca="false">MM_Income!O$28</f>
        <v>3185825.63872782</v>
      </c>
      <c r="P52" s="51" t="n">
        <f aca="false">MM_Income!P$28</f>
        <v>3576113.75671794</v>
      </c>
      <c r="Q52" s="51" t="n">
        <f aca="false">MM_Income!Q$28</f>
        <v>4006864.79758941</v>
      </c>
      <c r="R52" s="51" t="n">
        <f aca="false">MM_Income!R$28</f>
        <v>4482153.73585204</v>
      </c>
      <c r="S52" s="51" t="n">
        <f aca="false">MM_Income!S$28</f>
        <v>5006463.61711099</v>
      </c>
      <c r="T52" s="51" t="n">
        <f aca="false">MM_Income!T$28</f>
        <v>5584726.37664932</v>
      </c>
      <c r="U52" s="51" t="n">
        <f aca="false">MM_Income!U$28</f>
        <v>6222367.74009802</v>
      </c>
      <c r="V52" s="51" t="n">
        <f aca="false">MM_Income!V$28</f>
        <v>6925356.61440727</v>
      </c>
      <c r="W52" s="51" t="n">
        <f aca="false">MM_Income!W$28</f>
        <v>7700259.41815344</v>
      </c>
      <c r="X52" s="51" t="n">
        <f aca="false">MM_Income!X$28</f>
        <v>8554299.84512033</v>
      </c>
      <c r="Y52" s="51" t="n">
        <f aca="false">MM_Income!Y$28</f>
        <v>9495424.60448694</v>
      </c>
      <c r="Z52" s="51" t="n">
        <f aca="false">MM_Income!Z$28</f>
        <v>10532375.7352873</v>
      </c>
      <c r="AA52" s="51" t="n">
        <f aca="false">MM_Income!AA$28</f>
        <v>11674770.1525747</v>
      </c>
      <c r="AB52" s="51" t="n">
        <f aca="false">MM_Income!AB$28</f>
        <v>12933187.1484661</v>
      </c>
      <c r="AC52" s="51" t="n">
        <f aca="false">MM_Income!AC$28</f>
        <v>14319264.6435592</v>
      </c>
      <c r="AD52" s="51" t="n">
        <f aca="false">MM_Income!AD$28</f>
        <v>15845805.0637666</v>
      </c>
      <c r="AE52" s="51" t="n">
        <f aca="false">MM_Income!AE$28</f>
        <v>17526891.8051118</v>
      </c>
      <c r="AF52" s="51" t="n">
        <f aca="false">MM_Income!AF$28</f>
        <v>19378017.3452909</v>
      </c>
    </row>
    <row r="53" customFormat="false" ht="15" hidden="false" customHeight="true" outlineLevel="0" collapsed="false">
      <c r="B53" s="26" t="s">
        <v>378</v>
      </c>
      <c r="C53" s="51" t="n">
        <f aca="false">DM_Income!C$28</f>
        <v>896000</v>
      </c>
      <c r="D53" s="51" t="n">
        <f aca="false">DM_Income!D$28</f>
        <v>1045600</v>
      </c>
      <c r="E53" s="51" t="n">
        <f aca="false">DM_Income!E$28</f>
        <v>1210160</v>
      </c>
      <c r="F53" s="51" t="n">
        <f aca="false">DM_Income!F$28</f>
        <v>1391176</v>
      </c>
      <c r="G53" s="51" t="n">
        <f aca="false">DM_Income!G$28</f>
        <v>1590293.6</v>
      </c>
      <c r="H53" s="51" t="n">
        <f aca="false">DM_Income!H$28</f>
        <v>1810522.96</v>
      </c>
      <c r="I53" s="51" t="n">
        <f aca="false">DM_Income!I$28</f>
        <v>2053999.256</v>
      </c>
      <c r="J53" s="51" t="n">
        <f aca="false">DM_Income!J$28</f>
        <v>2323071.6616</v>
      </c>
      <c r="K53" s="51" t="n">
        <f aca="false">DM_Income!K$28</f>
        <v>2620324.75736</v>
      </c>
      <c r="L53" s="51" t="n">
        <f aca="false">DM_Income!L$28</f>
        <v>2948602.081288</v>
      </c>
      <c r="M53" s="51" t="n">
        <f aca="false">DM_Income!M$28</f>
        <v>3311032.03457264</v>
      </c>
      <c r="N53" s="51" t="n">
        <f aca="false">DM_Income!N$28</f>
        <v>3711056.37808886</v>
      </c>
      <c r="O53" s="51" t="n">
        <f aca="false">DM_Income!O$28</f>
        <v>4152461.57875788</v>
      </c>
      <c r="P53" s="51" t="n">
        <f aca="false">DM_Income!P$28</f>
        <v>4639413.29075101</v>
      </c>
      <c r="Q53" s="51" t="n">
        <f aca="false">DM_Income!Q$28</f>
        <v>5176494.2850258</v>
      </c>
      <c r="R53" s="51" t="n">
        <f aca="false">DM_Income!R$28</f>
        <v>5768746.17203206</v>
      </c>
      <c r="S53" s="51" t="n">
        <f aca="false">DM_Income!S$28</f>
        <v>6421715.29690902</v>
      </c>
      <c r="T53" s="51" t="n">
        <f aca="false">DM_Income!T$28</f>
        <v>7141503.22442715</v>
      </c>
      <c r="U53" s="51" t="n">
        <f aca="false">DM_Income!U$28</f>
        <v>7934822.27265363</v>
      </c>
      <c r="V53" s="51" t="n">
        <f aca="false">DM_Income!V$28</f>
        <v>8809056.60021844</v>
      </c>
      <c r="W53" s="51" t="n">
        <f aca="false">DM_Income!W$28</f>
        <v>9772329.40254572</v>
      </c>
      <c r="X53" s="51" t="n">
        <f aca="false">DM_Income!X$28</f>
        <v>10833576.8279518</v>
      </c>
      <c r="Y53" s="51" t="n">
        <f aca="false">DM_Income!Y$28</f>
        <v>12002629.2856016</v>
      </c>
      <c r="Z53" s="51" t="n">
        <f aca="false">DM_Income!Z$28</f>
        <v>13290300.8845134</v>
      </c>
      <c r="AA53" s="51" t="n">
        <f aca="false">DM_Income!AA$28</f>
        <v>14708487.8167235</v>
      </c>
      <c r="AB53" s="51" t="n">
        <f aca="false">DM_Income!AB$28</f>
        <v>16270276.5790297</v>
      </c>
      <c r="AC53" s="51" t="n">
        <f aca="false">DM_Income!AC$28</f>
        <v>17990063.0171792</v>
      </c>
      <c r="AD53" s="51" t="n">
        <f aca="false">DM_Income!AD$28</f>
        <v>19883683.2747486</v>
      </c>
      <c r="AE53" s="51" t="n">
        <f aca="false">DM_Income!AE$28</f>
        <v>21968557.837192</v>
      </c>
      <c r="AF53" s="51" t="n">
        <f aca="false">DM_Income!AF$28</f>
        <v>24263849.9805791</v>
      </c>
    </row>
    <row r="54" customFormat="false" ht="15" hidden="false" customHeight="true" outlineLevel="0" collapsed="false">
      <c r="B54" s="24" t="s">
        <v>379</v>
      </c>
      <c r="C54" s="48" t="n">
        <f aca="false">C52+C53</f>
        <v>1484000</v>
      </c>
      <c r="D54" s="48" t="n">
        <f aca="false">D52+D53</f>
        <v>1752400</v>
      </c>
      <c r="E54" s="48" t="n">
        <f aca="false">E52+E53</f>
        <v>2047640</v>
      </c>
      <c r="F54" s="48" t="n">
        <f aca="false">F52+F53</f>
        <v>2372404</v>
      </c>
      <c r="G54" s="48" t="n">
        <f aca="false">G52+G53</f>
        <v>2729644.4</v>
      </c>
      <c r="H54" s="48" t="n">
        <f aca="false">H52+H53</f>
        <v>3125008.84</v>
      </c>
      <c r="I54" s="48" t="n">
        <f aca="false">I52+I53</f>
        <v>3562357.724</v>
      </c>
      <c r="J54" s="48" t="n">
        <f aca="false">J52+J53</f>
        <v>4045938.4564</v>
      </c>
      <c r="K54" s="48" t="n">
        <f aca="false">K52+K53</f>
        <v>4580424.16124</v>
      </c>
      <c r="L54" s="48" t="n">
        <f aca="false">L52+L53</f>
        <v>5170956.273748</v>
      </c>
      <c r="M54" s="48" t="n">
        <f aca="false">M52+M53</f>
        <v>5823191.39143448</v>
      </c>
      <c r="N54" s="48" t="n">
        <f aca="false">N52+N53</f>
        <v>6543352.81069584</v>
      </c>
      <c r="O54" s="48" t="n">
        <f aca="false">O52+O53</f>
        <v>7338287.2174857</v>
      </c>
      <c r="P54" s="48" t="n">
        <f aca="false">P52+P53</f>
        <v>8215527.04746895</v>
      </c>
      <c r="Q54" s="48" t="n">
        <f aca="false">Q52+Q53</f>
        <v>9183359.08261521</v>
      </c>
      <c r="R54" s="48" t="n">
        <f aca="false">R52+R53</f>
        <v>10250899.9078841</v>
      </c>
      <c r="S54" s="48" t="n">
        <f aca="false">S52+S53</f>
        <v>11428178.91402</v>
      </c>
      <c r="T54" s="48" t="n">
        <f aca="false">T52+T53</f>
        <v>12726229.6010765</v>
      </c>
      <c r="U54" s="48" t="n">
        <f aca="false">U52+U53</f>
        <v>14157190.0127517</v>
      </c>
      <c r="V54" s="48" t="n">
        <f aca="false">V52+V53</f>
        <v>15734413.2146257</v>
      </c>
      <c r="W54" s="48" t="n">
        <f aca="false">W52+W53</f>
        <v>17472588.8206992</v>
      </c>
      <c r="X54" s="48" t="n">
        <f aca="false">X52+X53</f>
        <v>19387876.6730722</v>
      </c>
      <c r="Y54" s="48" t="n">
        <f aca="false">Y52+Y53</f>
        <v>21498053.8900885</v>
      </c>
      <c r="Z54" s="48" t="n">
        <f aca="false">Z52+Z53</f>
        <v>23822676.6198007</v>
      </c>
      <c r="AA54" s="48" t="n">
        <f aca="false">AA52+AA53</f>
        <v>26383257.9692982</v>
      </c>
      <c r="AB54" s="48" t="n">
        <f aca="false">AB52+AB53</f>
        <v>29203463.7274958</v>
      </c>
      <c r="AC54" s="48" t="n">
        <f aca="false">AC52+AC53</f>
        <v>32309327.6607385</v>
      </c>
      <c r="AD54" s="48" t="n">
        <f aca="false">AD52+AD53</f>
        <v>35729488.3385153</v>
      </c>
      <c r="AE54" s="48" t="n">
        <f aca="false">AE52+AE53</f>
        <v>39495449.6423038</v>
      </c>
      <c r="AF54" s="48" t="n">
        <f aca="false">AF52+AF53</f>
        <v>43641867.32587</v>
      </c>
    </row>
    <row r="55" customFormat="false" ht="15" hidden="false" customHeight="true" outlineLevel="0" collapsed="false">
      <c r="B55" s="24" t="s">
        <v>380</v>
      </c>
      <c r="C55" s="50" t="n">
        <f aca="false">C44+C51+C54</f>
        <v>1762243.8</v>
      </c>
      <c r="D55" s="50" t="n">
        <f aca="false">D44+D51+D54</f>
        <v>2052307.98</v>
      </c>
      <c r="E55" s="50" t="n">
        <f aca="false">E44+E51+E54</f>
        <v>2384719.698</v>
      </c>
      <c r="F55" s="50" t="n">
        <f aca="false">F44+F51+F54</f>
        <v>2775660.5574</v>
      </c>
      <c r="G55" s="50" t="n">
        <f aca="false">G44+G51+G54</f>
        <v>3207853.424532</v>
      </c>
      <c r="H55" s="50" t="n">
        <f aca="false">H44+H51+H54</f>
        <v>3686538.11460504</v>
      </c>
      <c r="I55" s="50" t="n">
        <f aca="false">I44+I51+I54</f>
        <v>4216429.26063778</v>
      </c>
      <c r="J55" s="50" t="n">
        <f aca="false">J44+J51+J54</f>
        <v>4802714.26796524</v>
      </c>
      <c r="K55" s="50" t="n">
        <f aca="false">K44+K51+K54</f>
        <v>5473025.64855889</v>
      </c>
      <c r="L55" s="50" t="n">
        <f aca="false">L44+L51+L54</f>
        <v>6214096.20416488</v>
      </c>
      <c r="M55" s="50" t="n">
        <f aca="false">M44+M51+M54</f>
        <v>7033052.22824307</v>
      </c>
      <c r="N55" s="50" t="n">
        <f aca="false">N44+N51+N54</f>
        <v>7937731.59541212</v>
      </c>
      <c r="O55" s="50" t="n">
        <f aca="false">O44+O51+O54</f>
        <v>8936754.7238666</v>
      </c>
      <c r="P55" s="50" t="n">
        <f aca="false">P44+P51+P54</f>
        <v>10039602.6152694</v>
      </c>
      <c r="Q55" s="50" t="n">
        <f aca="false">Q44+Q51+Q54</f>
        <v>11246802.2459123</v>
      </c>
      <c r="R55" s="50" t="n">
        <f aca="false">R44+R51+R54</f>
        <v>12553172.3953721</v>
      </c>
      <c r="S55" s="50" t="n">
        <f aca="false">S44+S51+S54</f>
        <v>14039386.1766119</v>
      </c>
      <c r="T55" s="50" t="n">
        <f aca="false">T44+T51+T54</f>
        <v>15678234.7600025</v>
      </c>
      <c r="U55" s="50" t="n">
        <f aca="false">U44+U51+U54</f>
        <v>17485010.5111608</v>
      </c>
      <c r="V55" s="50" t="n">
        <f aca="false">V44+V51+V54</f>
        <v>19476531.2424121</v>
      </c>
      <c r="W55" s="50" t="n">
        <f aca="false">W44+W51+W54</f>
        <v>21671292.3104202</v>
      </c>
      <c r="X55" s="50" t="n">
        <f aca="false">X44+X51+X54</f>
        <v>24089633.8830862</v>
      </c>
      <c r="Y55" s="50" t="n">
        <f aca="false">Y44+Y51+Y54</f>
        <v>26753924.8891462</v>
      </c>
      <c r="Z55" s="50" t="n">
        <f aca="false">Z44+Z51+Z54</f>
        <v>29688765.3149524</v>
      </c>
      <c r="AA55" s="50" t="n">
        <f aca="false">AA44+AA51+AA54</f>
        <v>32921208.6790389</v>
      </c>
      <c r="AB55" s="50" t="n">
        <f aca="false">AB44+AB51+AB54</f>
        <v>36481006.6977895</v>
      </c>
      <c r="AC55" s="50" t="n">
        <f aca="false">AC44+AC51+AC54</f>
        <v>40400878.356472</v>
      </c>
      <c r="AD55" s="50" t="n">
        <f aca="false">AD44+AD51+AD54</f>
        <v>44716805.8209192</v>
      </c>
      <c r="AE55" s="50" t="n">
        <f aca="false">AE44+AE51+AE54</f>
        <v>49468359.8682154</v>
      </c>
      <c r="AF55" s="50" t="n">
        <f aca="false">AF44+AF51+AF54</f>
        <v>54699057.7820991</v>
      </c>
    </row>
    <row r="56" customFormat="false" ht="15" hidden="false" customHeight="true" outlineLevel="0" collapsed="false">
      <c r="B56" s="49" t="s">
        <v>381</v>
      </c>
      <c r="C56" s="45" t="n">
        <f aca="false">C55/C$6</f>
        <v>1762243.8</v>
      </c>
      <c r="D56" s="45" t="n">
        <f aca="false">D55/D$6</f>
        <v>1973373.05769231</v>
      </c>
      <c r="E56" s="45" t="n">
        <f aca="false">E55/E$6</f>
        <v>2204807.41309172</v>
      </c>
      <c r="F56" s="45" t="n">
        <f aca="false">F55/F$6</f>
        <v>2515935.50350244</v>
      </c>
      <c r="G56" s="45" t="n">
        <f aca="false">G55/G$6</f>
        <v>2850673.60063565</v>
      </c>
      <c r="H56" s="45" t="n">
        <f aca="false">H55/H$6</f>
        <v>3211822.4875659</v>
      </c>
      <c r="I56" s="45" t="n">
        <f aca="false">I55/I$6</f>
        <v>3601450.52385778</v>
      </c>
      <c r="J56" s="45" t="n">
        <f aca="false">J55/J$6</f>
        <v>4021788.35364816</v>
      </c>
      <c r="K56" s="45" t="n">
        <f aca="false">K55/K$6</f>
        <v>4493241.63266579</v>
      </c>
      <c r="L56" s="45" t="n">
        <f aca="false">L55/L$6</f>
        <v>5001613.07453941</v>
      </c>
      <c r="M56" s="45" t="n">
        <f aca="false">M55/M$6</f>
        <v>5549780.28557935</v>
      </c>
      <c r="N56" s="45" t="n">
        <f aca="false">N55/N$6</f>
        <v>6140845.70224193</v>
      </c>
      <c r="O56" s="45" t="n">
        <f aca="false">O55/O$6</f>
        <v>6778154.16431696</v>
      </c>
      <c r="P56" s="45" t="n">
        <f aca="false">P55/P$6</f>
        <v>7465311.86265299</v>
      </c>
      <c r="Q56" s="45" t="n">
        <f aca="false">Q55/Q$6</f>
        <v>8198989.29180685</v>
      </c>
      <c r="R56" s="45" t="n">
        <f aca="false">R55/R$6</f>
        <v>8971903.24940806</v>
      </c>
      <c r="S56" s="45" t="n">
        <f aca="false">S55/S$6</f>
        <v>9837370.69508527</v>
      </c>
      <c r="T56" s="45" t="n">
        <f aca="false">T55/T$6</f>
        <v>10770302.6691012</v>
      </c>
      <c r="U56" s="45" t="n">
        <f aca="false">U55/U$6</f>
        <v>11775964.0436432</v>
      </c>
      <c r="V56" s="45" t="n">
        <f aca="false">V55/V$6</f>
        <v>12860030.9356595</v>
      </c>
      <c r="W56" s="45" t="n">
        <f aca="false">W55/W$6</f>
        <v>14028622.8538842</v>
      </c>
      <c r="X56" s="45" t="n">
        <f aca="false">X55/X$6</f>
        <v>15288337.3603488</v>
      </c>
      <c r="Y56" s="45" t="n">
        <f aca="false">Y55/Y$6</f>
        <v>16646287.4431597</v>
      </c>
      <c r="Z56" s="45" t="n">
        <f aca="false">Z55/Z$6</f>
        <v>18110141.8127246</v>
      </c>
      <c r="AA56" s="45" t="n">
        <f aca="false">AA55/AA$6</f>
        <v>19688168.350224</v>
      </c>
      <c r="AB56" s="45" t="n">
        <f aca="false">AB55/AB$6</f>
        <v>21389280.9550386</v>
      </c>
      <c r="AC56" s="45" t="n">
        <f aca="false">AC55/AC$6</f>
        <v>23223090.0571579</v>
      </c>
      <c r="AD56" s="45" t="n">
        <f aca="false">AD55/AD$6</f>
        <v>25199957.0814246</v>
      </c>
      <c r="AE56" s="45" t="n">
        <f aca="false">AE55/AE$6</f>
        <v>27331053.1729314</v>
      </c>
      <c r="AF56" s="45" t="n">
        <f aca="false">AF55/AF$6</f>
        <v>29628422.5171058</v>
      </c>
    </row>
    <row r="57" customFormat="false" ht="15" hidden="false" customHeight="true" outlineLevel="0" collapsed="false">
      <c r="B57" s="24" t="s">
        <v>382</v>
      </c>
      <c r="C57" s="48" t="n">
        <f aca="false">C44+C51</f>
        <v>278243.8</v>
      </c>
      <c r="D57" s="48" t="n">
        <f aca="false">D44+D51</f>
        <v>299907.98</v>
      </c>
      <c r="E57" s="48" t="n">
        <f aca="false">E44+E51</f>
        <v>337079.698</v>
      </c>
      <c r="F57" s="48" t="n">
        <f aca="false">F44+F51</f>
        <v>403256.5574</v>
      </c>
      <c r="G57" s="48" t="n">
        <f aca="false">G44+G51</f>
        <v>478209.024532</v>
      </c>
      <c r="H57" s="48" t="n">
        <f aca="false">H44+H51</f>
        <v>561529.27460504</v>
      </c>
      <c r="I57" s="48" t="n">
        <f aca="false">I44+I51</f>
        <v>654071.536637781</v>
      </c>
      <c r="J57" s="48" t="n">
        <f aca="false">J44+J51</f>
        <v>756775.81156524</v>
      </c>
      <c r="K57" s="48" t="n">
        <f aca="false">K44+K51</f>
        <v>892601.487318887</v>
      </c>
      <c r="L57" s="48" t="n">
        <f aca="false">L44+L51</f>
        <v>1043139.93041688</v>
      </c>
      <c r="M57" s="48" t="n">
        <f aca="false">M44+M51</f>
        <v>1209860.83680859</v>
      </c>
      <c r="N57" s="48" t="n">
        <f aca="false">N44+N51</f>
        <v>1394378.78471628</v>
      </c>
      <c r="O57" s="48" t="n">
        <f aca="false">O44+O51</f>
        <v>1598467.5063809</v>
      </c>
      <c r="P57" s="48" t="n">
        <f aca="false">P44+P51</f>
        <v>1824075.56780042</v>
      </c>
      <c r="Q57" s="48" t="n">
        <f aca="false">Q44+Q51</f>
        <v>2063443.16329709</v>
      </c>
      <c r="R57" s="48" t="n">
        <f aca="false">R44+R51</f>
        <v>2302272.48748803</v>
      </c>
      <c r="S57" s="48" t="n">
        <f aca="false">S44+S51</f>
        <v>2611207.26259189</v>
      </c>
      <c r="T57" s="48" t="n">
        <f aca="false">T44+T51</f>
        <v>2952005.158926</v>
      </c>
      <c r="U57" s="48" t="n">
        <f aca="false">U44+U51</f>
        <v>3327820.49840918</v>
      </c>
      <c r="V57" s="48" t="n">
        <f aca="false">V44+V51</f>
        <v>3742118.02778633</v>
      </c>
      <c r="W57" s="48" t="n">
        <f aca="false">W44+W51</f>
        <v>4198703.48972106</v>
      </c>
      <c r="X57" s="48" t="n">
        <f aca="false">X44+X51</f>
        <v>4701757.21001399</v>
      </c>
      <c r="Y57" s="48" t="n">
        <f aca="false">Y44+Y51</f>
        <v>5255870.99905766</v>
      </c>
      <c r="Z57" s="48" t="n">
        <f aca="false">Z44+Z51</f>
        <v>5866088.69515167</v>
      </c>
      <c r="AA57" s="48" t="n">
        <f aca="false">AA44+AA51</f>
        <v>6537950.7097407</v>
      </c>
      <c r="AB57" s="48" t="n">
        <f aca="false">AB44+AB51</f>
        <v>7277542.97029373</v>
      </c>
      <c r="AC57" s="48" t="n">
        <f aca="false">AC44+AC51</f>
        <v>8091550.69573356</v>
      </c>
      <c r="AD57" s="48" t="n">
        <f aca="false">AD44+AD51</f>
        <v>8987317.48240389</v>
      </c>
      <c r="AE57" s="48" t="n">
        <f aca="false">AE44+AE51</f>
        <v>9972910.22591157</v>
      </c>
      <c r="AF57" s="48" t="n">
        <f aca="false">AF44+AF51</f>
        <v>11057190.4562291</v>
      </c>
    </row>
    <row r="58" customFormat="false" ht="15" hidden="false" customHeight="true" outlineLevel="0" collapsed="false">
      <c r="B58" s="49" t="s">
        <v>383</v>
      </c>
      <c r="C58" s="51" t="n">
        <f aca="false">Children!C$42</f>
        <v>25500</v>
      </c>
      <c r="D58" s="51" t="n">
        <f aca="false">Children!D$42</f>
        <v>37050</v>
      </c>
      <c r="E58" s="51" t="n">
        <f aca="false">Children!E$42</f>
        <v>49755</v>
      </c>
      <c r="F58" s="51" t="n">
        <f aca="false">Children!F$42</f>
        <v>63730.5</v>
      </c>
      <c r="G58" s="51" t="n">
        <f aca="false">Children!G$42</f>
        <v>79103.55</v>
      </c>
      <c r="H58" s="51" t="n">
        <f aca="false">Children!H$42</f>
        <v>96013.905</v>
      </c>
      <c r="I58" s="51" t="n">
        <f aca="false">Children!I$42</f>
        <v>114615.2955</v>
      </c>
      <c r="J58" s="51" t="n">
        <f aca="false">Children!J$42</f>
        <v>135076.82505</v>
      </c>
      <c r="K58" s="51" t="n">
        <f aca="false">Children!K$42</f>
        <v>157584.507555</v>
      </c>
      <c r="L58" s="51" t="n">
        <f aca="false">Children!L$42</f>
        <v>182342.9583105</v>
      </c>
      <c r="M58" s="51" t="n">
        <f aca="false">Children!M$42</f>
        <v>209577.25414155</v>
      </c>
      <c r="N58" s="51" t="n">
        <f aca="false">Children!N$42</f>
        <v>239534.979555705</v>
      </c>
      <c r="O58" s="51" t="n">
        <f aca="false">Children!O$42</f>
        <v>272488.477511276</v>
      </c>
      <c r="P58" s="51" t="n">
        <f aca="false">Children!P$42</f>
        <v>274511.30882003</v>
      </c>
      <c r="Q58" s="51" t="n">
        <f aca="false">Children!Q$42</f>
        <v>285952.335247409</v>
      </c>
      <c r="R58" s="51" t="n">
        <f aca="false">Children!R$42</f>
        <v>323547.568772149</v>
      </c>
      <c r="S58" s="51" t="n">
        <f aca="false">Children!S$42</f>
        <v>319581.403192586</v>
      </c>
      <c r="T58" s="51" t="n">
        <f aca="false">Children!T$42</f>
        <v>314492.202605931</v>
      </c>
      <c r="U58" s="51" t="n">
        <f aca="false">Children!U$42</f>
        <v>308153.135142493</v>
      </c>
      <c r="V58" s="51" t="n">
        <f aca="false">Children!V$42</f>
        <v>338968.448656742</v>
      </c>
      <c r="W58" s="51" t="n">
        <f aca="false">Children!W$42</f>
        <v>372865.293522416</v>
      </c>
      <c r="X58" s="51" t="n">
        <f aca="false">Children!X$42</f>
        <v>410151.822874658</v>
      </c>
      <c r="Y58" s="51" t="n">
        <f aca="false">Children!Y$42</f>
        <v>451167.005162124</v>
      </c>
      <c r="Z58" s="51" t="n">
        <f aca="false">Children!Z$42</f>
        <v>496283.705678336</v>
      </c>
      <c r="AA58" s="51" t="n">
        <f aca="false">Children!AA$42</f>
        <v>545912.076246169</v>
      </c>
      <c r="AB58" s="51" t="n">
        <f aca="false">Children!AB$42</f>
        <v>600503.283870786</v>
      </c>
      <c r="AC58" s="51" t="n">
        <f aca="false">Children!AC$42</f>
        <v>660553.612257865</v>
      </c>
      <c r="AD58" s="51" t="n">
        <f aca="false">Children!AD$42</f>
        <v>726608.973483651</v>
      </c>
      <c r="AE58" s="51" t="n">
        <f aca="false">Children!AE$42</f>
        <v>799269.870832017</v>
      </c>
      <c r="AF58" s="51" t="n">
        <f aca="false">Children!AF$42</f>
        <v>879196.857915218</v>
      </c>
    </row>
    <row r="60" customFormat="false" ht="15" hidden="false" customHeight="true" outlineLevel="0" collapsed="false">
      <c r="A60" s="23" t="s">
        <v>384</v>
      </c>
      <c r="B60" s="23"/>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row>
    <row r="61" customFormat="false" ht="15" hidden="false" customHeight="true" outlineLevel="0" collapsed="false">
      <c r="B61" s="26" t="s">
        <v>385</v>
      </c>
      <c r="C61" s="53" t="n">
        <f aca="false">MM_Income!C$42/C33</f>
        <v>0.812491228070175</v>
      </c>
      <c r="D61" s="53" t="n">
        <f aca="false">MM_Income!D$42/D33</f>
        <v>0.80887621150779</v>
      </c>
      <c r="E61" s="53" t="n">
        <f aca="false">MM_Income!E$42/E33</f>
        <v>0.881301826781086</v>
      </c>
      <c r="F61" s="53" t="n">
        <f aca="false">MM_Income!F$42/F33</f>
        <v>1.08369375236256</v>
      </c>
      <c r="G61" s="53" t="n">
        <f aca="false">MM_Income!G$42/G33</f>
        <v>1.08144127102802</v>
      </c>
      <c r="H61" s="53" t="n">
        <f aca="false">MM_Income!H$42/H33</f>
        <v>1.08144127102802</v>
      </c>
      <c r="I61" s="53" t="n">
        <f aca="false">MM_Income!I$42/I33</f>
        <v>1.08144127102802</v>
      </c>
      <c r="J61" s="53" t="n">
        <f aca="false">MM_Income!J$42/J33</f>
        <v>1.08144127102802</v>
      </c>
      <c r="K61" s="53" t="n">
        <f aca="false">MM_Income!K$42/K33</f>
        <v>1.34098717607475</v>
      </c>
      <c r="L61" s="53" t="n">
        <f aca="false">MM_Income!L$42/L33</f>
        <v>1.34098717607475</v>
      </c>
      <c r="M61" s="53" t="n">
        <f aca="false">MM_Income!M$42/M33</f>
        <v>1.34098717607475</v>
      </c>
      <c r="N61" s="53" t="n">
        <f aca="false">MM_Income!N$42/N33</f>
        <v>1.34098717607475</v>
      </c>
      <c r="O61" s="53" t="n">
        <f aca="false">MM_Income!O$42/O33</f>
        <v>1.34098717607475</v>
      </c>
      <c r="P61" s="53" t="n">
        <f aca="false">MM_Income!P$42/P33</f>
        <v>1.34098717607475</v>
      </c>
      <c r="Q61" s="53" t="n">
        <f aca="false">MM_Income!Q$42/Q33</f>
        <v>1.22326835675686</v>
      </c>
      <c r="R61" s="53" t="n">
        <f aca="false">MM_Income!R$42/R33</f>
        <v>1.00123482534202</v>
      </c>
      <c r="S61" s="53" t="n">
        <f aca="false">MM_Income!S$42/S33</f>
        <v>1.34098717607475</v>
      </c>
      <c r="T61" s="53" t="n">
        <f aca="false">MM_Income!T$42/T33</f>
        <v>1.34098717607475</v>
      </c>
      <c r="U61" s="53" t="n">
        <f aca="false">MM_Income!U$42/U33</f>
        <v>1.34098717607475</v>
      </c>
      <c r="V61" s="53" t="n">
        <f aca="false">MM_Income!V$42/V33</f>
        <v>1.34098717607475</v>
      </c>
      <c r="W61" s="53" t="n">
        <f aca="false">MM_Income!W$42/W33</f>
        <v>1.34098717607475</v>
      </c>
      <c r="X61" s="53" t="n">
        <f aca="false">MM_Income!X$42/X33</f>
        <v>1.34098717607475</v>
      </c>
      <c r="Y61" s="53" t="n">
        <f aca="false">MM_Income!Y$42/Y33</f>
        <v>1.34098717607475</v>
      </c>
      <c r="Z61" s="53" t="n">
        <f aca="false">MM_Income!Z$42/Z33</f>
        <v>1.34098717607475</v>
      </c>
      <c r="AA61" s="53" t="n">
        <f aca="false">MM_Income!AA$42/AA33</f>
        <v>1.34098717607475</v>
      </c>
      <c r="AB61" s="53" t="n">
        <f aca="false">MM_Income!AB$42/AB33</f>
        <v>1.34098717607475</v>
      </c>
      <c r="AC61" s="53" t="n">
        <f aca="false">MM_Income!AC$42/AC33</f>
        <v>1.34098717607475</v>
      </c>
      <c r="AD61" s="53" t="n">
        <f aca="false">MM_Income!AD$42/AD33</f>
        <v>1.34098717607475</v>
      </c>
      <c r="AE61" s="53" t="n">
        <f aca="false">MM_Income!AE$42/AE33</f>
        <v>1.34098717607475</v>
      </c>
      <c r="AF61" s="53" t="n">
        <f aca="false">MM_Income!AF$42/AF33</f>
        <v>1.34098717607475</v>
      </c>
    </row>
    <row r="62" customFormat="false" ht="15" hidden="false" customHeight="true" outlineLevel="0" collapsed="false">
      <c r="B62" s="26" t="s">
        <v>386</v>
      </c>
      <c r="C62" s="53" t="n">
        <f aca="false">DM_Income!C$42/C33</f>
        <v>0.897020733652313</v>
      </c>
      <c r="D62" s="53" t="n">
        <f aca="false">DM_Income!D$42/D33</f>
        <v>0.893405717089928</v>
      </c>
      <c r="E62" s="53" t="n">
        <f aca="false">DM_Income!E$42/E33</f>
        <v>0.973797463779341</v>
      </c>
      <c r="F62" s="53" t="n">
        <f aca="false">DM_Income!F$42/F33</f>
        <v>1.19767224698622</v>
      </c>
      <c r="G62" s="53" t="n">
        <f aca="false">DM_Income!G$42/G33</f>
        <v>1.19541976565168</v>
      </c>
      <c r="H62" s="53" t="n">
        <f aca="false">DM_Income!H$42/H33</f>
        <v>1.19541976565168</v>
      </c>
      <c r="I62" s="53" t="n">
        <f aca="false">DM_Income!I$42/I33</f>
        <v>1.19541976565168</v>
      </c>
      <c r="J62" s="53" t="n">
        <f aca="false">DM_Income!J$42/J33</f>
        <v>1.19541976565168</v>
      </c>
      <c r="K62" s="53" t="n">
        <f aca="false">DM_Income!K$42/K33</f>
        <v>1.48232050940808</v>
      </c>
      <c r="L62" s="53" t="n">
        <f aca="false">DM_Income!L$42/L33</f>
        <v>1.48232050940808</v>
      </c>
      <c r="M62" s="53" t="n">
        <f aca="false">DM_Income!M$42/M33</f>
        <v>1.48232050940808</v>
      </c>
      <c r="N62" s="53" t="n">
        <f aca="false">DM_Income!N$42/N33</f>
        <v>1.48232050940808</v>
      </c>
      <c r="O62" s="53" t="n">
        <f aca="false">DM_Income!O$42/O33</f>
        <v>1.48232050940808</v>
      </c>
      <c r="P62" s="53" t="n">
        <f aca="false">DM_Income!P$42/P33</f>
        <v>1.48232050940808</v>
      </c>
      <c r="Q62" s="53" t="n">
        <f aca="false">DM_Income!Q$42/Q33</f>
        <v>1.35219471601385</v>
      </c>
      <c r="R62" s="53" t="n">
        <f aca="false">DM_Income!R$42/R33</f>
        <v>1.10675996222604</v>
      </c>
      <c r="S62" s="53" t="n">
        <f aca="false">DM_Income!S$42/S33</f>
        <v>1.48232050940808</v>
      </c>
      <c r="T62" s="53" t="n">
        <f aca="false">DM_Income!T$42/T33</f>
        <v>1.48232050940808</v>
      </c>
      <c r="U62" s="53" t="n">
        <f aca="false">DM_Income!U$42/U33</f>
        <v>1.48232050940808</v>
      </c>
      <c r="V62" s="53" t="n">
        <f aca="false">DM_Income!V$42/V33</f>
        <v>1.48232050940808</v>
      </c>
      <c r="W62" s="53" t="n">
        <f aca="false">DM_Income!W$42/W33</f>
        <v>1.48232050940808</v>
      </c>
      <c r="X62" s="53" t="n">
        <f aca="false">DM_Income!X$42/X33</f>
        <v>1.48232050940808</v>
      </c>
      <c r="Y62" s="53" t="n">
        <f aca="false">DM_Income!Y$42/Y33</f>
        <v>1.48232050940808</v>
      </c>
      <c r="Z62" s="53" t="n">
        <f aca="false">DM_Income!Z$42/Z33</f>
        <v>1.48232050940808</v>
      </c>
      <c r="AA62" s="53" t="n">
        <f aca="false">DM_Income!AA$42/AA33</f>
        <v>1.48232050940808</v>
      </c>
      <c r="AB62" s="53" t="n">
        <f aca="false">DM_Income!AB$42/AB33</f>
        <v>1.48232050940808</v>
      </c>
      <c r="AC62" s="53" t="n">
        <f aca="false">DM_Income!AC$42/AC33</f>
        <v>1.48232050940808</v>
      </c>
      <c r="AD62" s="53" t="n">
        <f aca="false">DM_Income!AD$42/AD33</f>
        <v>1.48232050940808</v>
      </c>
      <c r="AE62" s="53" t="n">
        <f aca="false">DM_Income!AE$42/AE33</f>
        <v>1.48232050940808</v>
      </c>
      <c r="AF62" s="53" t="n">
        <f aca="false">DM_Income!AF$42/AF33</f>
        <v>1.48232050940808</v>
      </c>
    </row>
    <row r="63" customFormat="false" ht="15" hidden="false" customHeight="true" outlineLevel="0" collapsed="false">
      <c r="B63" s="26" t="s">
        <v>387</v>
      </c>
      <c r="C63" s="53" t="n">
        <f aca="false">C11/C33</f>
        <v>1.96685645933014</v>
      </c>
      <c r="D63" s="53" t="n">
        <f aca="false">D11/D33</f>
        <v>1.94190743467059</v>
      </c>
      <c r="E63" s="53" t="n">
        <f aca="false">E11/E33</f>
        <v>2.09866418569349</v>
      </c>
      <c r="F63" s="53" t="n">
        <f aca="false">F11/F33</f>
        <v>2.57376201864598</v>
      </c>
      <c r="G63" s="53" t="n">
        <f aca="false">G11/G33</f>
        <v>2.56352380069656</v>
      </c>
      <c r="H63" s="53" t="n">
        <f aca="false">H11/H33</f>
        <v>2.56352380069656</v>
      </c>
      <c r="I63" s="53" t="n">
        <f aca="false">I11/I33</f>
        <v>2.56352380069656</v>
      </c>
      <c r="J63" s="53" t="n">
        <f aca="false">J11/J33</f>
        <v>2.56352380069656</v>
      </c>
      <c r="K63" s="53" t="n">
        <f aca="false">K11/K33</f>
        <v>3.17876951286374</v>
      </c>
      <c r="L63" s="53" t="n">
        <f aca="false">L11/L33</f>
        <v>3.17876951286374</v>
      </c>
      <c r="M63" s="53" t="n">
        <f aca="false">M11/M33</f>
        <v>3.17876951286374</v>
      </c>
      <c r="N63" s="53" t="n">
        <f aca="false">N11/N33</f>
        <v>3.17876951286374</v>
      </c>
      <c r="O63" s="53" t="n">
        <f aca="false">O11/O33</f>
        <v>3.17876951286374</v>
      </c>
      <c r="P63" s="53" t="n">
        <f aca="false">P11/P33</f>
        <v>3.17876951286374</v>
      </c>
      <c r="Q63" s="53" t="n">
        <f aca="false">Q11/Q33</f>
        <v>2.89972061469802</v>
      </c>
      <c r="R63" s="53" t="n">
        <f aca="false">R11/R33</f>
        <v>2.37339684882808</v>
      </c>
      <c r="S63" s="53" t="n">
        <f aca="false">S11/S33</f>
        <v>3.17876951286374</v>
      </c>
      <c r="T63" s="53" t="n">
        <f aca="false">T11/T33</f>
        <v>3.17876951286374</v>
      </c>
      <c r="U63" s="53" t="n">
        <f aca="false">U11/U33</f>
        <v>3.17876951286374</v>
      </c>
      <c r="V63" s="53" t="n">
        <f aca="false">V11/V33</f>
        <v>3.17876951286374</v>
      </c>
      <c r="W63" s="53" t="n">
        <f aca="false">W11/W33</f>
        <v>3.17876951286374</v>
      </c>
      <c r="X63" s="53" t="n">
        <f aca="false">X11/X33</f>
        <v>3.17876951286374</v>
      </c>
      <c r="Y63" s="53" t="n">
        <f aca="false">Y11/Y33</f>
        <v>3.17876951286374</v>
      </c>
      <c r="Z63" s="53" t="n">
        <f aca="false">Z11/Z33</f>
        <v>3.17876951286374</v>
      </c>
      <c r="AA63" s="53" t="n">
        <f aca="false">AA11/AA33</f>
        <v>3.17876951286374</v>
      </c>
      <c r="AB63" s="53" t="n">
        <f aca="false">AB11/AB33</f>
        <v>3.17876951286374</v>
      </c>
      <c r="AC63" s="53" t="n">
        <f aca="false">AC11/AC33</f>
        <v>3.17876951286374</v>
      </c>
      <c r="AD63" s="53" t="n">
        <f aca="false">AD11/AD33</f>
        <v>3.17876951286374</v>
      </c>
      <c r="AE63" s="53" t="n">
        <f aca="false">AE11/AE33</f>
        <v>3.17876951286374</v>
      </c>
      <c r="AF63" s="53" t="n">
        <f aca="false">AF11/AF33</f>
        <v>3.17876951286374</v>
      </c>
    </row>
    <row r="64" customFormat="false" ht="15" hidden="false" customHeight="true" outlineLevel="0" collapsed="false">
      <c r="B64" s="26" t="s">
        <v>388</v>
      </c>
      <c r="C64" s="54" t="n">
        <f aca="false">C57/C33</f>
        <v>2.21885007974482</v>
      </c>
      <c r="D64" s="54" t="n">
        <f aca="false">D57/D33</f>
        <v>2.29962565942829</v>
      </c>
      <c r="E64" s="54" t="n">
        <f aca="false">E57/E33</f>
        <v>2.71945138802834</v>
      </c>
      <c r="F64" s="54" t="n">
        <f aca="false">F57/F33</f>
        <v>3.93035373797511</v>
      </c>
      <c r="G64" s="54" t="n">
        <f aca="false">G57/G33</f>
        <v>4.56949069167172</v>
      </c>
      <c r="H64" s="54" t="n">
        <f aca="false">H57/H33</f>
        <v>5.26044228544659</v>
      </c>
      <c r="I64" s="54" t="n">
        <f aca="false">I57/I33</f>
        <v>6.00723934888325</v>
      </c>
      <c r="J64" s="54" t="n">
        <f aca="false">J57/J33</f>
        <v>6.81422950337092</v>
      </c>
      <c r="K64" s="54" t="n">
        <f aca="false">K57/K33</f>
        <v>9.77076647480279</v>
      </c>
      <c r="L64" s="54" t="n">
        <f aca="false">L57/L33</f>
        <v>11.1947249031438</v>
      </c>
      <c r="M64" s="54" t="n">
        <f aca="false">M57/M33</f>
        <v>12.7293463350116</v>
      </c>
      <c r="N64" s="54" t="n">
        <f aca="false">N57/N33</f>
        <v>14.3830595504495</v>
      </c>
      <c r="O64" s="54" t="n">
        <f aca="false">O57/O33</f>
        <v>16.1649420767413</v>
      </c>
      <c r="P64" s="54" t="n">
        <f aca="false">P57/P33</f>
        <v>18.0847702132025</v>
      </c>
      <c r="Q64" s="54" t="n">
        <f aca="false">Q57/Q33</f>
        <v>18.2961463170684</v>
      </c>
      <c r="R64" s="54" t="n">
        <f aca="false">R57/R33</f>
        <v>16.3809042226513</v>
      </c>
      <c r="S64" s="54" t="n">
        <f aca="false">S57/S33</f>
        <v>24.3955716018485</v>
      </c>
      <c r="T64" s="54" t="n">
        <f aca="false">T57/T33</f>
        <v>27.038748965534</v>
      </c>
      <c r="U64" s="54" t="n">
        <f aca="false">U57/U33</f>
        <v>29.8833445618661</v>
      </c>
      <c r="V64" s="54" t="n">
        <f aca="false">V57/V33</f>
        <v>32.9447805691583</v>
      </c>
      <c r="W64" s="54" t="n">
        <f aca="false">W57/W33</f>
        <v>36.2396648302401</v>
      </c>
      <c r="X64" s="54" t="n">
        <f aca="false">X57/X33</f>
        <v>39.7858823215607</v>
      </c>
      <c r="Y64" s="54" t="n">
        <f aca="false">Y57/Y33</f>
        <v>43.6026936992087</v>
      </c>
      <c r="Z64" s="54" t="n">
        <f aca="false">Z57/Z33</f>
        <v>47.710841470713</v>
      </c>
      <c r="AA64" s="54" t="n">
        <f aca="false">AA57/AA33</f>
        <v>52.1326643841393</v>
      </c>
      <c r="AB64" s="54" t="n">
        <f aca="false">AB57/AB33</f>
        <v>56.8922206719735</v>
      </c>
      <c r="AC64" s="54" t="n">
        <f aca="false">AC57/AC33</f>
        <v>62.015420836835</v>
      </c>
      <c r="AD64" s="54" t="n">
        <f aca="false">AD57/AD33</f>
        <v>67.5301707194732</v>
      </c>
      <c r="AE64" s="54" t="n">
        <f aca="false">AE57/AE33</f>
        <v>73.4665256470716</v>
      </c>
      <c r="AF64" s="54" t="n">
        <f aca="false">AF57/AF33</f>
        <v>79.8568565219369</v>
      </c>
    </row>
    <row r="65" customFormat="false" ht="15" hidden="false" customHeight="true" outlineLevel="0" collapsed="false">
      <c r="B65" s="24" t="s">
        <v>389</v>
      </c>
      <c r="C65" s="48" t="n">
        <f aca="false">MAX(0,C45-(MM_Income!C$31+MM_Income!C$32+MM_Income!C$33+DM_Income!C$31+DM_Income!C$32+DM_Income!C$33))</f>
        <v>0</v>
      </c>
      <c r="D65" s="48" t="n">
        <f aca="false">MAX(0,D45-(MM_Income!D$31+MM_Income!D$32+MM_Income!D$33+DM_Income!D$31+DM_Income!D$32+DM_Income!D$33))</f>
        <v>0</v>
      </c>
      <c r="E65" s="48" t="n">
        <f aca="false">MAX(0,E45-(MM_Income!E$31+MM_Income!E$32+MM_Income!E$33+DM_Income!E$31+DM_Income!E$32+DM_Income!E$33))</f>
        <v>0</v>
      </c>
      <c r="F65" s="48" t="n">
        <f aca="false">MAX(0,F45-(MM_Income!F$31+MM_Income!F$32+MM_Income!F$33+DM_Income!F$31+DM_Income!F$32+DM_Income!F$33))</f>
        <v>0</v>
      </c>
      <c r="G65" s="48" t="n">
        <f aca="false">MAX(0,G45-(MM_Income!G$31+MM_Income!G$32+MM_Income!G$33+DM_Income!G$31+DM_Income!G$32+DM_Income!G$33))</f>
        <v>0</v>
      </c>
      <c r="H65" s="48" t="n">
        <f aca="false">MAX(0,H45-(MM_Income!H$31+MM_Income!H$32+MM_Income!H$33+DM_Income!H$31+DM_Income!H$32+DM_Income!H$33))</f>
        <v>0</v>
      </c>
      <c r="I65" s="48" t="n">
        <f aca="false">MAX(0,I45-(MM_Income!I$31+MM_Income!I$32+MM_Income!I$33+DM_Income!I$31+DM_Income!I$32+DM_Income!I$33))</f>
        <v>0</v>
      </c>
      <c r="J65" s="48" t="n">
        <f aca="false">MAX(0,J45-(MM_Income!J$31+MM_Income!J$32+MM_Income!J$33+DM_Income!J$31+DM_Income!J$32+DM_Income!J$33))</f>
        <v>0</v>
      </c>
      <c r="K65" s="48" t="n">
        <f aca="false">MAX(0,K45-(MM_Income!K$31+MM_Income!K$32+MM_Income!K$33+DM_Income!K$31+DM_Income!K$32+DM_Income!K$33))</f>
        <v>0</v>
      </c>
      <c r="L65" s="48" t="n">
        <f aca="false">MAX(0,L45-(MM_Income!L$31+MM_Income!L$32+MM_Income!L$33+DM_Income!L$31+DM_Income!L$32+DM_Income!L$33))</f>
        <v>0</v>
      </c>
      <c r="M65" s="48" t="n">
        <f aca="false">MAX(0,M45-(MM_Income!M$31+MM_Income!M$32+MM_Income!M$33+DM_Income!M$31+DM_Income!M$32+DM_Income!M$33))</f>
        <v>0</v>
      </c>
      <c r="N65" s="48" t="n">
        <f aca="false">MAX(0,N45-(MM_Income!N$31+MM_Income!N$32+MM_Income!N$33+DM_Income!N$31+DM_Income!N$32+DM_Income!N$33))</f>
        <v>0</v>
      </c>
      <c r="O65" s="48" t="n">
        <f aca="false">MAX(0,O45-(MM_Income!O$31+MM_Income!O$32+MM_Income!O$33+DM_Income!O$31+DM_Income!O$32+DM_Income!O$33))</f>
        <v>0</v>
      </c>
      <c r="P65" s="48" t="n">
        <f aca="false">MAX(0,P45-(MM_Income!P$31+MM_Income!P$32+MM_Income!P$33+DM_Income!P$31+DM_Income!P$32+DM_Income!P$33))</f>
        <v>0</v>
      </c>
      <c r="Q65" s="48" t="n">
        <f aca="false">MAX(0,Q45-(MM_Income!Q$31+MM_Income!Q$32+MM_Income!Q$33+DM_Income!Q$31+DM_Income!Q$32+DM_Income!Q$33))</f>
        <v>0</v>
      </c>
      <c r="R65" s="48" t="n">
        <f aca="false">MAX(0,R45-(MM_Income!R$31+MM_Income!R$32+MM_Income!R$33+DM_Income!R$31+DM_Income!R$32+DM_Income!R$33))</f>
        <v>0</v>
      </c>
      <c r="S65" s="48" t="n">
        <f aca="false">MAX(0,S45-(MM_Income!S$31+MM_Income!S$32+MM_Income!S$33+DM_Income!S$31+DM_Income!S$32+DM_Income!S$33))</f>
        <v>0</v>
      </c>
      <c r="T65" s="48" t="n">
        <f aca="false">MAX(0,T45-(MM_Income!T$31+MM_Income!T$32+MM_Income!T$33+DM_Income!T$31+DM_Income!T$32+DM_Income!T$33))</f>
        <v>0</v>
      </c>
      <c r="U65" s="48" t="n">
        <f aca="false">MAX(0,U45-(MM_Income!U$31+MM_Income!U$32+MM_Income!U$33+DM_Income!U$31+DM_Income!U$32+DM_Income!U$33))</f>
        <v>0</v>
      </c>
      <c r="V65" s="48" t="n">
        <f aca="false">MAX(0,V45-(MM_Income!V$31+MM_Income!V$32+MM_Income!V$33+DM_Income!V$31+DM_Income!V$32+DM_Income!V$33))</f>
        <v>0</v>
      </c>
      <c r="W65" s="48" t="n">
        <f aca="false">MAX(0,W45-(MM_Income!W$31+MM_Income!W$32+MM_Income!W$33+DM_Income!W$31+DM_Income!W$32+DM_Income!W$33))</f>
        <v>0</v>
      </c>
      <c r="X65" s="48" t="n">
        <f aca="false">MAX(0,X45-(MM_Income!X$31+MM_Income!X$32+MM_Income!X$33+DM_Income!X$31+DM_Income!X$32+DM_Income!X$33))</f>
        <v>0</v>
      </c>
      <c r="Y65" s="48" t="n">
        <f aca="false">MAX(0,Y45-(MM_Income!Y$31+MM_Income!Y$32+MM_Income!Y$33+DM_Income!Y$31+DM_Income!Y$32+DM_Income!Y$33))</f>
        <v>0</v>
      </c>
      <c r="Z65" s="48" t="n">
        <f aca="false">MAX(0,Z45-(MM_Income!Z$31+MM_Income!Z$32+MM_Income!Z$33+DM_Income!Z$31+DM_Income!Z$32+DM_Income!Z$33))</f>
        <v>0</v>
      </c>
      <c r="AA65" s="48" t="n">
        <f aca="false">MAX(0,AA45-(MM_Income!AA$31+MM_Income!AA$32+MM_Income!AA$33+DM_Income!AA$31+DM_Income!AA$32+DM_Income!AA$33))</f>
        <v>0</v>
      </c>
      <c r="AB65" s="48" t="n">
        <f aca="false">MAX(0,AB45-(MM_Income!AB$31+MM_Income!AB$32+MM_Income!AB$33+DM_Income!AB$31+DM_Income!AB$32+DM_Income!AB$33))</f>
        <v>0</v>
      </c>
      <c r="AC65" s="48" t="n">
        <f aca="false">MAX(0,AC45-(MM_Income!AC$31+MM_Income!AC$32+MM_Income!AC$33+DM_Income!AC$31+DM_Income!AC$32+DM_Income!AC$33))</f>
        <v>0</v>
      </c>
      <c r="AD65" s="48" t="n">
        <f aca="false">MAX(0,AD45-(MM_Income!AD$31+MM_Income!AD$32+MM_Income!AD$33+DM_Income!AD$31+DM_Income!AD$32+DM_Income!AD$33))</f>
        <v>0</v>
      </c>
      <c r="AE65" s="48" t="n">
        <f aca="false">MAX(0,AE45-(MM_Income!AE$31+MM_Income!AE$32+MM_Income!AE$33+DM_Income!AE$31+DM_Income!AE$32+DM_Income!AE$33))</f>
        <v>0</v>
      </c>
      <c r="AF65" s="48" t="n">
        <f aca="false">MAX(0,AF45-(MM_Income!AF$31+MM_Income!AF$32+MM_Income!AF$33+DM_Income!AF$31+DM_Income!AF$32+DM_Income!AF$33))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52"/>
    <col collapsed="false" customWidth="true" hidden="false" outlineLevel="0" max="32" min="3" style="20" width="13"/>
  </cols>
  <sheetData>
    <row r="1" customFormat="false" ht="17.25" hidden="false" customHeight="true" outlineLevel="0" collapsed="false">
      <c r="A1" s="21" t="s">
        <v>390</v>
      </c>
    </row>
    <row r="2" customFormat="false" ht="15" hidden="false" customHeight="true" outlineLevel="0" collapsed="false">
      <c r="A2" s="22" t="s">
        <v>391</v>
      </c>
    </row>
    <row r="4" customFormat="false" ht="15" hidden="false" customHeight="true" outlineLevel="0" collapsed="false">
      <c r="A4" s="23" t="s">
        <v>300</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row>
    <row r="5" customFormat="false" ht="15" hidden="false" customHeight="true" outlineLevel="0" collapsed="false">
      <c r="B5" s="24" t="s">
        <v>123</v>
      </c>
      <c r="C5" s="25" t="n">
        <v>2026</v>
      </c>
      <c r="D5" s="25" t="n">
        <v>2027</v>
      </c>
      <c r="E5" s="25" t="n">
        <v>2028</v>
      </c>
      <c r="F5" s="25" t="n">
        <v>2029</v>
      </c>
      <c r="G5" s="25" t="n">
        <v>2030</v>
      </c>
      <c r="H5" s="25" t="n">
        <v>2031</v>
      </c>
      <c r="I5" s="25" t="n">
        <v>2032</v>
      </c>
      <c r="J5" s="25" t="n">
        <v>2033</v>
      </c>
      <c r="K5" s="25" t="n">
        <v>2034</v>
      </c>
      <c r="L5" s="25" t="n">
        <v>2035</v>
      </c>
      <c r="M5" s="25" t="n">
        <v>2036</v>
      </c>
      <c r="N5" s="25" t="n">
        <v>2037</v>
      </c>
      <c r="O5" s="25" t="n">
        <v>2038</v>
      </c>
      <c r="P5" s="25" t="n">
        <v>2039</v>
      </c>
      <c r="Q5" s="25" t="n">
        <v>2040</v>
      </c>
      <c r="R5" s="25" t="n">
        <v>2041</v>
      </c>
      <c r="S5" s="25" t="n">
        <v>2042</v>
      </c>
      <c r="T5" s="25" t="n">
        <v>2043</v>
      </c>
      <c r="U5" s="25" t="n">
        <v>2044</v>
      </c>
      <c r="V5" s="25" t="n">
        <v>2045</v>
      </c>
      <c r="W5" s="25" t="n">
        <v>2046</v>
      </c>
      <c r="X5" s="25" t="n">
        <v>2047</v>
      </c>
      <c r="Y5" s="25" t="n">
        <v>2048</v>
      </c>
      <c r="Z5" s="25" t="n">
        <v>2049</v>
      </c>
      <c r="AA5" s="25" t="n">
        <v>2050</v>
      </c>
      <c r="AB5" s="25" t="n">
        <v>2051</v>
      </c>
      <c r="AC5" s="25" t="n">
        <v>2052</v>
      </c>
      <c r="AD5" s="25" t="n">
        <v>2053</v>
      </c>
      <c r="AE5" s="25" t="n">
        <v>2054</v>
      </c>
      <c r="AF5" s="25" t="n">
        <v>2055</v>
      </c>
    </row>
    <row r="6" customFormat="false" ht="15" hidden="false" customHeight="true" outlineLevel="0" collapsed="false">
      <c r="B6" s="26" t="s">
        <v>392</v>
      </c>
      <c r="C6" s="47" t="n">
        <f aca="false">Assumptions!C$13</f>
        <v>44</v>
      </c>
      <c r="D6" s="47" t="n">
        <f aca="false">Assumptions!D$13</f>
        <v>45</v>
      </c>
      <c r="E6" s="47" t="n">
        <f aca="false">Assumptions!E$13</f>
        <v>46</v>
      </c>
      <c r="F6" s="47" t="n">
        <f aca="false">Assumptions!F$13</f>
        <v>47</v>
      </c>
      <c r="G6" s="47" t="n">
        <f aca="false">Assumptions!G$13</f>
        <v>48</v>
      </c>
      <c r="H6" s="47" t="n">
        <f aca="false">Assumptions!H$13</f>
        <v>49</v>
      </c>
      <c r="I6" s="47" t="n">
        <f aca="false">Assumptions!I$13</f>
        <v>50</v>
      </c>
      <c r="J6" s="47" t="n">
        <f aca="false">Assumptions!J$13</f>
        <v>51</v>
      </c>
      <c r="K6" s="47" t="n">
        <f aca="false">Assumptions!K$13</f>
        <v>52</v>
      </c>
      <c r="L6" s="47" t="n">
        <f aca="false">Assumptions!L$13</f>
        <v>53</v>
      </c>
      <c r="M6" s="47" t="n">
        <f aca="false">Assumptions!M$13</f>
        <v>54</v>
      </c>
      <c r="N6" s="47" t="n">
        <f aca="false">Assumptions!N$13</f>
        <v>55</v>
      </c>
      <c r="O6" s="47" t="n">
        <f aca="false">Assumptions!O$13</f>
        <v>56</v>
      </c>
      <c r="P6" s="47" t="n">
        <f aca="false">Assumptions!P$13</f>
        <v>57</v>
      </c>
      <c r="Q6" s="47" t="n">
        <f aca="false">Assumptions!Q$13</f>
        <v>58</v>
      </c>
      <c r="R6" s="47" t="n">
        <f aca="false">Assumptions!R$13</f>
        <v>59</v>
      </c>
      <c r="S6" s="47" t="n">
        <f aca="false">Assumptions!S$13</f>
        <v>60</v>
      </c>
      <c r="T6" s="47" t="n">
        <f aca="false">Assumptions!T$13</f>
        <v>61</v>
      </c>
      <c r="U6" s="47" t="n">
        <f aca="false">Assumptions!U$13</f>
        <v>62</v>
      </c>
      <c r="V6" s="47" t="n">
        <f aca="false">Assumptions!V$13</f>
        <v>63</v>
      </c>
      <c r="W6" s="47" t="n">
        <f aca="false">Assumptions!W$13</f>
        <v>64</v>
      </c>
      <c r="X6" s="47" t="n">
        <f aca="false">Assumptions!X$13</f>
        <v>65</v>
      </c>
      <c r="Y6" s="47" t="n">
        <f aca="false">Assumptions!Y$13</f>
        <v>66</v>
      </c>
      <c r="Z6" s="47" t="n">
        <f aca="false">Assumptions!Z$13</f>
        <v>67</v>
      </c>
      <c r="AA6" s="47" t="n">
        <f aca="false">Assumptions!AA$13</f>
        <v>68</v>
      </c>
      <c r="AB6" s="47" t="n">
        <f aca="false">Assumptions!AB$13</f>
        <v>69</v>
      </c>
      <c r="AC6" s="47" t="n">
        <f aca="false">Assumptions!AC$13</f>
        <v>70</v>
      </c>
      <c r="AD6" s="47" t="n">
        <f aca="false">Assumptions!AD$13</f>
        <v>71</v>
      </c>
      <c r="AE6" s="47" t="n">
        <f aca="false">Assumptions!AE$13</f>
        <v>72</v>
      </c>
      <c r="AF6" s="47" t="n">
        <f aca="false">Assumptions!AF$13</f>
        <v>73</v>
      </c>
    </row>
    <row r="7" customFormat="false" ht="15" hidden="false" customHeight="true" outlineLevel="0" collapsed="false">
      <c r="B7" s="26" t="s">
        <v>393</v>
      </c>
      <c r="C7" s="47" t="n">
        <f aca="false">Assumptions!C$12</f>
        <v>35</v>
      </c>
      <c r="D7" s="47" t="n">
        <f aca="false">Assumptions!D$12</f>
        <v>36</v>
      </c>
      <c r="E7" s="47" t="n">
        <f aca="false">Assumptions!E$12</f>
        <v>37</v>
      </c>
      <c r="F7" s="47" t="n">
        <f aca="false">Assumptions!F$12</f>
        <v>38</v>
      </c>
      <c r="G7" s="47" t="n">
        <f aca="false">Assumptions!G$12</f>
        <v>39</v>
      </c>
      <c r="H7" s="47" t="n">
        <f aca="false">Assumptions!H$12</f>
        <v>40</v>
      </c>
      <c r="I7" s="47" t="n">
        <f aca="false">Assumptions!I$12</f>
        <v>41</v>
      </c>
      <c r="J7" s="47" t="n">
        <f aca="false">Assumptions!J$12</f>
        <v>42</v>
      </c>
      <c r="K7" s="47" t="n">
        <f aca="false">Assumptions!K$12</f>
        <v>43</v>
      </c>
      <c r="L7" s="47" t="n">
        <f aca="false">Assumptions!L$12</f>
        <v>44</v>
      </c>
      <c r="M7" s="47" t="n">
        <f aca="false">Assumptions!M$12</f>
        <v>45</v>
      </c>
      <c r="N7" s="47" t="n">
        <f aca="false">Assumptions!N$12</f>
        <v>46</v>
      </c>
      <c r="O7" s="47" t="n">
        <f aca="false">Assumptions!O$12</f>
        <v>47</v>
      </c>
      <c r="P7" s="47" t="n">
        <f aca="false">Assumptions!P$12</f>
        <v>48</v>
      </c>
      <c r="Q7" s="47" t="n">
        <f aca="false">Assumptions!Q$12</f>
        <v>49</v>
      </c>
      <c r="R7" s="47" t="n">
        <f aca="false">Assumptions!R$12</f>
        <v>50</v>
      </c>
      <c r="S7" s="47" t="n">
        <f aca="false">Assumptions!S$12</f>
        <v>51</v>
      </c>
      <c r="T7" s="47" t="n">
        <f aca="false">Assumptions!T$12</f>
        <v>52</v>
      </c>
      <c r="U7" s="47" t="n">
        <f aca="false">Assumptions!U$12</f>
        <v>53</v>
      </c>
      <c r="V7" s="47" t="n">
        <f aca="false">Assumptions!V$12</f>
        <v>54</v>
      </c>
      <c r="W7" s="47" t="n">
        <f aca="false">Assumptions!W$12</f>
        <v>55</v>
      </c>
      <c r="X7" s="47" t="n">
        <f aca="false">Assumptions!X$12</f>
        <v>56</v>
      </c>
      <c r="Y7" s="47" t="n">
        <f aca="false">Assumptions!Y$12</f>
        <v>57</v>
      </c>
      <c r="Z7" s="47" t="n">
        <f aca="false">Assumptions!Z$12</f>
        <v>58</v>
      </c>
      <c r="AA7" s="47" t="n">
        <f aca="false">Assumptions!AA$12</f>
        <v>59</v>
      </c>
      <c r="AB7" s="47" t="n">
        <f aca="false">Assumptions!AB$12</f>
        <v>60</v>
      </c>
      <c r="AC7" s="47" t="n">
        <f aca="false">Assumptions!AC$12</f>
        <v>61</v>
      </c>
      <c r="AD7" s="47" t="n">
        <f aca="false">Assumptions!AD$12</f>
        <v>62</v>
      </c>
      <c r="AE7" s="47" t="n">
        <f aca="false">Assumptions!AE$12</f>
        <v>63</v>
      </c>
      <c r="AF7" s="47" t="n">
        <f aca="false">Assumptions!AF$12</f>
        <v>64</v>
      </c>
    </row>
    <row r="9" customFormat="false" ht="15" hidden="false" customHeight="true" outlineLevel="0" collapsed="false">
      <c r="A9" s="23" t="s">
        <v>394</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row>
    <row r="10" customFormat="false" ht="15" hidden="false" customHeight="true" outlineLevel="0" collapsed="false">
      <c r="B10" s="26" t="s">
        <v>395</v>
      </c>
      <c r="C10" s="51" t="n">
        <f aca="false">MM_Income!C$42</f>
        <v>101886.4</v>
      </c>
      <c r="D10" s="51" t="n">
        <f aca="false">MM_Income!D$42</f>
        <v>105490.4</v>
      </c>
      <c r="E10" s="51" t="n">
        <f aca="false">MM_Income!E$42</f>
        <v>109238.56</v>
      </c>
      <c r="F10" s="51" t="n">
        <f aca="false">MM_Income!F$42</f>
        <v>111187.6032</v>
      </c>
      <c r="G10" s="51" t="n">
        <f aca="false">MM_Income!G$42</f>
        <v>113175.627264</v>
      </c>
      <c r="H10" s="51" t="n">
        <f aca="false">MM_Income!H$42</f>
        <v>115439.13980928</v>
      </c>
      <c r="I10" s="51" t="n">
        <f aca="false">MM_Income!I$42</f>
        <v>117747.922605466</v>
      </c>
      <c r="J10" s="51" t="n">
        <f aca="false">MM_Income!J$42</f>
        <v>120102.881057575</v>
      </c>
      <c r="K10" s="51" t="n">
        <f aca="false">MM_Income!K$42</f>
        <v>122504.938678726</v>
      </c>
      <c r="L10" s="51" t="n">
        <f aca="false">MM_Income!L$42</f>
        <v>124955.037452301</v>
      </c>
      <c r="M10" s="51" t="n">
        <f aca="false">MM_Income!M$42</f>
        <v>127454.138201347</v>
      </c>
      <c r="N10" s="51" t="n">
        <f aca="false">MM_Income!N$42</f>
        <v>130003.220965374</v>
      </c>
      <c r="O10" s="51" t="n">
        <f aca="false">MM_Income!O$42</f>
        <v>132603.285384681</v>
      </c>
      <c r="P10" s="51" t="n">
        <f aca="false">MM_Income!P$42</f>
        <v>135255.351092375</v>
      </c>
      <c r="Q10" s="51" t="n">
        <f aca="false">MM_Income!Q$42</f>
        <v>137960.458114223</v>
      </c>
      <c r="R10" s="51" t="n">
        <f aca="false">MM_Income!R$42</f>
        <v>140719.667276507</v>
      </c>
      <c r="S10" s="51" t="n">
        <f aca="false">MM_Income!S$42</f>
        <v>143534.060622037</v>
      </c>
      <c r="T10" s="51" t="n">
        <f aca="false">MM_Income!T$42</f>
        <v>146404.741834478</v>
      </c>
      <c r="U10" s="51" t="n">
        <f aca="false">MM_Income!U$42</f>
        <v>149332.836671167</v>
      </c>
      <c r="V10" s="51" t="n">
        <f aca="false">MM_Income!V$42</f>
        <v>152319.493404591</v>
      </c>
      <c r="W10" s="51" t="n">
        <f aca="false">MM_Income!W$42</f>
        <v>155365.883272683</v>
      </c>
      <c r="X10" s="51" t="n">
        <f aca="false">MM_Income!X$42</f>
        <v>158473.200938136</v>
      </c>
      <c r="Y10" s="51" t="n">
        <f aca="false">MM_Income!Y$42</f>
        <v>161642.664956899</v>
      </c>
      <c r="Z10" s="51" t="n">
        <f aca="false">MM_Income!Z$42</f>
        <v>164875.518256037</v>
      </c>
      <c r="AA10" s="51" t="n">
        <f aca="false">MM_Income!AA$42</f>
        <v>168173.028621158</v>
      </c>
      <c r="AB10" s="51" t="n">
        <f aca="false">MM_Income!AB$42</f>
        <v>171536.489193581</v>
      </c>
      <c r="AC10" s="51" t="n">
        <f aca="false">MM_Income!AC$42</f>
        <v>174967.218977453</v>
      </c>
      <c r="AD10" s="51" t="n">
        <f aca="false">MM_Income!AD$42</f>
        <v>178466.563357002</v>
      </c>
      <c r="AE10" s="51" t="n">
        <f aca="false">MM_Income!AE$42</f>
        <v>182035.894624142</v>
      </c>
      <c r="AF10" s="51" t="n">
        <f aca="false">MM_Income!AF$42</f>
        <v>185676.612516624</v>
      </c>
    </row>
    <row r="11" customFormat="false" ht="15" hidden="false" customHeight="true" outlineLevel="0" collapsed="false">
      <c r="B11" s="26" t="s">
        <v>65</v>
      </c>
      <c r="C11" s="51" t="n">
        <f aca="false">Household_Base!C$33</f>
        <v>125400</v>
      </c>
      <c r="D11" s="51" t="n">
        <f aca="false">Household_Base!D$33</f>
        <v>130416</v>
      </c>
      <c r="E11" s="51" t="n">
        <f aca="false">Household_Base!E$33</f>
        <v>123951.36</v>
      </c>
      <c r="F11" s="51" t="n">
        <f aca="false">Household_Base!F$33</f>
        <v>102600.576</v>
      </c>
      <c r="G11" s="51" t="n">
        <f aca="false">Household_Base!G$33</f>
        <v>104652.58752</v>
      </c>
      <c r="H11" s="51" t="n">
        <f aca="false">Household_Base!H$33</f>
        <v>106745.6392704</v>
      </c>
      <c r="I11" s="51" t="n">
        <f aca="false">Household_Base!I$33</f>
        <v>108880.552055808</v>
      </c>
      <c r="J11" s="51" t="n">
        <f aca="false">Household_Base!J$33</f>
        <v>111058.163096924</v>
      </c>
      <c r="K11" s="51" t="n">
        <f aca="false">Household_Base!K$33</f>
        <v>91354.2954506957</v>
      </c>
      <c r="L11" s="51" t="n">
        <f aca="false">Household_Base!L$33</f>
        <v>93181.3813597096</v>
      </c>
      <c r="M11" s="51" t="n">
        <f aca="false">Household_Base!M$33</f>
        <v>95045.0089869038</v>
      </c>
      <c r="N11" s="51" t="n">
        <f aca="false">Household_Base!N$33</f>
        <v>96945.9091666419</v>
      </c>
      <c r="O11" s="51" t="n">
        <f aca="false">Household_Base!O$33</f>
        <v>98884.8273499747</v>
      </c>
      <c r="P11" s="51" t="n">
        <f aca="false">Household_Base!P$33</f>
        <v>100862.523896974</v>
      </c>
      <c r="Q11" s="51" t="n">
        <f aca="false">Household_Base!Q$33</f>
        <v>112780.20669151</v>
      </c>
      <c r="R11" s="51" t="n">
        <f aca="false">Household_Base!R$33</f>
        <v>140546.117369057</v>
      </c>
      <c r="S11" s="51" t="n">
        <f aca="false">Household_Base!S$33</f>
        <v>107036.11725966</v>
      </c>
      <c r="T11" s="51" t="n">
        <f aca="false">Household_Base!T$33</f>
        <v>109176.839604853</v>
      </c>
      <c r="U11" s="51" t="n">
        <f aca="false">Household_Base!U$33</f>
        <v>111360.376396951</v>
      </c>
      <c r="V11" s="51" t="n">
        <f aca="false">Household_Base!V$33</f>
        <v>113587.58392489</v>
      </c>
      <c r="W11" s="51" t="n">
        <f aca="false">Household_Base!W$33</f>
        <v>115859.335603387</v>
      </c>
      <c r="X11" s="51" t="n">
        <f aca="false">Household_Base!X$33</f>
        <v>118176.522315455</v>
      </c>
      <c r="Y11" s="51" t="n">
        <f aca="false">Household_Base!Y$33</f>
        <v>120540.052761764</v>
      </c>
      <c r="Z11" s="51" t="n">
        <f aca="false">Household_Base!Z$33</f>
        <v>122950.853816999</v>
      </c>
      <c r="AA11" s="51" t="n">
        <f aca="false">Household_Base!AA$33</f>
        <v>125409.870893339</v>
      </c>
      <c r="AB11" s="51" t="n">
        <f aca="false">Household_Base!AB$33</f>
        <v>127918.068311206</v>
      </c>
      <c r="AC11" s="51" t="n">
        <f aca="false">Household_Base!AC$33</f>
        <v>130476.42967743</v>
      </c>
      <c r="AD11" s="51" t="n">
        <f aca="false">Household_Base!AD$33</f>
        <v>133085.958270979</v>
      </c>
      <c r="AE11" s="51" t="n">
        <f aca="false">Household_Base!AE$33</f>
        <v>135747.677436399</v>
      </c>
      <c r="AF11" s="51" t="n">
        <f aca="false">Household_Base!AF$33</f>
        <v>138462.630985127</v>
      </c>
    </row>
    <row r="12" customFormat="false" ht="15" hidden="false" customHeight="true" outlineLevel="0" collapsed="false">
      <c r="B12" s="24" t="s">
        <v>396</v>
      </c>
      <c r="C12" s="55" t="n">
        <f aca="false">C10/C11</f>
        <v>0.812491228070175</v>
      </c>
      <c r="D12" s="55" t="n">
        <f aca="false">D10/D11</f>
        <v>0.80887621150779</v>
      </c>
      <c r="E12" s="55" t="n">
        <f aca="false">E10/E11</f>
        <v>0.881301826781086</v>
      </c>
      <c r="F12" s="55" t="n">
        <f aca="false">F10/F11</f>
        <v>1.08369375236256</v>
      </c>
      <c r="G12" s="55" t="n">
        <f aca="false">G10/G11</f>
        <v>1.08144127102802</v>
      </c>
      <c r="H12" s="55" t="n">
        <f aca="false">H10/H11</f>
        <v>1.08144127102802</v>
      </c>
      <c r="I12" s="55" t="n">
        <f aca="false">I10/I11</f>
        <v>1.08144127102802</v>
      </c>
      <c r="J12" s="55" t="n">
        <f aca="false">J10/J11</f>
        <v>1.08144127102802</v>
      </c>
      <c r="K12" s="55" t="n">
        <f aca="false">K10/K11</f>
        <v>1.34098717607475</v>
      </c>
      <c r="L12" s="55" t="n">
        <f aca="false">L10/L11</f>
        <v>1.34098717607475</v>
      </c>
      <c r="M12" s="55" t="n">
        <f aca="false">M10/M11</f>
        <v>1.34098717607475</v>
      </c>
      <c r="N12" s="55" t="n">
        <f aca="false">N10/N11</f>
        <v>1.34098717607475</v>
      </c>
      <c r="O12" s="55" t="n">
        <f aca="false">O10/O11</f>
        <v>1.34098717607475</v>
      </c>
      <c r="P12" s="55" t="n">
        <f aca="false">P10/P11</f>
        <v>1.34098717607475</v>
      </c>
      <c r="Q12" s="55" t="n">
        <f aca="false">Q10/Q11</f>
        <v>1.22326835675686</v>
      </c>
      <c r="R12" s="55" t="n">
        <f aca="false">R10/R11</f>
        <v>1.00123482534202</v>
      </c>
      <c r="S12" s="55" t="n">
        <f aca="false">S10/S11</f>
        <v>1.34098717607475</v>
      </c>
      <c r="T12" s="55" t="n">
        <f aca="false">T10/T11</f>
        <v>1.34098717607475</v>
      </c>
      <c r="U12" s="55" t="n">
        <f aca="false">U10/U11</f>
        <v>1.34098717607475</v>
      </c>
      <c r="V12" s="55" t="n">
        <f aca="false">V10/V11</f>
        <v>1.34098717607475</v>
      </c>
      <c r="W12" s="55" t="n">
        <f aca="false">W10/W11</f>
        <v>1.34098717607475</v>
      </c>
      <c r="X12" s="55" t="n">
        <f aca="false">X10/X11</f>
        <v>1.34098717607475</v>
      </c>
      <c r="Y12" s="55" t="n">
        <f aca="false">Y10/Y11</f>
        <v>1.34098717607475</v>
      </c>
      <c r="Z12" s="55" t="n">
        <f aca="false">Z10/Z11</f>
        <v>1.34098717607475</v>
      </c>
      <c r="AA12" s="55" t="n">
        <f aca="false">AA10/AA11</f>
        <v>1.34098717607475</v>
      </c>
      <c r="AB12" s="55" t="n">
        <f aca="false">AB10/AB11</f>
        <v>1.34098717607475</v>
      </c>
      <c r="AC12" s="55" t="n">
        <f aca="false">AC10/AC11</f>
        <v>1.34098717607475</v>
      </c>
      <c r="AD12" s="55" t="n">
        <f aca="false">AD10/AD11</f>
        <v>1.34098717607475</v>
      </c>
      <c r="AE12" s="55" t="n">
        <f aca="false">AE10/AE11</f>
        <v>1.34098717607475</v>
      </c>
      <c r="AF12" s="55" t="n">
        <f aca="false">AF10/AF11</f>
        <v>1.34098717607475</v>
      </c>
    </row>
    <row r="13" customFormat="false" ht="15" hidden="false" customHeight="true" outlineLevel="0" collapsed="false">
      <c r="B13" s="49" t="s">
        <v>397</v>
      </c>
      <c r="C13" s="56" t="n">
        <f aca="false">Assumptions!$C$90</f>
        <v>1.2</v>
      </c>
      <c r="D13" s="56" t="n">
        <f aca="false">Assumptions!$C$90</f>
        <v>1.2</v>
      </c>
      <c r="E13" s="56" t="n">
        <f aca="false">Assumptions!$C$90</f>
        <v>1.2</v>
      </c>
      <c r="F13" s="56" t="n">
        <f aca="false">Assumptions!$C$90</f>
        <v>1.2</v>
      </c>
      <c r="G13" s="56" t="n">
        <f aca="false">Assumptions!$C$90</f>
        <v>1.2</v>
      </c>
      <c r="H13" s="56" t="n">
        <f aca="false">Assumptions!$C$90</f>
        <v>1.2</v>
      </c>
      <c r="I13" s="56" t="n">
        <f aca="false">Assumptions!$C$90</f>
        <v>1.2</v>
      </c>
      <c r="J13" s="56" t="n">
        <f aca="false">Assumptions!$C$90</f>
        <v>1.2</v>
      </c>
      <c r="K13" s="56" t="n">
        <f aca="false">Assumptions!$C$90</f>
        <v>1.2</v>
      </c>
      <c r="L13" s="56" t="n">
        <f aca="false">Assumptions!$C$90</f>
        <v>1.2</v>
      </c>
      <c r="M13" s="56" t="n">
        <f aca="false">Assumptions!$C$90</f>
        <v>1.2</v>
      </c>
      <c r="N13" s="56" t="n">
        <f aca="false">Assumptions!$C$90</f>
        <v>1.2</v>
      </c>
      <c r="O13" s="56" t="n">
        <f aca="false">Assumptions!$C$90</f>
        <v>1.2</v>
      </c>
      <c r="P13" s="56" t="n">
        <f aca="false">Assumptions!$C$90</f>
        <v>1.2</v>
      </c>
      <c r="Q13" s="56" t="n">
        <f aca="false">Assumptions!$C$90</f>
        <v>1.2</v>
      </c>
      <c r="R13" s="56" t="n">
        <f aca="false">Assumptions!$C$90</f>
        <v>1.2</v>
      </c>
      <c r="S13" s="56" t="n">
        <f aca="false">Assumptions!$C$90</f>
        <v>1.2</v>
      </c>
      <c r="T13" s="56" t="n">
        <f aca="false">Assumptions!$C$90</f>
        <v>1.2</v>
      </c>
      <c r="U13" s="56" t="n">
        <f aca="false">Assumptions!$C$90</f>
        <v>1.2</v>
      </c>
      <c r="V13" s="56" t="n">
        <f aca="false">Assumptions!$C$90</f>
        <v>1.2</v>
      </c>
      <c r="W13" s="56" t="n">
        <f aca="false">Assumptions!$C$90</f>
        <v>1.2</v>
      </c>
      <c r="X13" s="56" t="n">
        <f aca="false">Assumptions!$C$90</f>
        <v>1.2</v>
      </c>
      <c r="Y13" s="56" t="n">
        <f aca="false">Assumptions!$C$90</f>
        <v>1.2</v>
      </c>
      <c r="Z13" s="56" t="n">
        <f aca="false">Assumptions!$C$90</f>
        <v>1.2</v>
      </c>
      <c r="AA13" s="56" t="n">
        <f aca="false">Assumptions!$C$90</f>
        <v>1.2</v>
      </c>
      <c r="AB13" s="56" t="n">
        <f aca="false">Assumptions!$C$90</f>
        <v>1.2</v>
      </c>
      <c r="AC13" s="56" t="n">
        <f aca="false">Assumptions!$C$90</f>
        <v>1.2</v>
      </c>
      <c r="AD13" s="56" t="n">
        <f aca="false">Assumptions!$C$90</f>
        <v>1.2</v>
      </c>
      <c r="AE13" s="56" t="n">
        <f aca="false">Assumptions!$C$90</f>
        <v>1.2</v>
      </c>
      <c r="AF13" s="56" t="n">
        <f aca="false">Assumptions!$C$90</f>
        <v>1.2</v>
      </c>
    </row>
    <row r="14" customFormat="false" ht="15" hidden="false" customHeight="true" outlineLevel="0" collapsed="false">
      <c r="B14" s="24" t="s">
        <v>398</v>
      </c>
      <c r="C14" s="57" t="n">
        <f aca="false">IF(C12&gt;=C13,1,0)</f>
        <v>0</v>
      </c>
      <c r="D14" s="57" t="n">
        <f aca="false">IF(D12&gt;=D13,1,0)</f>
        <v>0</v>
      </c>
      <c r="E14" s="57" t="n">
        <f aca="false">IF(E12&gt;=E13,1,0)</f>
        <v>0</v>
      </c>
      <c r="F14" s="57" t="n">
        <f aca="false">IF(F12&gt;=F13,1,0)</f>
        <v>0</v>
      </c>
      <c r="G14" s="57" t="n">
        <f aca="false">IF(G12&gt;=G13,1,0)</f>
        <v>0</v>
      </c>
      <c r="H14" s="57" t="n">
        <f aca="false">IF(H12&gt;=H13,1,0)</f>
        <v>0</v>
      </c>
      <c r="I14" s="57" t="n">
        <f aca="false">IF(I12&gt;=I13,1,0)</f>
        <v>0</v>
      </c>
      <c r="J14" s="57" t="n">
        <f aca="false">IF(J12&gt;=J13,1,0)</f>
        <v>0</v>
      </c>
      <c r="K14" s="57" t="n">
        <f aca="false">IF(K12&gt;=K13,1,0)</f>
        <v>1</v>
      </c>
      <c r="L14" s="57" t="n">
        <f aca="false">IF(L12&gt;=L13,1,0)</f>
        <v>1</v>
      </c>
      <c r="M14" s="57" t="n">
        <f aca="false">IF(M12&gt;=M13,1,0)</f>
        <v>1</v>
      </c>
      <c r="N14" s="57" t="n">
        <f aca="false">IF(N12&gt;=N13,1,0)</f>
        <v>1</v>
      </c>
      <c r="O14" s="57" t="n">
        <f aca="false">IF(O12&gt;=O13,1,0)</f>
        <v>1</v>
      </c>
      <c r="P14" s="57" t="n">
        <f aca="false">IF(P12&gt;=P13,1,0)</f>
        <v>1</v>
      </c>
      <c r="Q14" s="57" t="n">
        <f aca="false">IF(Q12&gt;=Q13,1,0)</f>
        <v>1</v>
      </c>
      <c r="R14" s="57" t="n">
        <f aca="false">IF(R12&gt;=R13,1,0)</f>
        <v>0</v>
      </c>
      <c r="S14" s="57" t="n">
        <f aca="false">IF(S12&gt;=S13,1,0)</f>
        <v>1</v>
      </c>
      <c r="T14" s="57" t="n">
        <f aca="false">IF(T12&gt;=T13,1,0)</f>
        <v>1</v>
      </c>
      <c r="U14" s="57" t="n">
        <f aca="false">IF(U12&gt;=U13,1,0)</f>
        <v>1</v>
      </c>
      <c r="V14" s="57" t="n">
        <f aca="false">IF(V12&gt;=V13,1,0)</f>
        <v>1</v>
      </c>
      <c r="W14" s="57" t="n">
        <f aca="false">IF(W12&gt;=W13,1,0)</f>
        <v>1</v>
      </c>
      <c r="X14" s="57" t="n">
        <f aca="false">IF(X12&gt;=X13,1,0)</f>
        <v>1</v>
      </c>
      <c r="Y14" s="57" t="n">
        <f aca="false">IF(Y12&gt;=Y13,1,0)</f>
        <v>1</v>
      </c>
      <c r="Z14" s="57" t="n">
        <f aca="false">IF(Z12&gt;=Z13,1,0)</f>
        <v>1</v>
      </c>
      <c r="AA14" s="57" t="n">
        <f aca="false">IF(AA12&gt;=AA13,1,0)</f>
        <v>1</v>
      </c>
      <c r="AB14" s="57" t="n">
        <f aca="false">IF(AB12&gt;=AB13,1,0)</f>
        <v>1</v>
      </c>
      <c r="AC14" s="57" t="n">
        <f aca="false">IF(AC12&gt;=AC13,1,0)</f>
        <v>1</v>
      </c>
      <c r="AD14" s="57" t="n">
        <f aca="false">IF(AD12&gt;=AD13,1,0)</f>
        <v>1</v>
      </c>
      <c r="AE14" s="57" t="n">
        <f aca="false">IF(AE12&gt;=AE13,1,0)</f>
        <v>1</v>
      </c>
      <c r="AF14" s="57" t="n">
        <f aca="false">IF(AF12&gt;=AF13,1,0)</f>
        <v>1</v>
      </c>
    </row>
    <row r="16" customFormat="false" ht="15" hidden="false" customHeight="true" outlineLevel="0" collapsed="false">
      <c r="A16" s="23" t="s">
        <v>399</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row>
    <row r="17" customFormat="false" ht="15" hidden="false" customHeight="true" outlineLevel="0" collapsed="false">
      <c r="B17" s="26" t="s">
        <v>400</v>
      </c>
      <c r="C17" s="51" t="n">
        <f aca="false">Household_Base!C$57</f>
        <v>278243.8</v>
      </c>
      <c r="D17" s="51" t="n">
        <f aca="false">Household_Base!D$57</f>
        <v>299907.98</v>
      </c>
      <c r="E17" s="51" t="n">
        <f aca="false">Household_Base!E$57</f>
        <v>337079.698</v>
      </c>
      <c r="F17" s="51" t="n">
        <f aca="false">Household_Base!F$57</f>
        <v>403256.5574</v>
      </c>
      <c r="G17" s="51" t="n">
        <f aca="false">Household_Base!G$57</f>
        <v>478209.024532</v>
      </c>
      <c r="H17" s="51" t="n">
        <f aca="false">Household_Base!H$57</f>
        <v>561529.27460504</v>
      </c>
      <c r="I17" s="51" t="n">
        <f aca="false">Household_Base!I$57</f>
        <v>654071.536637781</v>
      </c>
      <c r="J17" s="51" t="n">
        <f aca="false">Household_Base!J$57</f>
        <v>756775.81156524</v>
      </c>
      <c r="K17" s="51" t="n">
        <f aca="false">Household_Base!K$57</f>
        <v>892601.487318887</v>
      </c>
      <c r="L17" s="51" t="n">
        <f aca="false">Household_Base!L$57</f>
        <v>1043139.93041688</v>
      </c>
      <c r="M17" s="51" t="n">
        <f aca="false">Household_Base!M$57</f>
        <v>1209860.83680859</v>
      </c>
      <c r="N17" s="51" t="n">
        <f aca="false">Household_Base!N$57</f>
        <v>1394378.78471628</v>
      </c>
      <c r="O17" s="51" t="n">
        <f aca="false">Household_Base!O$57</f>
        <v>1598467.5063809</v>
      </c>
      <c r="P17" s="51" t="n">
        <f aca="false">Household_Base!P$57</f>
        <v>1824075.56780042</v>
      </c>
      <c r="Q17" s="51" t="n">
        <f aca="false">Household_Base!Q$57</f>
        <v>2063443.16329709</v>
      </c>
      <c r="R17" s="51" t="n">
        <f aca="false">Household_Base!R$57</f>
        <v>2302272.48748803</v>
      </c>
      <c r="S17" s="51" t="n">
        <f aca="false">Household_Base!S$57</f>
        <v>2611207.26259189</v>
      </c>
      <c r="T17" s="51" t="n">
        <f aca="false">Household_Base!T$57</f>
        <v>2952005.158926</v>
      </c>
      <c r="U17" s="51" t="n">
        <f aca="false">Household_Base!U$57</f>
        <v>3327820.49840918</v>
      </c>
      <c r="V17" s="51" t="n">
        <f aca="false">Household_Base!V$57</f>
        <v>3742118.02778633</v>
      </c>
      <c r="W17" s="51" t="n">
        <f aca="false">Household_Base!W$57</f>
        <v>4198703.48972106</v>
      </c>
      <c r="X17" s="51" t="n">
        <f aca="false">Household_Base!X$57</f>
        <v>4701757.21001399</v>
      </c>
      <c r="Y17" s="51" t="n">
        <f aca="false">Household_Base!Y$57</f>
        <v>5255870.99905766</v>
      </c>
      <c r="Z17" s="51" t="n">
        <f aca="false">Household_Base!Z$57</f>
        <v>5866088.69515167</v>
      </c>
      <c r="AA17" s="51" t="n">
        <f aca="false">Household_Base!AA$57</f>
        <v>6537950.7097407</v>
      </c>
      <c r="AB17" s="51" t="n">
        <f aca="false">Household_Base!AB$57</f>
        <v>7277542.97029373</v>
      </c>
      <c r="AC17" s="51" t="n">
        <f aca="false">Household_Base!AC$57</f>
        <v>8091550.69573356</v>
      </c>
      <c r="AD17" s="51" t="n">
        <f aca="false">Household_Base!AD$57</f>
        <v>8987317.48240389</v>
      </c>
      <c r="AE17" s="51" t="n">
        <f aca="false">Household_Base!AE$57</f>
        <v>9972910.22591157</v>
      </c>
      <c r="AF17" s="51" t="n">
        <f aca="false">Household_Base!AF$57</f>
        <v>11057190.4562291</v>
      </c>
    </row>
    <row r="18" customFormat="false" ht="15" hidden="false" customHeight="true" outlineLevel="0" collapsed="false">
      <c r="B18" s="49" t="s">
        <v>401</v>
      </c>
      <c r="C18" s="45" t="n">
        <f aca="false">C11*Assumptions!$C$91/12</f>
        <v>250800</v>
      </c>
      <c r="D18" s="45" t="n">
        <f aca="false">D11*Assumptions!$C$91/12</f>
        <v>260832</v>
      </c>
      <c r="E18" s="45" t="n">
        <f aca="false">E11*Assumptions!$C$91/12</f>
        <v>247902.72</v>
      </c>
      <c r="F18" s="45" t="n">
        <f aca="false">F11*Assumptions!$C$91/12</f>
        <v>205201.152</v>
      </c>
      <c r="G18" s="45" t="n">
        <f aca="false">G11*Assumptions!$C$91/12</f>
        <v>209305.17504</v>
      </c>
      <c r="H18" s="45" t="n">
        <f aca="false">H11*Assumptions!$C$91/12</f>
        <v>213491.2785408</v>
      </c>
      <c r="I18" s="45" t="n">
        <f aca="false">I11*Assumptions!$C$91/12</f>
        <v>217761.104111616</v>
      </c>
      <c r="J18" s="45" t="n">
        <f aca="false">J11*Assumptions!$C$91/12</f>
        <v>222116.326193848</v>
      </c>
      <c r="K18" s="45" t="n">
        <f aca="false">K11*Assumptions!$C$91/12</f>
        <v>182708.590901391</v>
      </c>
      <c r="L18" s="45" t="n">
        <f aca="false">L11*Assumptions!$C$91/12</f>
        <v>186362.762719419</v>
      </c>
      <c r="M18" s="45" t="n">
        <f aca="false">M11*Assumptions!$C$91/12</f>
        <v>190090.017973808</v>
      </c>
      <c r="N18" s="45" t="n">
        <f aca="false">N11*Assumptions!$C$91/12</f>
        <v>193891.818333284</v>
      </c>
      <c r="O18" s="45" t="n">
        <f aca="false">O11*Assumptions!$C$91/12</f>
        <v>197769.654699949</v>
      </c>
      <c r="P18" s="45" t="n">
        <f aca="false">P11*Assumptions!$C$91/12</f>
        <v>201725.047793948</v>
      </c>
      <c r="Q18" s="45" t="n">
        <f aca="false">Q11*Assumptions!$C$91/12</f>
        <v>225560.41338302</v>
      </c>
      <c r="R18" s="45" t="n">
        <f aca="false">R11*Assumptions!$C$91/12</f>
        <v>281092.234738114</v>
      </c>
      <c r="S18" s="45" t="n">
        <f aca="false">S11*Assumptions!$C$91/12</f>
        <v>214072.23451932</v>
      </c>
      <c r="T18" s="45" t="n">
        <f aca="false">T11*Assumptions!$C$91/12</f>
        <v>218353.679209707</v>
      </c>
      <c r="U18" s="45" t="n">
        <f aca="false">U11*Assumptions!$C$91/12</f>
        <v>222720.752793901</v>
      </c>
      <c r="V18" s="45" t="n">
        <f aca="false">V11*Assumptions!$C$91/12</f>
        <v>227175.167849779</v>
      </c>
      <c r="W18" s="45" t="n">
        <f aca="false">W11*Assumptions!$C$91/12</f>
        <v>231718.671206775</v>
      </c>
      <c r="X18" s="45" t="n">
        <f aca="false">X11*Assumptions!$C$91/12</f>
        <v>236353.04463091</v>
      </c>
      <c r="Y18" s="45" t="n">
        <f aca="false">Y11*Assumptions!$C$91/12</f>
        <v>241080.105523528</v>
      </c>
      <c r="Z18" s="45" t="n">
        <f aca="false">Z11*Assumptions!$C$91/12</f>
        <v>245901.707633999</v>
      </c>
      <c r="AA18" s="45" t="n">
        <f aca="false">AA11*Assumptions!$C$91/12</f>
        <v>250819.741786679</v>
      </c>
      <c r="AB18" s="45" t="n">
        <f aca="false">AB11*Assumptions!$C$91/12</f>
        <v>255836.136622412</v>
      </c>
      <c r="AC18" s="45" t="n">
        <f aca="false">AC11*Assumptions!$C$91/12</f>
        <v>260952.859354861</v>
      </c>
      <c r="AD18" s="45" t="n">
        <f aca="false">AD11*Assumptions!$C$91/12</f>
        <v>266171.916541958</v>
      </c>
      <c r="AE18" s="45" t="n">
        <f aca="false">AE11*Assumptions!$C$91/12</f>
        <v>271495.354872797</v>
      </c>
      <c r="AF18" s="45" t="n">
        <f aca="false">AF11*Assumptions!$C$91/12</f>
        <v>276925.261970253</v>
      </c>
    </row>
    <row r="19" customFormat="false" ht="15" hidden="false" customHeight="true" outlineLevel="0" collapsed="false">
      <c r="B19" s="49" t="s">
        <v>402</v>
      </c>
      <c r="C19" s="45" t="n">
        <f aca="false">Assumptions!$C$92*Household_Base!C$6</f>
        <v>100000</v>
      </c>
      <c r="D19" s="45" t="n">
        <f aca="false">Assumptions!$C$92*Household_Base!D$6</f>
        <v>104000</v>
      </c>
      <c r="E19" s="45" t="n">
        <f aca="false">Assumptions!$C$92*Household_Base!E$6</f>
        <v>108160</v>
      </c>
      <c r="F19" s="45" t="n">
        <f aca="false">Assumptions!$C$92*Household_Base!F$6</f>
        <v>110323.2</v>
      </c>
      <c r="G19" s="45" t="n">
        <f aca="false">Assumptions!$C$92*Household_Base!G$6</f>
        <v>112529.664</v>
      </c>
      <c r="H19" s="45" t="n">
        <f aca="false">Assumptions!$C$92*Household_Base!H$6</f>
        <v>114780.25728</v>
      </c>
      <c r="I19" s="45" t="n">
        <f aca="false">Assumptions!$C$92*Household_Base!I$6</f>
        <v>117075.8624256</v>
      </c>
      <c r="J19" s="45" t="n">
        <f aca="false">Assumptions!$C$92*Household_Base!J$6</f>
        <v>119417.379674112</v>
      </c>
      <c r="K19" s="45" t="n">
        <f aca="false">Assumptions!$C$92*Household_Base!K$6</f>
        <v>121805.727267594</v>
      </c>
      <c r="L19" s="45" t="n">
        <f aca="false">Assumptions!$C$92*Household_Base!L$6</f>
        <v>124241.841812946</v>
      </c>
      <c r="M19" s="45" t="n">
        <f aca="false">Assumptions!$C$92*Household_Base!M$6</f>
        <v>126726.678649205</v>
      </c>
      <c r="N19" s="45" t="n">
        <f aca="false">Assumptions!$C$92*Household_Base!N$6</f>
        <v>129261.212222189</v>
      </c>
      <c r="O19" s="45" t="n">
        <f aca="false">Assumptions!$C$92*Household_Base!O$6</f>
        <v>131846.436466633</v>
      </c>
      <c r="P19" s="45" t="n">
        <f aca="false">Assumptions!$C$92*Household_Base!P$6</f>
        <v>134483.365195966</v>
      </c>
      <c r="Q19" s="45" t="n">
        <f aca="false">Assumptions!$C$92*Household_Base!Q$6</f>
        <v>137173.032499885</v>
      </c>
      <c r="R19" s="45" t="n">
        <f aca="false">Assumptions!$C$92*Household_Base!R$6</f>
        <v>139916.493149883</v>
      </c>
      <c r="S19" s="45" t="n">
        <f aca="false">Assumptions!$C$92*Household_Base!S$6</f>
        <v>142714.82301288</v>
      </c>
      <c r="T19" s="45" t="n">
        <f aca="false">Assumptions!$C$92*Household_Base!T$6</f>
        <v>145569.119473138</v>
      </c>
      <c r="U19" s="45" t="n">
        <f aca="false">Assumptions!$C$92*Household_Base!U$6</f>
        <v>148480.501862601</v>
      </c>
      <c r="V19" s="45" t="n">
        <f aca="false">Assumptions!$C$92*Household_Base!V$6</f>
        <v>151450.111899853</v>
      </c>
      <c r="W19" s="45" t="n">
        <f aca="false">Assumptions!$C$92*Household_Base!W$6</f>
        <v>154479.11413785</v>
      </c>
      <c r="X19" s="45" t="n">
        <f aca="false">Assumptions!$C$92*Household_Base!X$6</f>
        <v>157568.696420607</v>
      </c>
      <c r="Y19" s="45" t="n">
        <f aca="false">Assumptions!$C$92*Household_Base!Y$6</f>
        <v>160720.070349019</v>
      </c>
      <c r="Z19" s="45" t="n">
        <f aca="false">Assumptions!$C$92*Household_Base!Z$6</f>
        <v>163934.471755999</v>
      </c>
      <c r="AA19" s="45" t="n">
        <f aca="false">Assumptions!$C$92*Household_Base!AA$6</f>
        <v>167213.161191119</v>
      </c>
      <c r="AB19" s="45" t="n">
        <f aca="false">Assumptions!$C$92*Household_Base!AB$6</f>
        <v>170557.424414942</v>
      </c>
      <c r="AC19" s="45" t="n">
        <f aca="false">Assumptions!$C$92*Household_Base!AC$6</f>
        <v>173968.57290324</v>
      </c>
      <c r="AD19" s="45" t="n">
        <f aca="false">Assumptions!$C$92*Household_Base!AD$6</f>
        <v>177447.944361305</v>
      </c>
      <c r="AE19" s="45" t="n">
        <f aca="false">Assumptions!$C$92*Household_Base!AE$6</f>
        <v>180996.903248531</v>
      </c>
      <c r="AF19" s="45" t="n">
        <f aca="false">Assumptions!$C$92*Household_Base!AF$6</f>
        <v>184616.841313502</v>
      </c>
    </row>
    <row r="20" customFormat="false" ht="15" hidden="false" customHeight="true" outlineLevel="0" collapsed="false">
      <c r="B20" s="24" t="s">
        <v>403</v>
      </c>
      <c r="C20" s="48" t="n">
        <f aca="false">C18+C19</f>
        <v>350800</v>
      </c>
      <c r="D20" s="48" t="n">
        <f aca="false">D18+D19</f>
        <v>364832</v>
      </c>
      <c r="E20" s="48" t="n">
        <f aca="false">E18+E19</f>
        <v>356062.72</v>
      </c>
      <c r="F20" s="48" t="n">
        <f aca="false">F18+F19</f>
        <v>315524.352</v>
      </c>
      <c r="G20" s="48" t="n">
        <f aca="false">G18+G19</f>
        <v>321834.83904</v>
      </c>
      <c r="H20" s="48" t="n">
        <f aca="false">H18+H19</f>
        <v>328271.5358208</v>
      </c>
      <c r="I20" s="48" t="n">
        <f aca="false">I18+I19</f>
        <v>334836.966537216</v>
      </c>
      <c r="J20" s="48" t="n">
        <f aca="false">J18+J19</f>
        <v>341533.70586796</v>
      </c>
      <c r="K20" s="48" t="n">
        <f aca="false">K18+K19</f>
        <v>304514.318168986</v>
      </c>
      <c r="L20" s="48" t="n">
        <f aca="false">L18+L19</f>
        <v>310604.604532365</v>
      </c>
      <c r="M20" s="48" t="n">
        <f aca="false">M18+M19</f>
        <v>316816.696623013</v>
      </c>
      <c r="N20" s="48" t="n">
        <f aca="false">N18+N19</f>
        <v>323153.030555473</v>
      </c>
      <c r="O20" s="48" t="n">
        <f aca="false">O18+O19</f>
        <v>329616.091166582</v>
      </c>
      <c r="P20" s="48" t="n">
        <f aca="false">P18+P19</f>
        <v>336208.412989914</v>
      </c>
      <c r="Q20" s="48" t="n">
        <f aca="false">Q18+Q19</f>
        <v>362733.445882905</v>
      </c>
      <c r="R20" s="48" t="n">
        <f aca="false">R18+R19</f>
        <v>421008.727887997</v>
      </c>
      <c r="S20" s="48" t="n">
        <f aca="false">S18+S19</f>
        <v>356787.057532201</v>
      </c>
      <c r="T20" s="48" t="n">
        <f aca="false">T18+T19</f>
        <v>363922.798682845</v>
      </c>
      <c r="U20" s="48" t="n">
        <f aca="false">U18+U19</f>
        <v>371201.254656502</v>
      </c>
      <c r="V20" s="48" t="n">
        <f aca="false">V18+V19</f>
        <v>378625.279749632</v>
      </c>
      <c r="W20" s="48" t="n">
        <f aca="false">W18+W19</f>
        <v>386197.785344624</v>
      </c>
      <c r="X20" s="48" t="n">
        <f aca="false">X18+X19</f>
        <v>393921.741051517</v>
      </c>
      <c r="Y20" s="48" t="n">
        <f aca="false">Y18+Y19</f>
        <v>401800.175872547</v>
      </c>
      <c r="Z20" s="48" t="n">
        <f aca="false">Z18+Z19</f>
        <v>409836.179389998</v>
      </c>
      <c r="AA20" s="48" t="n">
        <f aca="false">AA18+AA19</f>
        <v>418032.902977798</v>
      </c>
      <c r="AB20" s="48" t="n">
        <f aca="false">AB18+AB19</f>
        <v>426393.561037354</v>
      </c>
      <c r="AC20" s="48" t="n">
        <f aca="false">AC18+AC19</f>
        <v>434921.432258101</v>
      </c>
      <c r="AD20" s="48" t="n">
        <f aca="false">AD18+AD19</f>
        <v>443619.860903263</v>
      </c>
      <c r="AE20" s="48" t="n">
        <f aca="false">AE18+AE19</f>
        <v>452492.258121329</v>
      </c>
      <c r="AF20" s="48" t="n">
        <f aca="false">AF18+AF19</f>
        <v>461542.103283755</v>
      </c>
    </row>
    <row r="21" customFormat="false" ht="15" hidden="false" customHeight="true" outlineLevel="0" collapsed="false">
      <c r="B21" s="24" t="s">
        <v>404</v>
      </c>
      <c r="C21" s="57" t="n">
        <f aca="false">IF(C17&gt;=C20,1,0)</f>
        <v>0</v>
      </c>
      <c r="D21" s="57" t="n">
        <f aca="false">IF(D17&gt;=D20,1,0)</f>
        <v>0</v>
      </c>
      <c r="E21" s="57" t="n">
        <f aca="false">IF(E17&gt;=E20,1,0)</f>
        <v>0</v>
      </c>
      <c r="F21" s="57" t="n">
        <f aca="false">IF(F17&gt;=F20,1,0)</f>
        <v>1</v>
      </c>
      <c r="G21" s="57" t="n">
        <f aca="false">IF(G17&gt;=G20,1,0)</f>
        <v>1</v>
      </c>
      <c r="H21" s="57" t="n">
        <f aca="false">IF(H17&gt;=H20,1,0)</f>
        <v>1</v>
      </c>
      <c r="I21" s="57" t="n">
        <f aca="false">IF(I17&gt;=I20,1,0)</f>
        <v>1</v>
      </c>
      <c r="J21" s="57" t="n">
        <f aca="false">IF(J17&gt;=J20,1,0)</f>
        <v>1</v>
      </c>
      <c r="K21" s="57" t="n">
        <f aca="false">IF(K17&gt;=K20,1,0)</f>
        <v>1</v>
      </c>
      <c r="L21" s="57" t="n">
        <f aca="false">IF(L17&gt;=L20,1,0)</f>
        <v>1</v>
      </c>
      <c r="M21" s="57" t="n">
        <f aca="false">IF(M17&gt;=M20,1,0)</f>
        <v>1</v>
      </c>
      <c r="N21" s="57" t="n">
        <f aca="false">IF(N17&gt;=N20,1,0)</f>
        <v>1</v>
      </c>
      <c r="O21" s="57" t="n">
        <f aca="false">IF(O17&gt;=O20,1,0)</f>
        <v>1</v>
      </c>
      <c r="P21" s="57" t="n">
        <f aca="false">IF(P17&gt;=P20,1,0)</f>
        <v>1</v>
      </c>
      <c r="Q21" s="57" t="n">
        <f aca="false">IF(Q17&gt;=Q20,1,0)</f>
        <v>1</v>
      </c>
      <c r="R21" s="57" t="n">
        <f aca="false">IF(R17&gt;=R20,1,0)</f>
        <v>1</v>
      </c>
      <c r="S21" s="57" t="n">
        <f aca="false">IF(S17&gt;=S20,1,0)</f>
        <v>1</v>
      </c>
      <c r="T21" s="57" t="n">
        <f aca="false">IF(T17&gt;=T20,1,0)</f>
        <v>1</v>
      </c>
      <c r="U21" s="57" t="n">
        <f aca="false">IF(U17&gt;=U20,1,0)</f>
        <v>1</v>
      </c>
      <c r="V21" s="57" t="n">
        <f aca="false">IF(V17&gt;=V20,1,0)</f>
        <v>1</v>
      </c>
      <c r="W21" s="57" t="n">
        <f aca="false">IF(W17&gt;=W20,1,0)</f>
        <v>1</v>
      </c>
      <c r="X21" s="57" t="n">
        <f aca="false">IF(X17&gt;=X20,1,0)</f>
        <v>1</v>
      </c>
      <c r="Y21" s="57" t="n">
        <f aca="false">IF(Y17&gt;=Y20,1,0)</f>
        <v>1</v>
      </c>
      <c r="Z21" s="57" t="n">
        <f aca="false">IF(Z17&gt;=Z20,1,0)</f>
        <v>1</v>
      </c>
      <c r="AA21" s="57" t="n">
        <f aca="false">IF(AA17&gt;=AA20,1,0)</f>
        <v>1</v>
      </c>
      <c r="AB21" s="57" t="n">
        <f aca="false">IF(AB17&gt;=AB20,1,0)</f>
        <v>1</v>
      </c>
      <c r="AC21" s="57" t="n">
        <f aca="false">IF(AC17&gt;=AC20,1,0)</f>
        <v>1</v>
      </c>
      <c r="AD21" s="57" t="n">
        <f aca="false">IF(AD17&gt;=AD20,1,0)</f>
        <v>1</v>
      </c>
      <c r="AE21" s="57" t="n">
        <f aca="false">IF(AE17&gt;=AE20,1,0)</f>
        <v>1</v>
      </c>
      <c r="AF21" s="57" t="n">
        <f aca="false">IF(AF17&gt;=AF20,1,0)</f>
        <v>1</v>
      </c>
    </row>
    <row r="23" customFormat="false" ht="15" hidden="false" customHeight="true" outlineLevel="0" collapsed="false">
      <c r="A23" s="23" t="s">
        <v>405</v>
      </c>
      <c r="B23" s="23"/>
      <c r="C23" s="23"/>
      <c r="D23" s="23"/>
      <c r="E23" s="23"/>
      <c r="F23" s="23"/>
      <c r="G23" s="23"/>
      <c r="H23" s="23"/>
      <c r="I23" s="23"/>
      <c r="J23" s="23"/>
      <c r="K23" s="23"/>
      <c r="L23" s="23"/>
      <c r="M23" s="23"/>
      <c r="N23" s="23"/>
      <c r="O23" s="23"/>
      <c r="P23" s="23"/>
      <c r="Q23" s="23"/>
      <c r="R23" s="23"/>
      <c r="S23" s="23"/>
      <c r="T23" s="23"/>
      <c r="U23" s="23"/>
      <c r="V23" s="23"/>
      <c r="W23" s="23"/>
      <c r="X23" s="23"/>
      <c r="Y23" s="23"/>
      <c r="Z23" s="23"/>
      <c r="AA23" s="23"/>
      <c r="AB23" s="23"/>
      <c r="AC23" s="23"/>
      <c r="AD23" s="23"/>
      <c r="AE23" s="23"/>
      <c r="AF23" s="23"/>
    </row>
    <row r="24" customFormat="false" ht="15" hidden="false" customHeight="true" outlineLevel="0" collapsed="false">
      <c r="B24" s="26" t="s">
        <v>406</v>
      </c>
      <c r="C24" s="51" t="n">
        <f aca="false">Household_Base!C$54</f>
        <v>1484000</v>
      </c>
      <c r="D24" s="51" t="n">
        <f aca="false">Household_Base!D$54</f>
        <v>1752400</v>
      </c>
      <c r="E24" s="51" t="n">
        <f aca="false">Household_Base!E$54</f>
        <v>2047640</v>
      </c>
      <c r="F24" s="51" t="n">
        <f aca="false">Household_Base!F$54</f>
        <v>2372404</v>
      </c>
      <c r="G24" s="51" t="n">
        <f aca="false">Household_Base!G$54</f>
        <v>2729644.4</v>
      </c>
      <c r="H24" s="51" t="n">
        <f aca="false">Household_Base!H$54</f>
        <v>3125008.84</v>
      </c>
      <c r="I24" s="51" t="n">
        <f aca="false">Household_Base!I$54</f>
        <v>3562357.724</v>
      </c>
      <c r="J24" s="51" t="n">
        <f aca="false">Household_Base!J$54</f>
        <v>4045938.4564</v>
      </c>
      <c r="K24" s="51" t="n">
        <f aca="false">Household_Base!K$54</f>
        <v>4580424.16124</v>
      </c>
      <c r="L24" s="51" t="n">
        <f aca="false">Household_Base!L$54</f>
        <v>5170956.273748</v>
      </c>
      <c r="M24" s="51" t="n">
        <f aca="false">Household_Base!M$54</f>
        <v>5823191.39143448</v>
      </c>
      <c r="N24" s="51" t="n">
        <f aca="false">Household_Base!N$54</f>
        <v>6543352.81069584</v>
      </c>
      <c r="O24" s="51" t="n">
        <f aca="false">Household_Base!O$54</f>
        <v>7338287.2174857</v>
      </c>
      <c r="P24" s="51" t="n">
        <f aca="false">Household_Base!P$54</f>
        <v>8215527.04746895</v>
      </c>
      <c r="Q24" s="51" t="n">
        <f aca="false">Household_Base!Q$54</f>
        <v>9183359.08261521</v>
      </c>
      <c r="R24" s="51" t="n">
        <f aca="false">Household_Base!R$54</f>
        <v>10250899.9078841</v>
      </c>
      <c r="S24" s="51" t="n">
        <f aca="false">Household_Base!S$54</f>
        <v>11428178.91402</v>
      </c>
      <c r="T24" s="51" t="n">
        <f aca="false">Household_Base!T$54</f>
        <v>12726229.6010765</v>
      </c>
      <c r="U24" s="51" t="n">
        <f aca="false">Household_Base!U$54</f>
        <v>14157190.0127517</v>
      </c>
      <c r="V24" s="51" t="n">
        <f aca="false">Household_Base!V$54</f>
        <v>15734413.2146257</v>
      </c>
      <c r="W24" s="51" t="n">
        <f aca="false">Household_Base!W$54</f>
        <v>17472588.8206992</v>
      </c>
      <c r="X24" s="51" t="n">
        <f aca="false">Household_Base!X$54</f>
        <v>19387876.6730722</v>
      </c>
      <c r="Y24" s="51" t="n">
        <f aca="false">Household_Base!Y$54</f>
        <v>21498053.8900885</v>
      </c>
      <c r="Z24" s="51" t="n">
        <f aca="false">Household_Base!Z$54</f>
        <v>23822676.6198007</v>
      </c>
      <c r="AA24" s="51" t="n">
        <f aca="false">Household_Base!AA$54</f>
        <v>26383257.9692982</v>
      </c>
      <c r="AB24" s="51" t="n">
        <f aca="false">Household_Base!AB$54</f>
        <v>29203463.7274958</v>
      </c>
      <c r="AC24" s="51" t="n">
        <f aca="false">Household_Base!AC$54</f>
        <v>32309327.6607385</v>
      </c>
      <c r="AD24" s="51" t="n">
        <f aca="false">Household_Base!AD$54</f>
        <v>35729488.3385153</v>
      </c>
      <c r="AE24" s="51" t="n">
        <f aca="false">Household_Base!AE$54</f>
        <v>39495449.6423038</v>
      </c>
      <c r="AF24" s="51" t="n">
        <f aca="false">Household_Base!AF$54</f>
        <v>43641867.32587</v>
      </c>
    </row>
    <row r="25" customFormat="false" ht="15" hidden="false" customHeight="true" outlineLevel="0" collapsed="false">
      <c r="B25" s="49" t="s">
        <v>407</v>
      </c>
      <c r="C25" s="40" t="n">
        <f aca="false">MAX(C5,Assumptions!$C$88)</f>
        <v>2039</v>
      </c>
      <c r="D25" s="40" t="n">
        <f aca="false">MAX(D5,Assumptions!$C$88)</f>
        <v>2039</v>
      </c>
      <c r="E25" s="40" t="n">
        <f aca="false">MAX(E5,Assumptions!$C$88)</f>
        <v>2039</v>
      </c>
      <c r="F25" s="40" t="n">
        <f aca="false">MAX(F5,Assumptions!$C$88)</f>
        <v>2039</v>
      </c>
      <c r="G25" s="40" t="n">
        <f aca="false">MAX(G5,Assumptions!$C$88)</f>
        <v>2039</v>
      </c>
      <c r="H25" s="40" t="n">
        <f aca="false">MAX(H5,Assumptions!$C$88)</f>
        <v>2039</v>
      </c>
      <c r="I25" s="40" t="n">
        <f aca="false">MAX(I5,Assumptions!$C$88)</f>
        <v>2039</v>
      </c>
      <c r="J25" s="40" t="n">
        <f aca="false">MAX(J5,Assumptions!$C$88)</f>
        <v>2039</v>
      </c>
      <c r="K25" s="40" t="n">
        <f aca="false">MAX(K5,Assumptions!$C$88)</f>
        <v>2039</v>
      </c>
      <c r="L25" s="40" t="n">
        <f aca="false">MAX(L5,Assumptions!$C$88)</f>
        <v>2039</v>
      </c>
      <c r="M25" s="40" t="n">
        <f aca="false">MAX(M5,Assumptions!$C$88)</f>
        <v>2039</v>
      </c>
      <c r="N25" s="40" t="n">
        <f aca="false">MAX(N5,Assumptions!$C$88)</f>
        <v>2039</v>
      </c>
      <c r="O25" s="40" t="n">
        <f aca="false">MAX(O5,Assumptions!$C$88)</f>
        <v>2039</v>
      </c>
      <c r="P25" s="40" t="n">
        <f aca="false">MAX(P5,Assumptions!$C$88)</f>
        <v>2039</v>
      </c>
      <c r="Q25" s="40" t="n">
        <f aca="false">MAX(Q5,Assumptions!$C$88)</f>
        <v>2040</v>
      </c>
      <c r="R25" s="40" t="n">
        <f aca="false">MAX(R5,Assumptions!$C$88)</f>
        <v>2041</v>
      </c>
      <c r="S25" s="40" t="n">
        <f aca="false">MAX(S5,Assumptions!$C$88)</f>
        <v>2042</v>
      </c>
      <c r="T25" s="40" t="n">
        <f aca="false">MAX(T5,Assumptions!$C$88)</f>
        <v>2043</v>
      </c>
      <c r="U25" s="40" t="n">
        <f aca="false">MAX(U5,Assumptions!$C$88)</f>
        <v>2044</v>
      </c>
      <c r="V25" s="40" t="n">
        <f aca="false">MAX(V5,Assumptions!$C$88)</f>
        <v>2045</v>
      </c>
      <c r="W25" s="40" t="n">
        <f aca="false">MAX(W5,Assumptions!$C$88)</f>
        <v>2046</v>
      </c>
      <c r="X25" s="40" t="n">
        <f aca="false">MAX(X5,Assumptions!$C$88)</f>
        <v>2047</v>
      </c>
      <c r="Y25" s="40" t="n">
        <f aca="false">MAX(Y5,Assumptions!$C$88)</f>
        <v>2048</v>
      </c>
      <c r="Z25" s="40" t="n">
        <f aca="false">MAX(Z5,Assumptions!$C$88)</f>
        <v>2049</v>
      </c>
      <c r="AA25" s="40" t="n">
        <f aca="false">MAX(AA5,Assumptions!$C$88)</f>
        <v>2050</v>
      </c>
      <c r="AB25" s="40" t="n">
        <f aca="false">MAX(AB5,Assumptions!$C$88)</f>
        <v>2051</v>
      </c>
      <c r="AC25" s="40" t="n">
        <f aca="false">MAX(AC5,Assumptions!$C$88)</f>
        <v>2052</v>
      </c>
      <c r="AD25" s="40" t="n">
        <f aca="false">MAX(AD5,Assumptions!$C$88)</f>
        <v>2053</v>
      </c>
      <c r="AE25" s="40" t="n">
        <f aca="false">MAX(AE5,Assumptions!$C$88)</f>
        <v>2054</v>
      </c>
      <c r="AF25" s="40" t="n">
        <f aca="false">MAX(AF5,Assumptions!$C$88)</f>
        <v>2055</v>
      </c>
    </row>
    <row r="26" customFormat="false" ht="15" hidden="false" customHeight="true" outlineLevel="0" collapsed="false">
      <c r="B26" s="49" t="s">
        <v>408</v>
      </c>
      <c r="C26" s="27" t="n">
        <f aca="false">C25-C5</f>
        <v>13</v>
      </c>
      <c r="D26" s="27" t="n">
        <f aca="false">D25-D5</f>
        <v>12</v>
      </c>
      <c r="E26" s="27" t="n">
        <f aca="false">E25-E5</f>
        <v>11</v>
      </c>
      <c r="F26" s="27" t="n">
        <f aca="false">F25-F5</f>
        <v>10</v>
      </c>
      <c r="G26" s="27" t="n">
        <f aca="false">G25-G5</f>
        <v>9</v>
      </c>
      <c r="H26" s="27" t="n">
        <f aca="false">H25-H5</f>
        <v>8</v>
      </c>
      <c r="I26" s="27" t="n">
        <f aca="false">I25-I5</f>
        <v>7</v>
      </c>
      <c r="J26" s="27" t="n">
        <f aca="false">J25-J5</f>
        <v>6</v>
      </c>
      <c r="K26" s="27" t="n">
        <f aca="false">K25-K5</f>
        <v>5</v>
      </c>
      <c r="L26" s="27" t="n">
        <f aca="false">L25-L5</f>
        <v>4</v>
      </c>
      <c r="M26" s="27" t="n">
        <f aca="false">M25-M5</f>
        <v>3</v>
      </c>
      <c r="N26" s="27" t="n">
        <f aca="false">N25-N5</f>
        <v>2</v>
      </c>
      <c r="O26" s="27" t="n">
        <f aca="false">O25-O5</f>
        <v>1</v>
      </c>
      <c r="P26" s="27" t="n">
        <f aca="false">P25-P5</f>
        <v>0</v>
      </c>
      <c r="Q26" s="27" t="n">
        <f aca="false">Q25-Q5</f>
        <v>0</v>
      </c>
      <c r="R26" s="27" t="n">
        <f aca="false">R25-R5</f>
        <v>0</v>
      </c>
      <c r="S26" s="27" t="n">
        <f aca="false">S25-S5</f>
        <v>0</v>
      </c>
      <c r="T26" s="27" t="n">
        <f aca="false">T25-T5</f>
        <v>0</v>
      </c>
      <c r="U26" s="27" t="n">
        <f aca="false">U25-U5</f>
        <v>0</v>
      </c>
      <c r="V26" s="27" t="n">
        <f aca="false">V25-V5</f>
        <v>0</v>
      </c>
      <c r="W26" s="27" t="n">
        <f aca="false">W25-W5</f>
        <v>0</v>
      </c>
      <c r="X26" s="27" t="n">
        <f aca="false">X25-X5</f>
        <v>0</v>
      </c>
      <c r="Y26" s="27" t="n">
        <f aca="false">Y25-Y5</f>
        <v>0</v>
      </c>
      <c r="Z26" s="27" t="n">
        <f aca="false">Z25-Z5</f>
        <v>0</v>
      </c>
      <c r="AA26" s="27" t="n">
        <f aca="false">AA25-AA5</f>
        <v>0</v>
      </c>
      <c r="AB26" s="27" t="n">
        <f aca="false">AB25-AB5</f>
        <v>0</v>
      </c>
      <c r="AC26" s="27" t="n">
        <f aca="false">AC25-AC5</f>
        <v>0</v>
      </c>
      <c r="AD26" s="27" t="n">
        <f aca="false">AD25-AD5</f>
        <v>0</v>
      </c>
      <c r="AE26" s="27" t="n">
        <f aca="false">AE25-AE5</f>
        <v>0</v>
      </c>
      <c r="AF26" s="27" t="n">
        <f aca="false">AF25-AF5</f>
        <v>0</v>
      </c>
    </row>
    <row r="27" customFormat="false" ht="15" hidden="false" customHeight="true" outlineLevel="0" collapsed="false">
      <c r="B27" s="24" t="s">
        <v>409</v>
      </c>
      <c r="C27" s="48" t="n">
        <f aca="false">C24*(1+Assumptions!$C$27)^C26</f>
        <v>5123170.48215937</v>
      </c>
      <c r="D27" s="48" t="n">
        <f aca="false">D24*(1+Assumptions!$C$27)^D26</f>
        <v>5499781.88736589</v>
      </c>
      <c r="E27" s="48" t="n">
        <f aca="false">E24*(1+Assumptions!$C$27)^E26</f>
        <v>5842155.89209909</v>
      </c>
      <c r="F27" s="48" t="n">
        <f aca="false">F24*(1+Assumptions!$C$27)^F26</f>
        <v>6153404.98731109</v>
      </c>
      <c r="G27" s="48" t="n">
        <f aca="false">G24*(1+Assumptions!$C$27)^G26</f>
        <v>6436358.71023109</v>
      </c>
      <c r="H27" s="48" t="n">
        <f aca="false">H24*(1+Assumptions!$C$27)^H26</f>
        <v>6698733.98057509</v>
      </c>
      <c r="I27" s="48" t="n">
        <f aca="false">I24*(1+Assumptions!$C$27)^I26</f>
        <v>6942027.41307589</v>
      </c>
      <c r="J27" s="48" t="n">
        <f aca="false">J24*(1+Assumptions!$C$27)^J26</f>
        <v>7167626.77775845</v>
      </c>
      <c r="K27" s="48" t="n">
        <f aca="false">K24*(1+Assumptions!$C$27)^K26</f>
        <v>7376818.91591864</v>
      </c>
      <c r="L27" s="48" t="n">
        <f aca="false">L24*(1+Assumptions!$C$27)^L26</f>
        <v>7570797.08039445</v>
      </c>
      <c r="M27" s="48" t="n">
        <f aca="false">M24*(1+Assumptions!$C$27)^M26</f>
        <v>7750667.7419993</v>
      </c>
      <c r="N27" s="48" t="n">
        <f aca="false">N24*(1+Assumptions!$C$27)^N26</f>
        <v>7917456.90094197</v>
      </c>
      <c r="O27" s="48" t="n">
        <f aca="false">O24*(1+Assumptions!$C$27)^O26</f>
        <v>8072115.93923427</v>
      </c>
      <c r="P27" s="48" t="n">
        <f aca="false">P24*(1+Assumptions!$C$27)^P26</f>
        <v>8215527.04746895</v>
      </c>
      <c r="Q27" s="48" t="n">
        <f aca="false">Q24*(1+Assumptions!$C$27)^Q26</f>
        <v>9183359.08261521</v>
      </c>
      <c r="R27" s="48" t="n">
        <f aca="false">R24*(1+Assumptions!$C$27)^R26</f>
        <v>10250899.9078841</v>
      </c>
      <c r="S27" s="48" t="n">
        <f aca="false">S24*(1+Assumptions!$C$27)^S26</f>
        <v>11428178.91402</v>
      </c>
      <c r="T27" s="48" t="n">
        <f aca="false">T24*(1+Assumptions!$C$27)^T26</f>
        <v>12726229.6010765</v>
      </c>
      <c r="U27" s="48" t="n">
        <f aca="false">U24*(1+Assumptions!$C$27)^U26</f>
        <v>14157190.0127517</v>
      </c>
      <c r="V27" s="48" t="n">
        <f aca="false">V24*(1+Assumptions!$C$27)^V26</f>
        <v>15734413.2146257</v>
      </c>
      <c r="W27" s="48" t="n">
        <f aca="false">W24*(1+Assumptions!$C$27)^W26</f>
        <v>17472588.8206992</v>
      </c>
      <c r="X27" s="48" t="n">
        <f aca="false">X24*(1+Assumptions!$C$27)^X26</f>
        <v>19387876.6730722</v>
      </c>
      <c r="Y27" s="48" t="n">
        <f aca="false">Y24*(1+Assumptions!$C$27)^Y26</f>
        <v>21498053.8900885</v>
      </c>
      <c r="Z27" s="48" t="n">
        <f aca="false">Z24*(1+Assumptions!$C$27)^Z26</f>
        <v>23822676.6198007</v>
      </c>
      <c r="AA27" s="48" t="n">
        <f aca="false">AA24*(1+Assumptions!$C$27)^AA26</f>
        <v>26383257.9692982</v>
      </c>
      <c r="AB27" s="48" t="n">
        <f aca="false">AB24*(1+Assumptions!$C$27)^AB26</f>
        <v>29203463.7274958</v>
      </c>
      <c r="AC27" s="48" t="n">
        <f aca="false">AC24*(1+Assumptions!$C$27)^AC26</f>
        <v>32309327.6607385</v>
      </c>
      <c r="AD27" s="48" t="n">
        <f aca="false">AD24*(1+Assumptions!$C$27)^AD26</f>
        <v>35729488.3385153</v>
      </c>
      <c r="AE27" s="48" t="n">
        <f aca="false">AE24*(1+Assumptions!$C$27)^AE26</f>
        <v>39495449.6423038</v>
      </c>
      <c r="AF27" s="48" t="n">
        <f aca="false">AF24*(1+Assumptions!$C$27)^AF26</f>
        <v>43641867.32587</v>
      </c>
    </row>
    <row r="28" customFormat="false" ht="15" hidden="false" customHeight="true" outlineLevel="0" collapsed="false">
      <c r="B28" s="49" t="s">
        <v>410</v>
      </c>
      <c r="C28" s="45" t="n">
        <f aca="false">INDEX(Household_Base!$C$35:$AF$35,MATCH(C25,Household_Base!$C$5:$AF$5,0))</f>
        <v>100862.523896974</v>
      </c>
      <c r="D28" s="45" t="n">
        <f aca="false">INDEX(Household_Base!$C$35:$AF$35,MATCH(D25,Household_Base!$C$5:$AF$5,0))</f>
        <v>100862.523896974</v>
      </c>
      <c r="E28" s="45" t="n">
        <f aca="false">INDEX(Household_Base!$C$35:$AF$35,MATCH(E25,Household_Base!$C$5:$AF$5,0))</f>
        <v>100862.523896974</v>
      </c>
      <c r="F28" s="45" t="n">
        <f aca="false">INDEX(Household_Base!$C$35:$AF$35,MATCH(F25,Household_Base!$C$5:$AF$5,0))</f>
        <v>100862.523896974</v>
      </c>
      <c r="G28" s="45" t="n">
        <f aca="false">INDEX(Household_Base!$C$35:$AF$35,MATCH(G25,Household_Base!$C$5:$AF$5,0))</f>
        <v>100862.523896974</v>
      </c>
      <c r="H28" s="45" t="n">
        <f aca="false">INDEX(Household_Base!$C$35:$AF$35,MATCH(H25,Household_Base!$C$5:$AF$5,0))</f>
        <v>100862.523896974</v>
      </c>
      <c r="I28" s="45" t="n">
        <f aca="false">INDEX(Household_Base!$C$35:$AF$35,MATCH(I25,Household_Base!$C$5:$AF$5,0))</f>
        <v>100862.523896974</v>
      </c>
      <c r="J28" s="45" t="n">
        <f aca="false">INDEX(Household_Base!$C$35:$AF$35,MATCH(J25,Household_Base!$C$5:$AF$5,0))</f>
        <v>100862.523896974</v>
      </c>
      <c r="K28" s="45" t="n">
        <f aca="false">INDEX(Household_Base!$C$35:$AF$35,MATCH(K25,Household_Base!$C$5:$AF$5,0))</f>
        <v>100862.523896974</v>
      </c>
      <c r="L28" s="45" t="n">
        <f aca="false">INDEX(Household_Base!$C$35:$AF$35,MATCH(L25,Household_Base!$C$5:$AF$5,0))</f>
        <v>100862.523896974</v>
      </c>
      <c r="M28" s="45" t="n">
        <f aca="false">INDEX(Household_Base!$C$35:$AF$35,MATCH(M25,Household_Base!$C$5:$AF$5,0))</f>
        <v>100862.523896974</v>
      </c>
      <c r="N28" s="45" t="n">
        <f aca="false">INDEX(Household_Base!$C$35:$AF$35,MATCH(N25,Household_Base!$C$5:$AF$5,0))</f>
        <v>100862.523896974</v>
      </c>
      <c r="O28" s="45" t="n">
        <f aca="false">INDEX(Household_Base!$C$35:$AF$35,MATCH(O25,Household_Base!$C$5:$AF$5,0))</f>
        <v>100862.523896974</v>
      </c>
      <c r="P28" s="45" t="n">
        <f aca="false">INDEX(Household_Base!$C$35:$AF$35,MATCH(P25,Household_Base!$C$5:$AF$5,0))</f>
        <v>100862.523896974</v>
      </c>
      <c r="Q28" s="45" t="n">
        <f aca="false">INDEX(Household_Base!$C$35:$AF$35,MATCH(Q25,Household_Base!$C$5:$AF$5,0))</f>
        <v>102879.774374914</v>
      </c>
      <c r="R28" s="45" t="n">
        <f aca="false">INDEX(Household_Base!$C$35:$AF$35,MATCH(R25,Household_Base!$C$5:$AF$5,0))</f>
        <v>104937.369862412</v>
      </c>
      <c r="S28" s="45" t="n">
        <f aca="false">INDEX(Household_Base!$C$35:$AF$35,MATCH(S25,Household_Base!$C$5:$AF$5,0))</f>
        <v>107036.11725966</v>
      </c>
      <c r="T28" s="45" t="n">
        <f aca="false">INDEX(Household_Base!$C$35:$AF$35,MATCH(T25,Household_Base!$C$5:$AF$5,0))</f>
        <v>109176.839604853</v>
      </c>
      <c r="U28" s="45" t="n">
        <f aca="false">INDEX(Household_Base!$C$35:$AF$35,MATCH(U25,Household_Base!$C$5:$AF$5,0))</f>
        <v>111360.376396951</v>
      </c>
      <c r="V28" s="45" t="n">
        <f aca="false">INDEX(Household_Base!$C$35:$AF$35,MATCH(V25,Household_Base!$C$5:$AF$5,0))</f>
        <v>113587.58392489</v>
      </c>
      <c r="W28" s="45" t="n">
        <f aca="false">INDEX(Household_Base!$C$35:$AF$35,MATCH(W25,Household_Base!$C$5:$AF$5,0))</f>
        <v>115859.335603387</v>
      </c>
      <c r="X28" s="45" t="n">
        <f aca="false">INDEX(Household_Base!$C$35:$AF$35,MATCH(X25,Household_Base!$C$5:$AF$5,0))</f>
        <v>118176.522315455</v>
      </c>
      <c r="Y28" s="45" t="n">
        <f aca="false">INDEX(Household_Base!$C$35:$AF$35,MATCH(Y25,Household_Base!$C$5:$AF$5,0))</f>
        <v>120540.052761764</v>
      </c>
      <c r="Z28" s="45" t="n">
        <f aca="false">INDEX(Household_Base!$C$35:$AF$35,MATCH(Z25,Household_Base!$C$5:$AF$5,0))</f>
        <v>122950.853816999</v>
      </c>
      <c r="AA28" s="45" t="n">
        <f aca="false">INDEX(Household_Base!$C$35:$AF$35,MATCH(AA25,Household_Base!$C$5:$AF$5,0))</f>
        <v>125409.870893339</v>
      </c>
      <c r="AB28" s="45" t="n">
        <f aca="false">INDEX(Household_Base!$C$35:$AF$35,MATCH(AB25,Household_Base!$C$5:$AF$5,0))</f>
        <v>127918.068311206</v>
      </c>
      <c r="AC28" s="45" t="n">
        <f aca="false">INDEX(Household_Base!$C$35:$AF$35,MATCH(AC25,Household_Base!$C$5:$AF$5,0))</f>
        <v>130476.42967743</v>
      </c>
      <c r="AD28" s="45" t="n">
        <f aca="false">INDEX(Household_Base!$C$35:$AF$35,MATCH(AD25,Household_Base!$C$5:$AF$5,0))</f>
        <v>133085.958270979</v>
      </c>
      <c r="AE28" s="45" t="n">
        <f aca="false">INDEX(Household_Base!$C$35:$AF$35,MATCH(AE25,Household_Base!$C$5:$AF$5,0))</f>
        <v>135747.677436399</v>
      </c>
      <c r="AF28" s="45" t="n">
        <f aca="false">INDEX(Household_Base!$C$35:$AF$35,MATCH(AF25,Household_Base!$C$5:$AF$5,0))</f>
        <v>138462.630985127</v>
      </c>
    </row>
    <row r="29" customFormat="false" ht="15" hidden="false" customHeight="true" outlineLevel="0" collapsed="false">
      <c r="B29" s="49" t="s">
        <v>411</v>
      </c>
      <c r="C29" s="45" t="n">
        <f aca="false">C28/Assumptions!$C$93/(1-Assumptions!$C$94)</f>
        <v>3362084.12989914</v>
      </c>
      <c r="D29" s="45" t="n">
        <f aca="false">D28/Assumptions!$C$93/(1-Assumptions!$C$94)</f>
        <v>3362084.12989914</v>
      </c>
      <c r="E29" s="45" t="n">
        <f aca="false">E28/Assumptions!$C$93/(1-Assumptions!$C$94)</f>
        <v>3362084.12989914</v>
      </c>
      <c r="F29" s="45" t="n">
        <f aca="false">F28/Assumptions!$C$93/(1-Assumptions!$C$94)</f>
        <v>3362084.12989914</v>
      </c>
      <c r="G29" s="45" t="n">
        <f aca="false">G28/Assumptions!$C$93/(1-Assumptions!$C$94)</f>
        <v>3362084.12989914</v>
      </c>
      <c r="H29" s="45" t="n">
        <f aca="false">H28/Assumptions!$C$93/(1-Assumptions!$C$94)</f>
        <v>3362084.12989914</v>
      </c>
      <c r="I29" s="45" t="n">
        <f aca="false">I28/Assumptions!$C$93/(1-Assumptions!$C$94)</f>
        <v>3362084.12989914</v>
      </c>
      <c r="J29" s="45" t="n">
        <f aca="false">J28/Assumptions!$C$93/(1-Assumptions!$C$94)</f>
        <v>3362084.12989914</v>
      </c>
      <c r="K29" s="45" t="n">
        <f aca="false">K28/Assumptions!$C$93/(1-Assumptions!$C$94)</f>
        <v>3362084.12989914</v>
      </c>
      <c r="L29" s="45" t="n">
        <f aca="false">L28/Assumptions!$C$93/(1-Assumptions!$C$94)</f>
        <v>3362084.12989914</v>
      </c>
      <c r="M29" s="45" t="n">
        <f aca="false">M28/Assumptions!$C$93/(1-Assumptions!$C$94)</f>
        <v>3362084.12989914</v>
      </c>
      <c r="N29" s="45" t="n">
        <f aca="false">N28/Assumptions!$C$93/(1-Assumptions!$C$94)</f>
        <v>3362084.12989914</v>
      </c>
      <c r="O29" s="45" t="n">
        <f aca="false">O28/Assumptions!$C$93/(1-Assumptions!$C$94)</f>
        <v>3362084.12989914</v>
      </c>
      <c r="P29" s="45" t="n">
        <f aca="false">P28/Assumptions!$C$93/(1-Assumptions!$C$94)</f>
        <v>3362084.12989914</v>
      </c>
      <c r="Q29" s="45" t="n">
        <f aca="false">Q28/Assumptions!$C$93/(1-Assumptions!$C$94)</f>
        <v>3429325.81249712</v>
      </c>
      <c r="R29" s="45" t="n">
        <f aca="false">R28/Assumptions!$C$93/(1-Assumptions!$C$94)</f>
        <v>3497912.32874707</v>
      </c>
      <c r="S29" s="45" t="n">
        <f aca="false">S28/Assumptions!$C$93/(1-Assumptions!$C$94)</f>
        <v>3567870.57532201</v>
      </c>
      <c r="T29" s="45" t="n">
        <f aca="false">T28/Assumptions!$C$93/(1-Assumptions!$C$94)</f>
        <v>3639227.98682845</v>
      </c>
      <c r="U29" s="45" t="n">
        <f aca="false">U28/Assumptions!$C$93/(1-Assumptions!$C$94)</f>
        <v>3712012.54656502</v>
      </c>
      <c r="V29" s="45" t="n">
        <f aca="false">V28/Assumptions!$C$93/(1-Assumptions!$C$94)</f>
        <v>3786252.79749632</v>
      </c>
      <c r="W29" s="45" t="n">
        <f aca="false">W28/Assumptions!$C$93/(1-Assumptions!$C$94)</f>
        <v>3861977.85344624</v>
      </c>
      <c r="X29" s="45" t="n">
        <f aca="false">X28/Assumptions!$C$93/(1-Assumptions!$C$94)</f>
        <v>3939217.41051517</v>
      </c>
      <c r="Y29" s="45" t="n">
        <f aca="false">Y28/Assumptions!$C$93/(1-Assumptions!$C$94)</f>
        <v>4018001.75872547</v>
      </c>
      <c r="Z29" s="45" t="n">
        <f aca="false">Z28/Assumptions!$C$93/(1-Assumptions!$C$94)</f>
        <v>4098361.79389998</v>
      </c>
      <c r="AA29" s="45" t="n">
        <f aca="false">AA28/Assumptions!$C$93/(1-Assumptions!$C$94)</f>
        <v>4180329.02977798</v>
      </c>
      <c r="AB29" s="45" t="n">
        <f aca="false">AB28/Assumptions!$C$93/(1-Assumptions!$C$94)</f>
        <v>4263935.61037354</v>
      </c>
      <c r="AC29" s="45" t="n">
        <f aca="false">AC28/Assumptions!$C$93/(1-Assumptions!$C$94)</f>
        <v>4349214.32258101</v>
      </c>
      <c r="AD29" s="45" t="n">
        <f aca="false">AD28/Assumptions!$C$93/(1-Assumptions!$C$94)</f>
        <v>4436198.60903263</v>
      </c>
      <c r="AE29" s="45" t="n">
        <f aca="false">AE28/Assumptions!$C$93/(1-Assumptions!$C$94)</f>
        <v>4524922.58121329</v>
      </c>
      <c r="AF29" s="45" t="n">
        <f aca="false">AF28/Assumptions!$C$93/(1-Assumptions!$C$94)</f>
        <v>4615421.03283755</v>
      </c>
    </row>
    <row r="30" customFormat="false" ht="15" hidden="false" customHeight="true" outlineLevel="0" collapsed="false">
      <c r="B30" s="24" t="s">
        <v>412</v>
      </c>
      <c r="C30" s="57" t="n">
        <f aca="false">IF(C27&gt;=C29,1,0)</f>
        <v>1</v>
      </c>
      <c r="D30" s="57" t="n">
        <f aca="false">IF(D27&gt;=D29,1,0)</f>
        <v>1</v>
      </c>
      <c r="E30" s="57" t="n">
        <f aca="false">IF(E27&gt;=E29,1,0)</f>
        <v>1</v>
      </c>
      <c r="F30" s="57" t="n">
        <f aca="false">IF(F27&gt;=F29,1,0)</f>
        <v>1</v>
      </c>
      <c r="G30" s="57" t="n">
        <f aca="false">IF(G27&gt;=G29,1,0)</f>
        <v>1</v>
      </c>
      <c r="H30" s="57" t="n">
        <f aca="false">IF(H27&gt;=H29,1,0)</f>
        <v>1</v>
      </c>
      <c r="I30" s="57" t="n">
        <f aca="false">IF(I27&gt;=I29,1,0)</f>
        <v>1</v>
      </c>
      <c r="J30" s="57" t="n">
        <f aca="false">IF(J27&gt;=J29,1,0)</f>
        <v>1</v>
      </c>
      <c r="K30" s="57" t="n">
        <f aca="false">IF(K27&gt;=K29,1,0)</f>
        <v>1</v>
      </c>
      <c r="L30" s="57" t="n">
        <f aca="false">IF(L27&gt;=L29,1,0)</f>
        <v>1</v>
      </c>
      <c r="M30" s="57" t="n">
        <f aca="false">IF(M27&gt;=M29,1,0)</f>
        <v>1</v>
      </c>
      <c r="N30" s="57" t="n">
        <f aca="false">IF(N27&gt;=N29,1,0)</f>
        <v>1</v>
      </c>
      <c r="O30" s="57" t="n">
        <f aca="false">IF(O27&gt;=O29,1,0)</f>
        <v>1</v>
      </c>
      <c r="P30" s="57" t="n">
        <f aca="false">IF(P27&gt;=P29,1,0)</f>
        <v>1</v>
      </c>
      <c r="Q30" s="57" t="n">
        <f aca="false">IF(Q27&gt;=Q29,1,0)</f>
        <v>1</v>
      </c>
      <c r="R30" s="57" t="n">
        <f aca="false">IF(R27&gt;=R29,1,0)</f>
        <v>1</v>
      </c>
      <c r="S30" s="57" t="n">
        <f aca="false">IF(S27&gt;=S29,1,0)</f>
        <v>1</v>
      </c>
      <c r="T30" s="57" t="n">
        <f aca="false">IF(T27&gt;=T29,1,0)</f>
        <v>1</v>
      </c>
      <c r="U30" s="57" t="n">
        <f aca="false">IF(U27&gt;=U29,1,0)</f>
        <v>1</v>
      </c>
      <c r="V30" s="57" t="n">
        <f aca="false">IF(V27&gt;=V29,1,0)</f>
        <v>1</v>
      </c>
      <c r="W30" s="57" t="n">
        <f aca="false">IF(W27&gt;=W29,1,0)</f>
        <v>1</v>
      </c>
      <c r="X30" s="57" t="n">
        <f aca="false">IF(X27&gt;=X29,1,0)</f>
        <v>1</v>
      </c>
      <c r="Y30" s="57" t="n">
        <f aca="false">IF(Y27&gt;=Y29,1,0)</f>
        <v>1</v>
      </c>
      <c r="Z30" s="57" t="n">
        <f aca="false">IF(Z27&gt;=Z29,1,0)</f>
        <v>1</v>
      </c>
      <c r="AA30" s="57" t="n">
        <f aca="false">IF(AA27&gt;=AA29,1,0)</f>
        <v>1</v>
      </c>
      <c r="AB30" s="57" t="n">
        <f aca="false">IF(AB27&gt;=AB29,1,0)</f>
        <v>1</v>
      </c>
      <c r="AC30" s="57" t="n">
        <f aca="false">IF(AC27&gt;=AC29,1,0)</f>
        <v>1</v>
      </c>
      <c r="AD30" s="57" t="n">
        <f aca="false">IF(AD27&gt;=AD29,1,0)</f>
        <v>1</v>
      </c>
      <c r="AE30" s="57" t="n">
        <f aca="false">IF(AE27&gt;=AE29,1,0)</f>
        <v>1</v>
      </c>
      <c r="AF30" s="57" t="n">
        <f aca="false">IF(AF27&gt;=AF29,1,0)</f>
        <v>1</v>
      </c>
    </row>
    <row r="32" customFormat="false" ht="15" hidden="false" customHeight="true" outlineLevel="0" collapsed="false">
      <c r="A32" s="23" t="s">
        <v>413</v>
      </c>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row>
    <row r="33" customFormat="false" ht="15" hidden="false" customHeight="true" outlineLevel="0" collapsed="false">
      <c r="B33" s="24" t="s">
        <v>414</v>
      </c>
      <c r="C33" s="58" t="n">
        <f aca="false">MIN(C14,C21,C30)</f>
        <v>0</v>
      </c>
      <c r="D33" s="58" t="n">
        <f aca="false">MIN(D14,D21,D30)</f>
        <v>0</v>
      </c>
      <c r="E33" s="58" t="n">
        <f aca="false">MIN(E14,E21,E30)</f>
        <v>0</v>
      </c>
      <c r="F33" s="58" t="n">
        <f aca="false">MIN(F14,F21,F30)</f>
        <v>0</v>
      </c>
      <c r="G33" s="58" t="n">
        <f aca="false">MIN(G14,G21,G30)</f>
        <v>0</v>
      </c>
      <c r="H33" s="58" t="n">
        <f aca="false">MIN(H14,H21,H30)</f>
        <v>0</v>
      </c>
      <c r="I33" s="58" t="n">
        <f aca="false">MIN(I14,I21,I30)</f>
        <v>0</v>
      </c>
      <c r="J33" s="58" t="n">
        <f aca="false">MIN(J14,J21,J30)</f>
        <v>0</v>
      </c>
      <c r="K33" s="58" t="n">
        <f aca="false">MIN(K14,K21,K30)</f>
        <v>1</v>
      </c>
      <c r="L33" s="58" t="n">
        <f aca="false">MIN(L14,L21,L30)</f>
        <v>1</v>
      </c>
      <c r="M33" s="58" t="n">
        <f aca="false">MIN(M14,M21,M30)</f>
        <v>1</v>
      </c>
      <c r="N33" s="58" t="n">
        <f aca="false">MIN(N14,N21,N30)</f>
        <v>1</v>
      </c>
      <c r="O33" s="58" t="n">
        <f aca="false">MIN(O14,O21,O30)</f>
        <v>1</v>
      </c>
      <c r="P33" s="58" t="n">
        <f aca="false">MIN(P14,P21,P30)</f>
        <v>1</v>
      </c>
      <c r="Q33" s="58" t="n">
        <f aca="false">MIN(Q14,Q21,Q30)</f>
        <v>1</v>
      </c>
      <c r="R33" s="58" t="n">
        <f aca="false">MIN(R14,R21,R30)</f>
        <v>0</v>
      </c>
      <c r="S33" s="58" t="n">
        <f aca="false">MIN(S14,S21,S30)</f>
        <v>1</v>
      </c>
      <c r="T33" s="58" t="n">
        <f aca="false">MIN(T14,T21,T30)</f>
        <v>1</v>
      </c>
      <c r="U33" s="58" t="n">
        <f aca="false">MIN(U14,U21,U30)</f>
        <v>1</v>
      </c>
      <c r="V33" s="58" t="n">
        <f aca="false">MIN(V14,V21,V30)</f>
        <v>1</v>
      </c>
      <c r="W33" s="58" t="n">
        <f aca="false">MIN(W14,W21,W30)</f>
        <v>1</v>
      </c>
      <c r="X33" s="58" t="n">
        <f aca="false">MIN(X14,X21,X30)</f>
        <v>1</v>
      </c>
      <c r="Y33" s="58" t="n">
        <f aca="false">MIN(Y14,Y21,Y30)</f>
        <v>1</v>
      </c>
      <c r="Z33" s="58" t="n">
        <f aca="false">MIN(Z14,Z21,Z30)</f>
        <v>1</v>
      </c>
      <c r="AA33" s="58" t="n">
        <f aca="false">MIN(AA14,AA21,AA30)</f>
        <v>1</v>
      </c>
      <c r="AB33" s="58" t="n">
        <f aca="false">MIN(AB14,AB21,AB30)</f>
        <v>1</v>
      </c>
      <c r="AC33" s="58" t="n">
        <f aca="false">MIN(AC14,AC21,AC30)</f>
        <v>1</v>
      </c>
      <c r="AD33" s="58" t="n">
        <f aca="false">MIN(AD14,AD21,AD30)</f>
        <v>1</v>
      </c>
      <c r="AE33" s="58" t="n">
        <f aca="false">MIN(AE14,AE21,AE30)</f>
        <v>1</v>
      </c>
      <c r="AF33" s="58" t="n">
        <f aca="false">MIN(AF14,AF21,AF30)</f>
        <v>1</v>
      </c>
    </row>
    <row r="34" customFormat="false" ht="15" hidden="false" customHeight="true" outlineLevel="0" collapsed="false">
      <c r="B34" s="24" t="s">
        <v>415</v>
      </c>
      <c r="C34" s="58" t="n">
        <f aca="false">MIN(C33:$AF$33)</f>
        <v>0</v>
      </c>
      <c r="D34" s="58" t="n">
        <f aca="false">MIN(D33:$AF$33)</f>
        <v>0</v>
      </c>
      <c r="E34" s="58" t="n">
        <f aca="false">MIN(E33:$AF$33)</f>
        <v>0</v>
      </c>
      <c r="F34" s="58" t="n">
        <f aca="false">MIN(F33:$AF$33)</f>
        <v>0</v>
      </c>
      <c r="G34" s="58" t="n">
        <f aca="false">MIN(G33:$AF$33)</f>
        <v>0</v>
      </c>
      <c r="H34" s="58" t="n">
        <f aca="false">MIN(H33:$AF$33)</f>
        <v>0</v>
      </c>
      <c r="I34" s="58" t="n">
        <f aca="false">MIN(I33:$AF$33)</f>
        <v>0</v>
      </c>
      <c r="J34" s="58" t="n">
        <f aca="false">MIN(J33:$AF$33)</f>
        <v>0</v>
      </c>
      <c r="K34" s="58" t="n">
        <f aca="false">MIN(K33:$AF$33)</f>
        <v>0</v>
      </c>
      <c r="L34" s="58" t="n">
        <f aca="false">MIN(L33:$AF$33)</f>
        <v>0</v>
      </c>
      <c r="M34" s="58" t="n">
        <f aca="false">MIN(M33:$AF$33)</f>
        <v>0</v>
      </c>
      <c r="N34" s="58" t="n">
        <f aca="false">MIN(N33:$AF$33)</f>
        <v>0</v>
      </c>
      <c r="O34" s="58" t="n">
        <f aca="false">MIN(O33:$AF$33)</f>
        <v>0</v>
      </c>
      <c r="P34" s="58" t="n">
        <f aca="false">MIN(P33:$AF$33)</f>
        <v>0</v>
      </c>
      <c r="Q34" s="58" t="n">
        <f aca="false">MIN(Q33:$AF$33)</f>
        <v>0</v>
      </c>
      <c r="R34" s="58" t="n">
        <f aca="false">MIN(R33:$AF$33)</f>
        <v>0</v>
      </c>
      <c r="S34" s="58" t="n">
        <f aca="false">MIN(S33:$AF$33)</f>
        <v>1</v>
      </c>
      <c r="T34" s="58" t="n">
        <f aca="false">MIN(T33:$AF$33)</f>
        <v>1</v>
      </c>
      <c r="U34" s="58" t="n">
        <f aca="false">MIN(U33:$AF$33)</f>
        <v>1</v>
      </c>
      <c r="V34" s="58" t="n">
        <f aca="false">MIN(V33:$AF$33)</f>
        <v>1</v>
      </c>
      <c r="W34" s="58" t="n">
        <f aca="false">MIN(W33:$AF$33)</f>
        <v>1</v>
      </c>
      <c r="X34" s="58" t="n">
        <f aca="false">MIN(X33:$AF$33)</f>
        <v>1</v>
      </c>
      <c r="Y34" s="58" t="n">
        <f aca="false">MIN(Y33:$AF$33)</f>
        <v>1</v>
      </c>
      <c r="Z34" s="58" t="n">
        <f aca="false">MIN(Z33:$AF$33)</f>
        <v>1</v>
      </c>
      <c r="AA34" s="58" t="n">
        <f aca="false">MIN(AA33:$AF$33)</f>
        <v>1</v>
      </c>
      <c r="AB34" s="58" t="n">
        <f aca="false">MIN(AB33:$AF$33)</f>
        <v>1</v>
      </c>
      <c r="AC34" s="58" t="n">
        <f aca="false">MIN(AC33:$AF$33)</f>
        <v>1</v>
      </c>
      <c r="AD34" s="58" t="n">
        <f aca="false">MIN(AD33:$AF$33)</f>
        <v>1</v>
      </c>
      <c r="AE34" s="58" t="n">
        <f aca="false">MIN(AE33:$AF$33)</f>
        <v>1</v>
      </c>
      <c r="AF34" s="58" t="n">
        <f aca="false">MIN(AF33:$AF$33)</f>
        <v>1</v>
      </c>
    </row>
    <row r="35" customFormat="false" ht="15" hidden="false" customHeight="true" outlineLevel="0" collapsed="false">
      <c r="B35" s="26" t="s">
        <v>416</v>
      </c>
      <c r="C35" s="59" t="str">
        <f aca="false">IF(C33=1,"all clear",IF(C14=0,"Test 1 - income",IF(C21=0,"Test 2 - liquidity","Test 3 - retirement")))</f>
        <v>Test 1 - income</v>
      </c>
      <c r="D35" s="59" t="str">
        <f aca="false">IF(D33=1,"all clear",IF(D14=0,"Test 1 - income",IF(D21=0,"Test 2 - liquidity","Test 3 - retirement")))</f>
        <v>Test 1 - income</v>
      </c>
      <c r="E35" s="59" t="str">
        <f aca="false">IF(E33=1,"all clear",IF(E14=0,"Test 1 - income",IF(E21=0,"Test 2 - liquidity","Test 3 - retirement")))</f>
        <v>Test 1 - income</v>
      </c>
      <c r="F35" s="59" t="str">
        <f aca="false">IF(F33=1,"all clear",IF(F14=0,"Test 1 - income",IF(F21=0,"Test 2 - liquidity","Test 3 - retirement")))</f>
        <v>Test 1 - income</v>
      </c>
      <c r="G35" s="59" t="str">
        <f aca="false">IF(G33=1,"all clear",IF(G14=0,"Test 1 - income",IF(G21=0,"Test 2 - liquidity","Test 3 - retirement")))</f>
        <v>Test 1 - income</v>
      </c>
      <c r="H35" s="59" t="str">
        <f aca="false">IF(H33=1,"all clear",IF(H14=0,"Test 1 - income",IF(H21=0,"Test 2 - liquidity","Test 3 - retirement")))</f>
        <v>Test 1 - income</v>
      </c>
      <c r="I35" s="59" t="str">
        <f aca="false">IF(I33=1,"all clear",IF(I14=0,"Test 1 - income",IF(I21=0,"Test 2 - liquidity","Test 3 - retirement")))</f>
        <v>Test 1 - income</v>
      </c>
      <c r="J35" s="59" t="str">
        <f aca="false">IF(J33=1,"all clear",IF(J14=0,"Test 1 - income",IF(J21=0,"Test 2 - liquidity","Test 3 - retirement")))</f>
        <v>Test 1 - income</v>
      </c>
      <c r="K35" s="59" t="str">
        <f aca="false">IF(K33=1,"all clear",IF(K14=0,"Test 1 - income",IF(K21=0,"Test 2 - liquidity","Test 3 - retirement")))</f>
        <v>all clear</v>
      </c>
      <c r="L35" s="59" t="str">
        <f aca="false">IF(L33=1,"all clear",IF(L14=0,"Test 1 - income",IF(L21=0,"Test 2 - liquidity","Test 3 - retirement")))</f>
        <v>all clear</v>
      </c>
      <c r="M35" s="59" t="str">
        <f aca="false">IF(M33=1,"all clear",IF(M14=0,"Test 1 - income",IF(M21=0,"Test 2 - liquidity","Test 3 - retirement")))</f>
        <v>all clear</v>
      </c>
      <c r="N35" s="59" t="str">
        <f aca="false">IF(N33=1,"all clear",IF(N14=0,"Test 1 - income",IF(N21=0,"Test 2 - liquidity","Test 3 - retirement")))</f>
        <v>all clear</v>
      </c>
      <c r="O35" s="59" t="str">
        <f aca="false">IF(O33=1,"all clear",IF(O14=0,"Test 1 - income",IF(O21=0,"Test 2 - liquidity","Test 3 - retirement")))</f>
        <v>all clear</v>
      </c>
      <c r="P35" s="59" t="str">
        <f aca="false">IF(P33=1,"all clear",IF(P14=0,"Test 1 - income",IF(P21=0,"Test 2 - liquidity","Test 3 - retirement")))</f>
        <v>all clear</v>
      </c>
      <c r="Q35" s="59" t="str">
        <f aca="false">IF(Q33=1,"all clear",IF(Q14=0,"Test 1 - income",IF(Q21=0,"Test 2 - liquidity","Test 3 - retirement")))</f>
        <v>all clear</v>
      </c>
      <c r="R35" s="59" t="str">
        <f aca="false">IF(R33=1,"all clear",IF(R14=0,"Test 1 - income",IF(R21=0,"Test 2 - liquidity","Test 3 - retirement")))</f>
        <v>Test 1 - income</v>
      </c>
      <c r="S35" s="59" t="str">
        <f aca="false">IF(S33=1,"all clear",IF(S14=0,"Test 1 - income",IF(S21=0,"Test 2 - liquidity","Test 3 - retirement")))</f>
        <v>all clear</v>
      </c>
      <c r="T35" s="59" t="str">
        <f aca="false">IF(T33=1,"all clear",IF(T14=0,"Test 1 - income",IF(T21=0,"Test 2 - liquidity","Test 3 - retirement")))</f>
        <v>all clear</v>
      </c>
      <c r="U35" s="59" t="str">
        <f aca="false">IF(U33=1,"all clear",IF(U14=0,"Test 1 - income",IF(U21=0,"Test 2 - liquidity","Test 3 - retirement")))</f>
        <v>all clear</v>
      </c>
      <c r="V35" s="59" t="str">
        <f aca="false">IF(V33=1,"all clear",IF(V14=0,"Test 1 - income",IF(V21=0,"Test 2 - liquidity","Test 3 - retirement")))</f>
        <v>all clear</v>
      </c>
      <c r="W35" s="59" t="str">
        <f aca="false">IF(W33=1,"all clear",IF(W14=0,"Test 1 - income",IF(W21=0,"Test 2 - liquidity","Test 3 - retirement")))</f>
        <v>all clear</v>
      </c>
      <c r="X35" s="59" t="str">
        <f aca="false">IF(X33=1,"all clear",IF(X14=0,"Test 1 - income",IF(X21=0,"Test 2 - liquidity","Test 3 - retirement")))</f>
        <v>all clear</v>
      </c>
      <c r="Y35" s="59" t="str">
        <f aca="false">IF(Y33=1,"all clear",IF(Y14=0,"Test 1 - income",IF(Y21=0,"Test 2 - liquidity","Test 3 - retirement")))</f>
        <v>all clear</v>
      </c>
      <c r="Z35" s="59" t="str">
        <f aca="false">IF(Z33=1,"all clear",IF(Z14=0,"Test 1 - income",IF(Z21=0,"Test 2 - liquidity","Test 3 - retirement")))</f>
        <v>all clear</v>
      </c>
      <c r="AA35" s="59" t="str">
        <f aca="false">IF(AA33=1,"all clear",IF(AA14=0,"Test 1 - income",IF(AA21=0,"Test 2 - liquidity","Test 3 - retirement")))</f>
        <v>all clear</v>
      </c>
      <c r="AB35" s="59" t="str">
        <f aca="false">IF(AB33=1,"all clear",IF(AB14=0,"Test 1 - income",IF(AB21=0,"Test 2 - liquidity","Test 3 - retirement")))</f>
        <v>all clear</v>
      </c>
      <c r="AC35" s="59" t="str">
        <f aca="false">IF(AC33=1,"all clear",IF(AC14=0,"Test 1 - income",IF(AC21=0,"Test 2 - liquidity","Test 3 - retirement")))</f>
        <v>all clear</v>
      </c>
      <c r="AD35" s="59" t="str">
        <f aca="false">IF(AD33=1,"all clear",IF(AD14=0,"Test 1 - income",IF(AD21=0,"Test 2 - liquidity","Test 3 - retirement")))</f>
        <v>all clear</v>
      </c>
      <c r="AE35" s="59" t="str">
        <f aca="false">IF(AE33=1,"all clear",IF(AE14=0,"Test 1 - income",IF(AE21=0,"Test 2 - liquidity","Test 3 - retirement")))</f>
        <v>all clear</v>
      </c>
      <c r="AF35" s="59" t="str">
        <f aca="false">IF(AF33=1,"all clear",IF(AF14=0,"Test 1 - income",IF(AF21=0,"Test 2 - liquidity","Test 3 - retirement")))</f>
        <v>all clear</v>
      </c>
    </row>
    <row r="37" customFormat="false" ht="15" hidden="false" customHeight="true" outlineLevel="0" collapsed="false">
      <c r="B37" s="24" t="s">
        <v>417</v>
      </c>
      <c r="C37" s="60" t="n">
        <f aca="false">IFERROR(INDEX($C$5:$AF$5,MATCH(1,$C$33:$AF$33,0)),"never")</f>
        <v>2034</v>
      </c>
    </row>
    <row r="38" customFormat="false" ht="15" hidden="false" customHeight="true" outlineLevel="0" collapsed="false">
      <c r="B38" s="24" t="s">
        <v>418</v>
      </c>
      <c r="C38" s="60" t="n">
        <f aca="false">IFERROR(INDEX($C$5:$AF$5,MATCH(1,$C$34:$AF$34,0)),"never")</f>
        <v>2042</v>
      </c>
    </row>
    <row r="39" customFormat="false" ht="15" hidden="false" customHeight="true" outlineLevel="0" collapsed="false">
      <c r="B39" s="24" t="s">
        <v>419</v>
      </c>
      <c r="C39" s="60" t="n">
        <f aca="false">IF(ISNUMBER($C$38),$C$38-1,"n/a")</f>
        <v>2041</v>
      </c>
    </row>
    <row r="40" customFormat="false" ht="15" hidden="false" customHeight="true" outlineLevel="0" collapsed="false">
      <c r="B40" s="26" t="s">
        <v>420</v>
      </c>
      <c r="C40" s="61" t="n">
        <f aca="false">IF(ISNUMBER($C$38),Assumptions!$D$21+($C$38-1-$C$5),"n/a")</f>
        <v>59</v>
      </c>
    </row>
    <row r="42" customFormat="false" ht="15" hidden="false" customHeight="true" outlineLevel="0" collapsed="false">
      <c r="B42" s="62" t="s">
        <v>421</v>
      </c>
    </row>
    <row r="43" customFormat="false" ht="15" hidden="false" customHeight="true" outlineLevel="0" collapsed="false">
      <c r="B43" s="59" t="s">
        <v>422</v>
      </c>
    </row>
    <row r="44" customFormat="false" ht="15" hidden="false" customHeight="true" outlineLevel="0" collapsed="false">
      <c r="B44" s="63" t="s">
        <v>423</v>
      </c>
    </row>
    <row r="45" customFormat="false" ht="15" hidden="false" customHeight="true" outlineLevel="0" collapsed="false">
      <c r="B45" s="63" t="s">
        <v>424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52"/>
    <col collapsed="false" customWidth="true" hidden="false" outlineLevel="0" max="32" min="3" style="20" width="13"/>
  </cols>
  <sheetData>
    <row r="1" customFormat="false" ht="17.25" hidden="false" customHeight="true" outlineLevel="0" collapsed="false">
      <c r="A1" s="21" t="s">
        <v>425</v>
      </c>
    </row>
    <row r="2" customFormat="false" ht="15" hidden="false" customHeight="true" outlineLevel="0" collapsed="false">
      <c r="A2" s="22" t="s">
        <v>426</v>
      </c>
    </row>
    <row r="4" customFormat="false" ht="15" hidden="false" customHeight="true" outlineLevel="0" collapsed="false">
      <c r="B4" s="24" t="s">
        <v>427</v>
      </c>
      <c r="C4" s="64" t="n">
        <v>2033</v>
      </c>
    </row>
    <row r="5" customFormat="false" ht="15" hidden="false" customHeight="true" outlineLevel="0" collapsed="false">
      <c r="B5" s="24" t="s">
        <v>428</v>
      </c>
      <c r="C5" s="65" t="n">
        <v>0</v>
      </c>
    </row>
    <row r="6" customFormat="false" ht="15" hidden="false" customHeight="true" outlineLevel="0" collapsed="false">
      <c r="B6" s="24" t="s">
        <v>429</v>
      </c>
      <c r="C6" s="65" t="n">
        <v>20000</v>
      </c>
    </row>
    <row r="7" customFormat="false" ht="15" hidden="false" customHeight="true" outlineLevel="0" collapsed="false">
      <c r="B7" s="24" t="s">
        <v>430</v>
      </c>
      <c r="C7" s="65" t="n">
        <v>0</v>
      </c>
    </row>
    <row r="8" customFormat="false" ht="15" hidden="false" customHeight="true" outlineLevel="0" collapsed="false">
      <c r="B8" s="24" t="s">
        <v>431</v>
      </c>
      <c r="C8" s="66" t="n">
        <v>1</v>
      </c>
    </row>
    <row r="10" customFormat="false" ht="15" hidden="false" customHeight="true" outlineLevel="0" collapsed="false">
      <c r="A10" s="23" t="s">
        <v>300</v>
      </c>
      <c r="B10" s="23"/>
      <c r="C10" s="23"/>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C10" s="23"/>
      <c r="AD10" s="23"/>
      <c r="AE10" s="23"/>
      <c r="AF10" s="23"/>
    </row>
    <row r="11" customFormat="false" ht="15" hidden="false" customHeight="true" outlineLevel="0" collapsed="false">
      <c r="B11" s="24" t="s">
        <v>123</v>
      </c>
      <c r="C11" s="25" t="n">
        <v>2026</v>
      </c>
      <c r="D11" s="25" t="n">
        <v>2027</v>
      </c>
      <c r="E11" s="25" t="n">
        <v>2028</v>
      </c>
      <c r="F11" s="25" t="n">
        <v>2029</v>
      </c>
      <c r="G11" s="25" t="n">
        <v>2030</v>
      </c>
      <c r="H11" s="25" t="n">
        <v>2031</v>
      </c>
      <c r="I11" s="25" t="n">
        <v>2032</v>
      </c>
      <c r="J11" s="25" t="n">
        <v>2033</v>
      </c>
      <c r="K11" s="25" t="n">
        <v>2034</v>
      </c>
      <c r="L11" s="25" t="n">
        <v>2035</v>
      </c>
      <c r="M11" s="25" t="n">
        <v>2036</v>
      </c>
      <c r="N11" s="25" t="n">
        <v>2037</v>
      </c>
      <c r="O11" s="25" t="n">
        <v>2038</v>
      </c>
      <c r="P11" s="25" t="n">
        <v>2039</v>
      </c>
      <c r="Q11" s="25" t="n">
        <v>2040</v>
      </c>
      <c r="R11" s="25" t="n">
        <v>2041</v>
      </c>
      <c r="S11" s="25" t="n">
        <v>2042</v>
      </c>
      <c r="T11" s="25" t="n">
        <v>2043</v>
      </c>
      <c r="U11" s="25" t="n">
        <v>2044</v>
      </c>
      <c r="V11" s="25" t="n">
        <v>2045</v>
      </c>
      <c r="W11" s="25" t="n">
        <v>2046</v>
      </c>
      <c r="X11" s="25" t="n">
        <v>2047</v>
      </c>
      <c r="Y11" s="25" t="n">
        <v>2048</v>
      </c>
      <c r="Z11" s="25" t="n">
        <v>2049</v>
      </c>
      <c r="AA11" s="25" t="n">
        <v>2050</v>
      </c>
      <c r="AB11" s="25" t="n">
        <v>2051</v>
      </c>
      <c r="AC11" s="25" t="n">
        <v>2052</v>
      </c>
      <c r="AD11" s="25" t="n">
        <v>2053</v>
      </c>
      <c r="AE11" s="25" t="n">
        <v>2054</v>
      </c>
      <c r="AF11" s="25" t="n">
        <v>2055</v>
      </c>
    </row>
    <row r="12" customFormat="false" ht="15" hidden="false" customHeight="true" outlineLevel="0" collapsed="false">
      <c r="B12" s="26" t="s">
        <v>432</v>
      </c>
      <c r="C12" s="67" t="n">
        <f aca="false">IF(C11&lt;=$C$4,1,0)</f>
        <v>1</v>
      </c>
      <c r="D12" s="67" t="n">
        <f aca="false">IF(D11&lt;=$C$4,1,0)</f>
        <v>1</v>
      </c>
      <c r="E12" s="67" t="n">
        <f aca="false">IF(E11&lt;=$C$4,1,0)</f>
        <v>1</v>
      </c>
      <c r="F12" s="67" t="n">
        <f aca="false">IF(F11&lt;=$C$4,1,0)</f>
        <v>1</v>
      </c>
      <c r="G12" s="67" t="n">
        <f aca="false">IF(G11&lt;=$C$4,1,0)</f>
        <v>1</v>
      </c>
      <c r="H12" s="67" t="n">
        <f aca="false">IF(H11&lt;=$C$4,1,0)</f>
        <v>1</v>
      </c>
      <c r="I12" s="67" t="n">
        <f aca="false">IF(I11&lt;=$C$4,1,0)</f>
        <v>1</v>
      </c>
      <c r="J12" s="67" t="n">
        <f aca="false">IF(J11&lt;=$C$4,1,0)</f>
        <v>1</v>
      </c>
      <c r="K12" s="67" t="n">
        <f aca="false">IF(K11&lt;=$C$4,1,0)</f>
        <v>0</v>
      </c>
      <c r="L12" s="67" t="n">
        <f aca="false">IF(L11&lt;=$C$4,1,0)</f>
        <v>0</v>
      </c>
      <c r="M12" s="67" t="n">
        <f aca="false">IF(M11&lt;=$C$4,1,0)</f>
        <v>0</v>
      </c>
      <c r="N12" s="67" t="n">
        <f aca="false">IF(N11&lt;=$C$4,1,0)</f>
        <v>0</v>
      </c>
      <c r="O12" s="67" t="n">
        <f aca="false">IF(O11&lt;=$C$4,1,0)</f>
        <v>0</v>
      </c>
      <c r="P12" s="67" t="n">
        <f aca="false">IF(P11&lt;=$C$4,1,0)</f>
        <v>0</v>
      </c>
      <c r="Q12" s="67" t="n">
        <f aca="false">IF(Q11&lt;=$C$4,1,0)</f>
        <v>0</v>
      </c>
      <c r="R12" s="67" t="n">
        <f aca="false">IF(R11&lt;=$C$4,1,0)</f>
        <v>0</v>
      </c>
      <c r="S12" s="67" t="n">
        <f aca="false">IF(S11&lt;=$C$4,1,0)</f>
        <v>0</v>
      </c>
      <c r="T12" s="67" t="n">
        <f aca="false">IF(T11&lt;=$C$4,1,0)</f>
        <v>0</v>
      </c>
      <c r="U12" s="67" t="n">
        <f aca="false">IF(U11&lt;=$C$4,1,0)</f>
        <v>0</v>
      </c>
      <c r="V12" s="67" t="n">
        <f aca="false">IF(V11&lt;=$C$4,1,0)</f>
        <v>0</v>
      </c>
      <c r="W12" s="67" t="n">
        <f aca="false">IF(W11&lt;=$C$4,1,0)</f>
        <v>0</v>
      </c>
      <c r="X12" s="67" t="n">
        <f aca="false">IF(X11&lt;=$C$4,1,0)</f>
        <v>0</v>
      </c>
      <c r="Y12" s="67" t="n">
        <f aca="false">IF(Y11&lt;=$C$4,1,0)</f>
        <v>0</v>
      </c>
      <c r="Z12" s="67" t="n">
        <f aca="false">IF(Z11&lt;=$C$4,1,0)</f>
        <v>0</v>
      </c>
      <c r="AA12" s="67" t="n">
        <f aca="false">IF(AA11&lt;=$C$4,1,0)</f>
        <v>0</v>
      </c>
      <c r="AB12" s="67" t="n">
        <f aca="false">IF(AB11&lt;=$C$4,1,0)</f>
        <v>0</v>
      </c>
      <c r="AC12" s="67" t="n">
        <f aca="false">IF(AC11&lt;=$C$4,1,0)</f>
        <v>0</v>
      </c>
      <c r="AD12" s="67" t="n">
        <f aca="false">IF(AD11&lt;=$C$4,1,0)</f>
        <v>0</v>
      </c>
      <c r="AE12" s="67" t="n">
        <f aca="false">IF(AE11&lt;=$C$4,1,0)</f>
        <v>0</v>
      </c>
      <c r="AF12" s="67" t="n">
        <f aca="false">IF(AF11&lt;=$C$4,1,0)</f>
        <v>0</v>
      </c>
    </row>
    <row r="14" customFormat="false" ht="15" hidden="false" customHeight="true" outlineLevel="0" collapsed="false">
      <c r="A14" s="23" t="s">
        <v>137</v>
      </c>
      <c r="B14" s="23"/>
      <c r="C14" s="23"/>
      <c r="D14" s="23"/>
      <c r="E14" s="23"/>
      <c r="F14" s="23"/>
      <c r="G14" s="23"/>
      <c r="H14" s="23"/>
      <c r="I14" s="23"/>
      <c r="J14" s="23"/>
      <c r="K14" s="23"/>
      <c r="L14" s="23"/>
      <c r="M14" s="23"/>
      <c r="N14" s="23"/>
      <c r="O14" s="23"/>
      <c r="P14" s="23"/>
      <c r="Q14" s="23"/>
      <c r="R14" s="23"/>
      <c r="S14" s="23"/>
      <c r="T14" s="23"/>
      <c r="U14" s="23"/>
      <c r="V14" s="23"/>
      <c r="W14" s="23"/>
      <c r="X14" s="23"/>
      <c r="Y14" s="23"/>
      <c r="Z14" s="23"/>
      <c r="AA14" s="23"/>
      <c r="AB14" s="23"/>
      <c r="AC14" s="23"/>
      <c r="AD14" s="23"/>
      <c r="AE14" s="23"/>
      <c r="AF14" s="23"/>
    </row>
    <row r="15" customFormat="false" ht="15" hidden="false" customHeight="true" outlineLevel="0" collapsed="false">
      <c r="B15" s="26" t="s">
        <v>433</v>
      </c>
      <c r="C15" s="45" t="n">
        <f aca="false">Assumptions!$C$20*Assumptions!C$9</f>
        <v>170000</v>
      </c>
      <c r="D15" s="45" t="n">
        <f aca="false">Assumptions!$C$20*Assumptions!D$9</f>
        <v>176800</v>
      </c>
      <c r="E15" s="45" t="n">
        <f aca="false">Assumptions!$C$20*Assumptions!E$9</f>
        <v>183872</v>
      </c>
      <c r="F15" s="45" t="n">
        <f aca="false">Assumptions!$C$20*Assumptions!F$9</f>
        <v>187549.44</v>
      </c>
      <c r="G15" s="45" t="n">
        <f aca="false">Assumptions!$C$20*Assumptions!G$9</f>
        <v>191300.4288</v>
      </c>
      <c r="H15" s="45" t="n">
        <f aca="false">Assumptions!$C$20*Assumptions!H$9</f>
        <v>195126.437376</v>
      </c>
      <c r="I15" s="45" t="n">
        <f aca="false">Assumptions!$C$20*Assumptions!I$9</f>
        <v>199028.96612352</v>
      </c>
      <c r="J15" s="45" t="n">
        <f aca="false">Assumptions!$C$20*Assumptions!J$9</f>
        <v>203009.54544599</v>
      </c>
      <c r="K15" s="45" t="n">
        <f aca="false">Assumptions!$C$20*Assumptions!K$9</f>
        <v>207069.73635491</v>
      </c>
      <c r="L15" s="45" t="n">
        <f aca="false">Assumptions!$C$20*Assumptions!L$9</f>
        <v>211211.131082008</v>
      </c>
      <c r="M15" s="45" t="n">
        <f aca="false">Assumptions!$C$20*Assumptions!M$9</f>
        <v>215435.353703649</v>
      </c>
      <c r="N15" s="45" t="n">
        <f aca="false">Assumptions!$C$20*Assumptions!N$9</f>
        <v>219744.060777722</v>
      </c>
      <c r="O15" s="45" t="n">
        <f aca="false">Assumptions!$C$20*Assumptions!O$9</f>
        <v>224138.941993276</v>
      </c>
      <c r="P15" s="45" t="n">
        <f aca="false">Assumptions!$C$20*Assumptions!P$9</f>
        <v>228621.720833142</v>
      </c>
      <c r="Q15" s="45" t="n">
        <f aca="false">Assumptions!$C$20*Assumptions!Q$9</f>
        <v>233194.155249804</v>
      </c>
      <c r="R15" s="45" t="n">
        <f aca="false">Assumptions!$C$20*Assumptions!R$9</f>
        <v>237858.038354801</v>
      </c>
      <c r="S15" s="45" t="n">
        <f aca="false">Assumptions!$C$20*Assumptions!S$9</f>
        <v>242615.199121897</v>
      </c>
      <c r="T15" s="45" t="n">
        <f aca="false">Assumptions!$C$20*Assumptions!T$9</f>
        <v>247467.503104334</v>
      </c>
      <c r="U15" s="45" t="n">
        <f aca="false">Assumptions!$C$20*Assumptions!U$9</f>
        <v>252416.853166421</v>
      </c>
      <c r="V15" s="45" t="n">
        <f aca="false">Assumptions!$C$20*Assumptions!V$9</f>
        <v>257465.19022975</v>
      </c>
      <c r="W15" s="45" t="n">
        <f aca="false">Assumptions!$C$20*Assumptions!W$9</f>
        <v>262614.494034345</v>
      </c>
      <c r="X15" s="45" t="n">
        <f aca="false">Assumptions!$C$20*Assumptions!X$9</f>
        <v>267866.783915031</v>
      </c>
      <c r="Y15" s="45" t="n">
        <f aca="false">Assumptions!$C$20*Assumptions!Y$9</f>
        <v>273224.119593332</v>
      </c>
      <c r="Z15" s="45" t="n">
        <f aca="false">Assumptions!$C$20*Assumptions!Z$9</f>
        <v>278688.601985199</v>
      </c>
      <c r="AA15" s="45" t="n">
        <f aca="false">Assumptions!$C$20*Assumptions!AA$9</f>
        <v>284262.374024903</v>
      </c>
      <c r="AB15" s="45" t="n">
        <f aca="false">Assumptions!$C$20*Assumptions!AB$9</f>
        <v>289947.621505401</v>
      </c>
      <c r="AC15" s="45" t="n">
        <f aca="false">Assumptions!$C$20*Assumptions!AC$9</f>
        <v>295746.573935509</v>
      </c>
      <c r="AD15" s="45" t="n">
        <f aca="false">Assumptions!$C$20*Assumptions!AD$9</f>
        <v>301661.505414219</v>
      </c>
      <c r="AE15" s="45" t="n">
        <f aca="false">Assumptions!$C$20*Assumptions!AE$9</f>
        <v>307694.735522503</v>
      </c>
      <c r="AF15" s="45" t="n">
        <f aca="false">Assumptions!$C$20*Assumptions!AF$9</f>
        <v>313848.630232953</v>
      </c>
    </row>
    <row r="16" customFormat="false" ht="15" hidden="false" customHeight="true" outlineLevel="0" collapsed="false">
      <c r="B16" s="26" t="s">
        <v>434</v>
      </c>
      <c r="C16" s="45" t="n">
        <f aca="false">IF(C12=1,MIN(C15,MAX(Tax_Bands!C$15,Tax_Bands!C$13-MAX(0,C15-Tax_Bands!C$14)/2)),MIN(C15,$C$5*Assumptions!C$9))</f>
        <v>60000</v>
      </c>
      <c r="D16" s="45" t="n">
        <f aca="false">IF(D12=1,MIN(D15,MAX(Tax_Bands!D$15,Tax_Bands!D$13-MAX(0,D15-Tax_Bands!D$14)/2)),MIN(D15,$C$5*Assumptions!D$9))</f>
        <v>60000</v>
      </c>
      <c r="E16" s="45" t="n">
        <f aca="false">IF(E12=1,MIN(E15,MAX(Tax_Bands!E$15,Tax_Bands!E$13-MAX(0,E15-Tax_Bands!E$14)/2)),MIN(E15,$C$5*Assumptions!E$9))</f>
        <v>60000</v>
      </c>
      <c r="F16" s="45" t="n">
        <f aca="false">IF(F12=1,MIN(F15,MAX(Tax_Bands!F$15,Tax_Bands!F$13-MAX(0,F15-Tax_Bands!F$14)/2)),MIN(F15,$C$5*Assumptions!F$9))</f>
        <v>60000</v>
      </c>
      <c r="G16" s="45" t="n">
        <f aca="false">IF(G12=1,MIN(G15,MAX(Tax_Bands!G$15,Tax_Bands!G$13-MAX(0,G15-Tax_Bands!G$14)/2)),MIN(G15,$C$5*Assumptions!G$9))</f>
        <v>60000</v>
      </c>
      <c r="H16" s="45" t="n">
        <f aca="false">IF(H12=1,MIN(H15,MAX(Tax_Bands!H$15,Tax_Bands!H$13-MAX(0,H15-Tax_Bands!H$14)/2)),MIN(H15,$C$5*Assumptions!H$9))</f>
        <v>61200</v>
      </c>
      <c r="I16" s="45" t="n">
        <f aca="false">IF(I12=1,MIN(I15,MAX(Tax_Bands!I$15,Tax_Bands!I$13-MAX(0,I15-Tax_Bands!I$14)/2)),MIN(I15,$C$5*Assumptions!I$9))</f>
        <v>62424</v>
      </c>
      <c r="J16" s="45" t="n">
        <f aca="false">IF(J12=1,MIN(J15,MAX(Tax_Bands!J$15,Tax_Bands!J$13-MAX(0,J15-Tax_Bands!J$14)/2)),MIN(J15,$C$5*Assumptions!J$9))</f>
        <v>63672.48</v>
      </c>
      <c r="K16" s="45" t="n">
        <f aca="false">IF(K12=1,MIN(K15,MAX(Tax_Bands!K$15,Tax_Bands!K$13-MAX(0,K15-Tax_Bands!K$14)/2)),MIN(K15,$C$5*Assumptions!K$9))</f>
        <v>0</v>
      </c>
      <c r="L16" s="45" t="n">
        <f aca="false">IF(L12=1,MIN(L15,MAX(Tax_Bands!L$15,Tax_Bands!L$13-MAX(0,L15-Tax_Bands!L$14)/2)),MIN(L15,$C$5*Assumptions!L$9))</f>
        <v>0</v>
      </c>
      <c r="M16" s="45" t="n">
        <f aca="false">IF(M12=1,MIN(M15,MAX(Tax_Bands!M$15,Tax_Bands!M$13-MAX(0,M15-Tax_Bands!M$14)/2)),MIN(M15,$C$5*Assumptions!M$9))</f>
        <v>0</v>
      </c>
      <c r="N16" s="45" t="n">
        <f aca="false">IF(N12=1,MIN(N15,MAX(Tax_Bands!N$15,Tax_Bands!N$13-MAX(0,N15-Tax_Bands!N$14)/2)),MIN(N15,$C$5*Assumptions!N$9))</f>
        <v>0</v>
      </c>
      <c r="O16" s="45" t="n">
        <f aca="false">IF(O12=1,MIN(O15,MAX(Tax_Bands!O$15,Tax_Bands!O$13-MAX(0,O15-Tax_Bands!O$14)/2)),MIN(O15,$C$5*Assumptions!O$9))</f>
        <v>0</v>
      </c>
      <c r="P16" s="45" t="n">
        <f aca="false">IF(P12=1,MIN(P15,MAX(Tax_Bands!P$15,Tax_Bands!P$13-MAX(0,P15-Tax_Bands!P$14)/2)),MIN(P15,$C$5*Assumptions!P$9))</f>
        <v>0</v>
      </c>
      <c r="Q16" s="45" t="n">
        <f aca="false">IF(Q12=1,MIN(Q15,MAX(Tax_Bands!Q$15,Tax_Bands!Q$13-MAX(0,Q15-Tax_Bands!Q$14)/2)),MIN(Q15,$C$5*Assumptions!Q$9))</f>
        <v>0</v>
      </c>
      <c r="R16" s="45" t="n">
        <f aca="false">IF(R12=1,MIN(R15,MAX(Tax_Bands!R$15,Tax_Bands!R$13-MAX(0,R15-Tax_Bands!R$14)/2)),MIN(R15,$C$5*Assumptions!R$9))</f>
        <v>0</v>
      </c>
      <c r="S16" s="45" t="n">
        <f aca="false">IF(S12=1,MIN(S15,MAX(Tax_Bands!S$15,Tax_Bands!S$13-MAX(0,S15-Tax_Bands!S$14)/2)),MIN(S15,$C$5*Assumptions!S$9))</f>
        <v>0</v>
      </c>
      <c r="T16" s="45" t="n">
        <f aca="false">IF(T12=1,MIN(T15,MAX(Tax_Bands!T$15,Tax_Bands!T$13-MAX(0,T15-Tax_Bands!T$14)/2)),MIN(T15,$C$5*Assumptions!T$9))</f>
        <v>0</v>
      </c>
      <c r="U16" s="45" t="n">
        <f aca="false">IF(U12=1,MIN(U15,MAX(Tax_Bands!U$15,Tax_Bands!U$13-MAX(0,U15-Tax_Bands!U$14)/2)),MIN(U15,$C$5*Assumptions!U$9))</f>
        <v>0</v>
      </c>
      <c r="V16" s="45" t="n">
        <f aca="false">IF(V12=1,MIN(V15,MAX(Tax_Bands!V$15,Tax_Bands!V$13-MAX(0,V15-Tax_Bands!V$14)/2)),MIN(V15,$C$5*Assumptions!V$9))</f>
        <v>0</v>
      </c>
      <c r="W16" s="45" t="n">
        <f aca="false">IF(W12=1,MIN(W15,MAX(Tax_Bands!W$15,Tax_Bands!W$13-MAX(0,W15-Tax_Bands!W$14)/2)),MIN(W15,$C$5*Assumptions!W$9))</f>
        <v>0</v>
      </c>
      <c r="X16" s="45" t="n">
        <f aca="false">IF(X12=1,MIN(X15,MAX(Tax_Bands!X$15,Tax_Bands!X$13-MAX(0,X15-Tax_Bands!X$14)/2)),MIN(X15,$C$5*Assumptions!X$9))</f>
        <v>0</v>
      </c>
      <c r="Y16" s="45" t="n">
        <f aca="false">IF(Y12=1,MIN(Y15,MAX(Tax_Bands!Y$15,Tax_Bands!Y$13-MAX(0,Y15-Tax_Bands!Y$14)/2)),MIN(Y15,$C$5*Assumptions!Y$9))</f>
        <v>0</v>
      </c>
      <c r="Z16" s="45" t="n">
        <f aca="false">IF(Z12=1,MIN(Z15,MAX(Tax_Bands!Z$15,Tax_Bands!Z$13-MAX(0,Z15-Tax_Bands!Z$14)/2)),MIN(Z15,$C$5*Assumptions!Z$9))</f>
        <v>0</v>
      </c>
      <c r="AA16" s="45" t="n">
        <f aca="false">IF(AA12=1,MIN(AA15,MAX(Tax_Bands!AA$15,Tax_Bands!AA$13-MAX(0,AA15-Tax_Bands!AA$14)/2)),MIN(AA15,$C$5*Assumptions!AA$9))</f>
        <v>0</v>
      </c>
      <c r="AB16" s="45" t="n">
        <f aca="false">IF(AB12=1,MIN(AB15,MAX(Tax_Bands!AB$15,Tax_Bands!AB$13-MAX(0,AB15-Tax_Bands!AB$14)/2)),MIN(AB15,$C$5*Assumptions!AB$9))</f>
        <v>0</v>
      </c>
      <c r="AC16" s="45" t="n">
        <f aca="false">IF(AC12=1,MIN(AC15,MAX(Tax_Bands!AC$15,Tax_Bands!AC$13-MAX(0,AC15-Tax_Bands!AC$14)/2)),MIN(AC15,$C$5*Assumptions!AC$9))</f>
        <v>0</v>
      </c>
      <c r="AD16" s="45" t="n">
        <f aca="false">IF(AD12=1,MIN(AD15,MAX(Tax_Bands!AD$15,Tax_Bands!AD$13-MAX(0,AD15-Tax_Bands!AD$14)/2)),MIN(AD15,$C$5*Assumptions!AD$9))</f>
        <v>0</v>
      </c>
      <c r="AE16" s="45" t="n">
        <f aca="false">IF(AE12=1,MIN(AE15,MAX(Tax_Bands!AE$15,Tax_Bands!AE$13-MAX(0,AE15-Tax_Bands!AE$14)/2)),MIN(AE15,$C$5*Assumptions!AE$9))</f>
        <v>0</v>
      </c>
      <c r="AF16" s="45" t="n">
        <f aca="false">IF(AF12=1,MIN(AF15,MAX(Tax_Bands!AF$15,Tax_Bands!AF$13-MAX(0,AF15-Tax_Bands!AF$14)/2)),MIN(AF15,$C$5*Assumptions!AF$9))</f>
        <v>0</v>
      </c>
    </row>
    <row r="17" customFormat="false" ht="15" hidden="false" customHeight="true" outlineLevel="0" collapsed="false">
      <c r="B17" s="49" t="s">
        <v>435</v>
      </c>
      <c r="C17" s="45" t="n">
        <f aca="false">C15-C16</f>
        <v>110000</v>
      </c>
      <c r="D17" s="45" t="n">
        <f aca="false">D15-D16</f>
        <v>116800</v>
      </c>
      <c r="E17" s="45" t="n">
        <f aca="false">E15-E16</f>
        <v>123872</v>
      </c>
      <c r="F17" s="45" t="n">
        <f aca="false">F15-F16</f>
        <v>127549.44</v>
      </c>
      <c r="G17" s="45" t="n">
        <f aca="false">G15-G16</f>
        <v>131300.4288</v>
      </c>
      <c r="H17" s="45" t="n">
        <f aca="false">H15-H16</f>
        <v>133926.437376</v>
      </c>
      <c r="I17" s="45" t="n">
        <f aca="false">I15-I16</f>
        <v>136604.96612352</v>
      </c>
      <c r="J17" s="45" t="n">
        <f aca="false">J15-J16</f>
        <v>139337.06544599</v>
      </c>
      <c r="K17" s="45" t="n">
        <f aca="false">K15-K16</f>
        <v>207069.73635491</v>
      </c>
      <c r="L17" s="45" t="n">
        <f aca="false">L15-L16</f>
        <v>211211.131082008</v>
      </c>
      <c r="M17" s="45" t="n">
        <f aca="false">M15-M16</f>
        <v>215435.353703649</v>
      </c>
      <c r="N17" s="45" t="n">
        <f aca="false">N15-N16</f>
        <v>219744.060777722</v>
      </c>
      <c r="O17" s="45" t="n">
        <f aca="false">O15-O16</f>
        <v>224138.941993276</v>
      </c>
      <c r="P17" s="45" t="n">
        <f aca="false">P15-P16</f>
        <v>228621.720833142</v>
      </c>
      <c r="Q17" s="45" t="n">
        <f aca="false">Q15-Q16</f>
        <v>233194.155249804</v>
      </c>
      <c r="R17" s="45" t="n">
        <f aca="false">R15-R16</f>
        <v>237858.038354801</v>
      </c>
      <c r="S17" s="45" t="n">
        <f aca="false">S15-S16</f>
        <v>242615.199121897</v>
      </c>
      <c r="T17" s="45" t="n">
        <f aca="false">T15-T16</f>
        <v>247467.503104334</v>
      </c>
      <c r="U17" s="45" t="n">
        <f aca="false">U15-U16</f>
        <v>252416.853166421</v>
      </c>
      <c r="V17" s="45" t="n">
        <f aca="false">V15-V16</f>
        <v>257465.19022975</v>
      </c>
      <c r="W17" s="45" t="n">
        <f aca="false">W15-W16</f>
        <v>262614.494034345</v>
      </c>
      <c r="X17" s="45" t="n">
        <f aca="false">X15-X16</f>
        <v>267866.783915031</v>
      </c>
      <c r="Y17" s="45" t="n">
        <f aca="false">Y15-Y16</f>
        <v>273224.119593332</v>
      </c>
      <c r="Z17" s="45" t="n">
        <f aca="false">Z15-Z16</f>
        <v>278688.601985199</v>
      </c>
      <c r="AA17" s="45" t="n">
        <f aca="false">AA15-AA16</f>
        <v>284262.374024903</v>
      </c>
      <c r="AB17" s="45" t="n">
        <f aca="false">AB15-AB16</f>
        <v>289947.621505401</v>
      </c>
      <c r="AC17" s="45" t="n">
        <f aca="false">AC15-AC16</f>
        <v>295746.573935509</v>
      </c>
      <c r="AD17" s="45" t="n">
        <f aca="false">AD15-AD16</f>
        <v>301661.505414219</v>
      </c>
      <c r="AE17" s="45" t="n">
        <f aca="false">AE15-AE16</f>
        <v>307694.735522503</v>
      </c>
      <c r="AF17" s="45" t="n">
        <f aca="false">AF15-AF16</f>
        <v>313848.630232953</v>
      </c>
    </row>
    <row r="18" customFormat="false" ht="15" hidden="false" customHeight="true" outlineLevel="0" collapsed="false">
      <c r="B18" s="49" t="s">
        <v>436</v>
      </c>
      <c r="C18" s="45" t="n">
        <f aca="false">MAX(0,Tax_Bands!C$7-MAX(0,C17-Tax_Bands!C$8)/2)</f>
        <v>7570</v>
      </c>
      <c r="D18" s="45" t="n">
        <f aca="false">MAX(0,Tax_Bands!D$7-MAX(0,D17-Tax_Bands!D$8)/2)</f>
        <v>4170</v>
      </c>
      <c r="E18" s="45" t="n">
        <f aca="false">MAX(0,Tax_Bands!E$7-MAX(0,E17-Tax_Bands!E$8)/2)</f>
        <v>633.999999999985</v>
      </c>
      <c r="F18" s="45" t="n">
        <f aca="false">MAX(0,Tax_Bands!F$7-MAX(0,F17-Tax_Bands!F$8)/2)</f>
        <v>0</v>
      </c>
      <c r="G18" s="45" t="n">
        <f aca="false">MAX(0,Tax_Bands!G$7-MAX(0,G17-Tax_Bands!G$8)/2)</f>
        <v>0</v>
      </c>
      <c r="H18" s="45" t="n">
        <f aca="false">MAX(0,Tax_Bands!H$7-MAX(0,H17-Tax_Bands!H$8)/2)</f>
        <v>0</v>
      </c>
      <c r="I18" s="45" t="n">
        <f aca="false">MAX(0,Tax_Bands!I$7-MAX(0,I17-Tax_Bands!I$8)/2)</f>
        <v>0</v>
      </c>
      <c r="J18" s="45" t="n">
        <f aca="false">MAX(0,Tax_Bands!J$7-MAX(0,J17-Tax_Bands!J$8)/2)</f>
        <v>0</v>
      </c>
      <c r="K18" s="45" t="n">
        <f aca="false">MAX(0,Tax_Bands!K$7-MAX(0,K17-Tax_Bands!K$8)/2)</f>
        <v>0</v>
      </c>
      <c r="L18" s="45" t="n">
        <f aca="false">MAX(0,Tax_Bands!L$7-MAX(0,L17-Tax_Bands!L$8)/2)</f>
        <v>0</v>
      </c>
      <c r="M18" s="45" t="n">
        <f aca="false">MAX(0,Tax_Bands!M$7-MAX(0,M17-Tax_Bands!M$8)/2)</f>
        <v>0</v>
      </c>
      <c r="N18" s="45" t="n">
        <f aca="false">MAX(0,Tax_Bands!N$7-MAX(0,N17-Tax_Bands!N$8)/2)</f>
        <v>0</v>
      </c>
      <c r="O18" s="45" t="n">
        <f aca="false">MAX(0,Tax_Bands!O$7-MAX(0,O17-Tax_Bands!O$8)/2)</f>
        <v>0</v>
      </c>
      <c r="P18" s="45" t="n">
        <f aca="false">MAX(0,Tax_Bands!P$7-MAX(0,P17-Tax_Bands!P$8)/2)</f>
        <v>0</v>
      </c>
      <c r="Q18" s="45" t="n">
        <f aca="false">MAX(0,Tax_Bands!Q$7-MAX(0,Q17-Tax_Bands!Q$8)/2)</f>
        <v>0</v>
      </c>
      <c r="R18" s="45" t="n">
        <f aca="false">MAX(0,Tax_Bands!R$7-MAX(0,R17-Tax_Bands!R$8)/2)</f>
        <v>0</v>
      </c>
      <c r="S18" s="45" t="n">
        <f aca="false">MAX(0,Tax_Bands!S$7-MAX(0,S17-Tax_Bands!S$8)/2)</f>
        <v>0</v>
      </c>
      <c r="T18" s="45" t="n">
        <f aca="false">MAX(0,Tax_Bands!T$7-MAX(0,T17-Tax_Bands!T$8)/2)</f>
        <v>0</v>
      </c>
      <c r="U18" s="45" t="n">
        <f aca="false">MAX(0,Tax_Bands!U$7-MAX(0,U17-Tax_Bands!U$8)/2)</f>
        <v>0</v>
      </c>
      <c r="V18" s="45" t="n">
        <f aca="false">MAX(0,Tax_Bands!V$7-MAX(0,V17-Tax_Bands!V$8)/2)</f>
        <v>0</v>
      </c>
      <c r="W18" s="45" t="n">
        <f aca="false">MAX(0,Tax_Bands!W$7-MAX(0,W17-Tax_Bands!W$8)/2)</f>
        <v>0</v>
      </c>
      <c r="X18" s="45" t="n">
        <f aca="false">MAX(0,Tax_Bands!X$7-MAX(0,X17-Tax_Bands!X$8)/2)</f>
        <v>0</v>
      </c>
      <c r="Y18" s="45" t="n">
        <f aca="false">MAX(0,Tax_Bands!Y$7-MAX(0,Y17-Tax_Bands!Y$8)/2)</f>
        <v>0</v>
      </c>
      <c r="Z18" s="45" t="n">
        <f aca="false">MAX(0,Tax_Bands!Z$7-MAX(0,Z17-Tax_Bands!Z$8)/2)</f>
        <v>0</v>
      </c>
      <c r="AA18" s="45" t="n">
        <f aca="false">MAX(0,Tax_Bands!AA$7-MAX(0,AA17-Tax_Bands!AA$8)/2)</f>
        <v>0</v>
      </c>
      <c r="AB18" s="45" t="n">
        <f aca="false">MAX(0,Tax_Bands!AB$7-MAX(0,AB17-Tax_Bands!AB$8)/2)</f>
        <v>0</v>
      </c>
      <c r="AC18" s="45" t="n">
        <f aca="false">MAX(0,Tax_Bands!AC$7-MAX(0,AC17-Tax_Bands!AC$8)/2)</f>
        <v>0</v>
      </c>
      <c r="AD18" s="45" t="n">
        <f aca="false">MAX(0,Tax_Bands!AD$7-MAX(0,AD17-Tax_Bands!AD$8)/2)</f>
        <v>0</v>
      </c>
      <c r="AE18" s="45" t="n">
        <f aca="false">MAX(0,Tax_Bands!AE$7-MAX(0,AE17-Tax_Bands!AE$8)/2)</f>
        <v>0</v>
      </c>
      <c r="AF18" s="45" t="n">
        <f aca="false">MAX(0,Tax_Bands!AF$7-MAX(0,AF17-Tax_Bands!AF$8)/2)</f>
        <v>0</v>
      </c>
    </row>
    <row r="19" customFormat="false" ht="15" hidden="false" customHeight="true" outlineLevel="0" collapsed="false">
      <c r="B19" s="49" t="s">
        <v>437</v>
      </c>
      <c r="C19" s="45" t="n">
        <f aca="false">MAX(0,C15-C18)</f>
        <v>162430</v>
      </c>
      <c r="D19" s="45" t="n">
        <f aca="false">MAX(0,D15-D18)</f>
        <v>172630</v>
      </c>
      <c r="E19" s="45" t="n">
        <f aca="false">MAX(0,E15-E18)</f>
        <v>183238</v>
      </c>
      <c r="F19" s="45" t="n">
        <f aca="false">MAX(0,F15-F18)</f>
        <v>187549.44</v>
      </c>
      <c r="G19" s="45" t="n">
        <f aca="false">MAX(0,G15-G18)</f>
        <v>191300.4288</v>
      </c>
      <c r="H19" s="45" t="n">
        <f aca="false">MAX(0,H15-H18)</f>
        <v>195126.437376</v>
      </c>
      <c r="I19" s="45" t="n">
        <f aca="false">MAX(0,I15-I18)</f>
        <v>199028.96612352</v>
      </c>
      <c r="J19" s="45" t="n">
        <f aca="false">MAX(0,J15-J18)</f>
        <v>203009.54544599</v>
      </c>
      <c r="K19" s="45" t="n">
        <f aca="false">MAX(0,K15-K18)</f>
        <v>207069.73635491</v>
      </c>
      <c r="L19" s="45" t="n">
        <f aca="false">MAX(0,L15-L18)</f>
        <v>211211.131082008</v>
      </c>
      <c r="M19" s="45" t="n">
        <f aca="false">MAX(0,M15-M18)</f>
        <v>215435.353703649</v>
      </c>
      <c r="N19" s="45" t="n">
        <f aca="false">MAX(0,N15-N18)</f>
        <v>219744.060777722</v>
      </c>
      <c r="O19" s="45" t="n">
        <f aca="false">MAX(0,O15-O18)</f>
        <v>224138.941993276</v>
      </c>
      <c r="P19" s="45" t="n">
        <f aca="false">MAX(0,P15-P18)</f>
        <v>228621.720833142</v>
      </c>
      <c r="Q19" s="45" t="n">
        <f aca="false">MAX(0,Q15-Q18)</f>
        <v>233194.155249804</v>
      </c>
      <c r="R19" s="45" t="n">
        <f aca="false">MAX(0,R15-R18)</f>
        <v>237858.038354801</v>
      </c>
      <c r="S19" s="45" t="n">
        <f aca="false">MAX(0,S15-S18)</f>
        <v>242615.199121897</v>
      </c>
      <c r="T19" s="45" t="n">
        <f aca="false">MAX(0,T15-T18)</f>
        <v>247467.503104334</v>
      </c>
      <c r="U19" s="45" t="n">
        <f aca="false">MAX(0,U15-U18)</f>
        <v>252416.853166421</v>
      </c>
      <c r="V19" s="45" t="n">
        <f aca="false">MAX(0,V15-V18)</f>
        <v>257465.19022975</v>
      </c>
      <c r="W19" s="45" t="n">
        <f aca="false">MAX(0,W15-W18)</f>
        <v>262614.494034345</v>
      </c>
      <c r="X19" s="45" t="n">
        <f aca="false">MAX(0,X15-X18)</f>
        <v>267866.783915031</v>
      </c>
      <c r="Y19" s="45" t="n">
        <f aca="false">MAX(0,Y15-Y18)</f>
        <v>273224.119593332</v>
      </c>
      <c r="Z19" s="45" t="n">
        <f aca="false">MAX(0,Z15-Z18)</f>
        <v>278688.601985199</v>
      </c>
      <c r="AA19" s="45" t="n">
        <f aca="false">MAX(0,AA15-AA18)</f>
        <v>284262.374024903</v>
      </c>
      <c r="AB19" s="45" t="n">
        <f aca="false">MAX(0,AB15-AB18)</f>
        <v>289947.621505401</v>
      </c>
      <c r="AC19" s="45" t="n">
        <f aca="false">MAX(0,AC15-AC18)</f>
        <v>295746.573935509</v>
      </c>
      <c r="AD19" s="45" t="n">
        <f aca="false">MAX(0,AD15-AD18)</f>
        <v>301661.505414219</v>
      </c>
      <c r="AE19" s="45" t="n">
        <f aca="false">MAX(0,AE15-AE18)</f>
        <v>307694.735522503</v>
      </c>
      <c r="AF19" s="45" t="n">
        <f aca="false">MAX(0,AF15-AF18)</f>
        <v>313848.630232953</v>
      </c>
    </row>
    <row r="20" customFormat="false" ht="15" hidden="false" customHeight="true" outlineLevel="0" collapsed="false">
      <c r="B20" s="49" t="s">
        <v>438</v>
      </c>
      <c r="C20" s="45" t="n">
        <f aca="false">Tax_Bands!C$18*MIN(C19,Tax_Bands!C$9+C16)+Tax_Bands!C$19*MAX(0,MIN(C19,Tax_Bands!C$10+C16)-(Tax_Bands!C$9+C16))+Tax_Bands!C$20*MAX(0,C19-(Tax_Bands!C$10+C16))</f>
        <v>45432</v>
      </c>
      <c r="D20" s="45" t="n">
        <f aca="false">Tax_Bands!D$18*MIN(D19,Tax_Bands!D$9+D16)+Tax_Bands!D$19*MAX(0,MIN(D19,Tax_Bands!D$10+D16)-(Tax_Bands!D$9+D16))+Tax_Bands!D$20*MAX(0,D19-(Tax_Bands!D$10+D16))</f>
        <v>49512</v>
      </c>
      <c r="E20" s="45" t="n">
        <f aca="false">Tax_Bands!E$18*MIN(E19,Tax_Bands!E$9+E16)+Tax_Bands!E$19*MAX(0,MIN(E19,Tax_Bands!E$10+E16)-(Tax_Bands!E$9+E16))+Tax_Bands!E$20*MAX(0,E19-(Tax_Bands!E$10+E16))</f>
        <v>53755.2</v>
      </c>
      <c r="F20" s="45" t="n">
        <f aca="false">Tax_Bands!F$18*MIN(F19,Tax_Bands!F$9+F16)+Tax_Bands!F$19*MAX(0,MIN(F19,Tax_Bands!F$10+F16)-(Tax_Bands!F$9+F16))+Tax_Bands!F$20*MAX(0,F19-(Tax_Bands!F$10+F16))</f>
        <v>55600.248</v>
      </c>
      <c r="G20" s="45" t="n">
        <f aca="false">Tax_Bands!G$18*MIN(G19,Tax_Bands!G$9+G16)+Tax_Bands!G$19*MAX(0,MIN(G19,Tax_Bands!G$10+G16)-(Tax_Bands!G$9+G16))+Tax_Bands!G$20*MAX(0,G19-(Tax_Bands!G$10+G16))</f>
        <v>57288.19296</v>
      </c>
      <c r="H20" s="45" t="n">
        <f aca="false">Tax_Bands!H$18*MIN(H19,Tax_Bands!H$9+H16)+Tax_Bands!H$19*MAX(0,MIN(H19,Tax_Bands!H$10+H16)-(Tax_Bands!H$9+H16))+Tax_Bands!H$20*MAX(0,H19-(Tax_Bands!H$10+H16))</f>
        <v>58433.9568192</v>
      </c>
      <c r="I20" s="45" t="n">
        <f aca="false">Tax_Bands!I$18*MIN(I19,Tax_Bands!I$9+I16)+Tax_Bands!I$19*MAX(0,MIN(I19,Tax_Bands!I$10+I16)-(Tax_Bands!I$9+I16))+Tax_Bands!I$20*MAX(0,I19-(Tax_Bands!I$10+I16))</f>
        <v>59602.635955584</v>
      </c>
      <c r="J20" s="45" t="n">
        <f aca="false">Tax_Bands!J$18*MIN(J19,Tax_Bands!J$9+J16)+Tax_Bands!J$19*MAX(0,MIN(J19,Tax_Bands!J$10+J16)-(Tax_Bands!J$9+J16))+Tax_Bands!J$20*MAX(0,J19-(Tax_Bands!J$10+J16))</f>
        <v>60794.6886746957</v>
      </c>
      <c r="K20" s="45" t="n">
        <f aca="false">Tax_Bands!K$18*MIN(K19,Tax_Bands!K$9+K16)+Tax_Bands!K$19*MAX(0,MIN(K19,Tax_Bands!K$10+K16)-(Tax_Bands!K$9+K16))+Tax_Bands!K$20*MAX(0,K19-(Tax_Bands!K$10+K16))</f>
        <v>78247.0648481896</v>
      </c>
      <c r="L20" s="45" t="n">
        <f aca="false">Tax_Bands!L$18*MIN(L19,Tax_Bands!L$9+L16)+Tax_Bands!L$19*MAX(0,MIN(L19,Tax_Bands!L$10+L16)-(Tax_Bands!L$9+L16))+Tax_Bands!L$20*MAX(0,L19-(Tax_Bands!L$10+L16))</f>
        <v>79812.0061451534</v>
      </c>
      <c r="M20" s="45" t="n">
        <f aca="false">Tax_Bands!M$18*MIN(M19,Tax_Bands!M$9+M16)+Tax_Bands!M$19*MAX(0,MIN(M19,Tax_Bands!M$10+M16)-(Tax_Bands!M$9+M16))+Tax_Bands!M$20*MAX(0,M19-(Tax_Bands!M$10+M16))</f>
        <v>81408.2462680565</v>
      </c>
      <c r="N20" s="45" t="n">
        <f aca="false">Tax_Bands!N$18*MIN(N19,Tax_Bands!N$9+N16)+Tax_Bands!N$19*MAX(0,MIN(N19,Tax_Bands!N$10+N16)-(Tax_Bands!N$9+N16))+Tax_Bands!N$20*MAX(0,N19-(Tax_Bands!N$10+N16))</f>
        <v>83036.4111934176</v>
      </c>
      <c r="O20" s="45" t="n">
        <f aca="false">Tax_Bands!O$18*MIN(O19,Tax_Bands!O$9+O16)+Tax_Bands!O$19*MAX(0,MIN(O19,Tax_Bands!O$10+O16)-(Tax_Bands!O$9+O16))+Tax_Bands!O$20*MAX(0,O19-(Tax_Bands!O$10+O16))</f>
        <v>84697.139417286</v>
      </c>
      <c r="P20" s="45" t="n">
        <f aca="false">Tax_Bands!P$18*MIN(P19,Tax_Bands!P$9+P16)+Tax_Bands!P$19*MAX(0,MIN(P19,Tax_Bands!P$10+P16)-(Tax_Bands!P$9+P16))+Tax_Bands!P$20*MAX(0,P19-(Tax_Bands!P$10+P16))</f>
        <v>86391.0822056317</v>
      </c>
      <c r="Q20" s="45" t="n">
        <f aca="false">Tax_Bands!Q$18*MIN(Q19,Tax_Bands!Q$9+Q16)+Tax_Bands!Q$19*MAX(0,MIN(Q19,Tax_Bands!Q$10+Q16)-(Tax_Bands!Q$9+Q16))+Tax_Bands!Q$20*MAX(0,Q19-(Tax_Bands!Q$10+Q16))</f>
        <v>88118.9038497443</v>
      </c>
      <c r="R20" s="45" t="n">
        <f aca="false">Tax_Bands!R$18*MIN(R19,Tax_Bands!R$9+R16)+Tax_Bands!R$19*MAX(0,MIN(R19,Tax_Bands!R$10+R16)-(Tax_Bands!R$9+R16))+Tax_Bands!R$20*MAX(0,R19-(Tax_Bands!R$10+R16))</f>
        <v>89881.2819267392</v>
      </c>
      <c r="S20" s="45" t="n">
        <f aca="false">Tax_Bands!S$18*MIN(S19,Tax_Bands!S$9+S16)+Tax_Bands!S$19*MAX(0,MIN(S19,Tax_Bands!S$10+S16)-(Tax_Bands!S$9+S16))+Tax_Bands!S$20*MAX(0,S19-(Tax_Bands!S$10+S16))</f>
        <v>91678.907565274</v>
      </c>
      <c r="T20" s="45" t="n">
        <f aca="false">Tax_Bands!T$18*MIN(T19,Tax_Bands!T$9+T16)+Tax_Bands!T$19*MAX(0,MIN(T19,Tax_Bands!T$10+T16)-(Tax_Bands!T$9+T16))+Tax_Bands!T$20*MAX(0,T19-(Tax_Bands!T$10+T16))</f>
        <v>93512.4857165795</v>
      </c>
      <c r="U20" s="45" t="n">
        <f aca="false">Tax_Bands!U$18*MIN(U19,Tax_Bands!U$9+U16)+Tax_Bands!U$19*MAX(0,MIN(U19,Tax_Bands!U$10+U16)-(Tax_Bands!U$9+U16))+Tax_Bands!U$20*MAX(0,U19-(Tax_Bands!U$10+U16))</f>
        <v>95382.7354309111</v>
      </c>
      <c r="V20" s="45" t="n">
        <f aca="false">Tax_Bands!V$18*MIN(V19,Tax_Bands!V$9+V16)+Tax_Bands!V$19*MAX(0,MIN(V19,Tax_Bands!V$10+V16)-(Tax_Bands!V$9+V16))+Tax_Bands!V$20*MAX(0,V19-(Tax_Bands!V$10+V16))</f>
        <v>97290.3901395293</v>
      </c>
      <c r="W20" s="45" t="n">
        <f aca="false">Tax_Bands!W$18*MIN(W19,Tax_Bands!W$9+W16)+Tax_Bands!W$19*MAX(0,MIN(W19,Tax_Bands!W$10+W16)-(Tax_Bands!W$9+W16))+Tax_Bands!W$20*MAX(0,W19-(Tax_Bands!W$10+W16))</f>
        <v>99236.1979423199</v>
      </c>
      <c r="X20" s="45" t="n">
        <f aca="false">Tax_Bands!X$18*MIN(X19,Tax_Bands!X$9+X16)+Tax_Bands!X$19*MAX(0,MIN(X19,Tax_Bands!X$10+X16)-(Tax_Bands!X$9+X16))+Tax_Bands!X$20*MAX(0,X19-(Tax_Bands!X$10+X16))</f>
        <v>101220.921901166</v>
      </c>
      <c r="Y20" s="45" t="n">
        <f aca="false">Tax_Bands!Y$18*MIN(Y19,Tax_Bands!Y$9+Y16)+Tax_Bands!Y$19*MAX(0,MIN(Y19,Tax_Bands!Y$10+Y16)-(Tax_Bands!Y$9+Y16))+Tax_Bands!Y$20*MAX(0,Y19-(Tax_Bands!Y$10+Y16))</f>
        <v>103245.34033919</v>
      </c>
      <c r="Z20" s="45" t="n">
        <f aca="false">Tax_Bands!Z$18*MIN(Z19,Tax_Bands!Z$9+Z16)+Tax_Bands!Z$19*MAX(0,MIN(Z19,Tax_Bands!Z$10+Z16)-(Tax_Bands!Z$9+Z16))+Tax_Bands!Z$20*MAX(0,Z19-(Tax_Bands!Z$10+Z16))</f>
        <v>105310.247145973</v>
      </c>
      <c r="AA20" s="45" t="n">
        <f aca="false">Tax_Bands!AA$18*MIN(AA19,Tax_Bands!AA$9+AA16)+Tax_Bands!AA$19*MAX(0,MIN(AA19,Tax_Bands!AA$10+AA16)-(Tax_Bands!AA$9+AA16))+Tax_Bands!AA$20*MAX(0,AA19-(Tax_Bands!AA$10+AA16))</f>
        <v>107416.452088893</v>
      </c>
      <c r="AB20" s="45" t="n">
        <f aca="false">Tax_Bands!AB$18*MIN(AB19,Tax_Bands!AB$9+AB16)+Tax_Bands!AB$19*MAX(0,MIN(AB19,Tax_Bands!AB$10+AB16)-(Tax_Bands!AB$9+AB16))+Tax_Bands!AB$20*MAX(0,AB19-(Tax_Bands!AB$10+AB16))</f>
        <v>109564.781130671</v>
      </c>
      <c r="AC20" s="45" t="n">
        <f aca="false">Tax_Bands!AC$18*MIN(AC19,Tax_Bands!AC$9+AC16)+Tax_Bands!AC$19*MAX(0,MIN(AC19,Tax_Bands!AC$10+AC16)-(Tax_Bands!AC$9+AC16))+Tax_Bands!AC$20*MAX(0,AC19-(Tax_Bands!AC$10+AC16))</f>
        <v>111756.076753284</v>
      </c>
      <c r="AD20" s="45" t="n">
        <f aca="false">Tax_Bands!AD$18*MIN(AD19,Tax_Bands!AD$9+AD16)+Tax_Bands!AD$19*MAX(0,MIN(AD19,Tax_Bands!AD$10+AD16)-(Tax_Bands!AD$9+AD16))+Tax_Bands!AD$20*MAX(0,AD19-(Tax_Bands!AD$10+AD16))</f>
        <v>113991.19828835</v>
      </c>
      <c r="AE20" s="45" t="n">
        <f aca="false">Tax_Bands!AE$18*MIN(AE19,Tax_Bands!AE$9+AE16)+Tax_Bands!AE$19*MAX(0,MIN(AE19,Tax_Bands!AE$10+AE16)-(Tax_Bands!AE$9+AE16))+Tax_Bands!AE$20*MAX(0,AE19-(Tax_Bands!AE$10+AE16))</f>
        <v>116271.022254117</v>
      </c>
      <c r="AF20" s="45" t="n">
        <f aca="false">Tax_Bands!AF$18*MIN(AF19,Tax_Bands!AF$9+AF16)+Tax_Bands!AF$19*MAX(0,MIN(AF19,Tax_Bands!AF$10+AF16)-(Tax_Bands!AF$9+AF16))+Tax_Bands!AF$20*MAX(0,AF19-(Tax_Bands!AF$10+AF16))</f>
        <v>118596.442699199</v>
      </c>
    </row>
    <row r="21" customFormat="false" ht="15" hidden="false" customHeight="true" outlineLevel="0" collapsed="false">
      <c r="B21" s="49" t="s">
        <v>439</v>
      </c>
      <c r="C21" s="45" t="n">
        <f aca="false">Tax_Bands!C$21*MAX(0,MIN(C15,Tax_Bands!C$12)-Tax_Bands!C$11)+Tax_Bands!C$22*MAX(0,C15-Tax_Bands!C$12)</f>
        <v>5410.6</v>
      </c>
      <c r="D21" s="45" t="n">
        <f aca="false">Tax_Bands!D$21*MAX(0,MIN(D15,Tax_Bands!D$12)-Tax_Bands!D$11)+Tax_Bands!D$22*MAX(0,D15-Tax_Bands!D$12)</f>
        <v>5546.6</v>
      </c>
      <c r="E21" s="45" t="n">
        <f aca="false">Tax_Bands!E$21*MAX(0,MIN(E15,Tax_Bands!E$12)-Tax_Bands!E$11)+Tax_Bands!E$22*MAX(0,E15-Tax_Bands!E$12)</f>
        <v>5688.04</v>
      </c>
      <c r="F21" s="45" t="n">
        <f aca="false">Tax_Bands!F$21*MAX(0,MIN(F15,Tax_Bands!F$12)-Tax_Bands!F$11)+Tax_Bands!F$22*MAX(0,F15-Tax_Bands!F$12)</f>
        <v>5761.5888</v>
      </c>
      <c r="G21" s="45" t="n">
        <f aca="false">Tax_Bands!G$21*MAX(0,MIN(G15,Tax_Bands!G$12)-Tax_Bands!G$11)+Tax_Bands!G$22*MAX(0,G15-Tax_Bands!G$12)</f>
        <v>5836.608576</v>
      </c>
      <c r="H21" s="45" t="n">
        <f aca="false">Tax_Bands!H$21*MAX(0,MIN(H15,Tax_Bands!H$12)-Tax_Bands!H$11)+Tax_Bands!H$22*MAX(0,H15-Tax_Bands!H$12)</f>
        <v>5953.34074752</v>
      </c>
      <c r="I21" s="45" t="n">
        <f aca="false">Tax_Bands!I$21*MAX(0,MIN(I15,Tax_Bands!I$12)-Tax_Bands!I$11)+Tax_Bands!I$22*MAX(0,I15-Tax_Bands!I$12)</f>
        <v>6072.4075624704</v>
      </c>
      <c r="J21" s="45" t="n">
        <f aca="false">Tax_Bands!J$21*MAX(0,MIN(J15,Tax_Bands!J$12)-Tax_Bands!J$11)+Tax_Bands!J$22*MAX(0,J15-Tax_Bands!J$12)</f>
        <v>6193.85571371981</v>
      </c>
      <c r="K21" s="45" t="n">
        <f aca="false">Tax_Bands!K$21*MAX(0,MIN(K15,Tax_Bands!K$12)-Tax_Bands!K$11)+Tax_Bands!K$22*MAX(0,K15-Tax_Bands!K$12)</f>
        <v>6317.73282799421</v>
      </c>
      <c r="L21" s="45" t="n">
        <f aca="false">Tax_Bands!L$21*MAX(0,MIN(L15,Tax_Bands!L$12)-Tax_Bands!L$11)+Tax_Bands!L$22*MAX(0,L15-Tax_Bands!L$12)</f>
        <v>6444.08748455409</v>
      </c>
      <c r="M21" s="45" t="n">
        <f aca="false">Tax_Bands!M$21*MAX(0,MIN(M15,Tax_Bands!M$12)-Tax_Bands!M$11)+Tax_Bands!M$22*MAX(0,M15-Tax_Bands!M$12)</f>
        <v>6572.96923424517</v>
      </c>
      <c r="N21" s="45" t="n">
        <f aca="false">Tax_Bands!N$21*MAX(0,MIN(N15,Tax_Bands!N$12)-Tax_Bands!N$11)+Tax_Bands!N$22*MAX(0,N15-Tax_Bands!N$12)</f>
        <v>6704.42861893008</v>
      </c>
      <c r="O21" s="45" t="n">
        <f aca="false">Tax_Bands!O$21*MAX(0,MIN(O15,Tax_Bands!O$12)-Tax_Bands!O$11)+Tax_Bands!O$22*MAX(0,O15-Tax_Bands!O$12)</f>
        <v>6838.51719130868</v>
      </c>
      <c r="P21" s="45" t="n">
        <f aca="false">Tax_Bands!P$21*MAX(0,MIN(P15,Tax_Bands!P$12)-Tax_Bands!P$11)+Tax_Bands!P$22*MAX(0,P15-Tax_Bands!P$12)</f>
        <v>6975.28753513485</v>
      </c>
      <c r="Q21" s="45" t="n">
        <f aca="false">Tax_Bands!Q$21*MAX(0,MIN(Q15,Tax_Bands!Q$12)-Tax_Bands!Q$11)+Tax_Bands!Q$22*MAX(0,Q15-Tax_Bands!Q$12)</f>
        <v>7114.79328583755</v>
      </c>
      <c r="R21" s="45" t="n">
        <f aca="false">Tax_Bands!R$21*MAX(0,MIN(R15,Tax_Bands!R$12)-Tax_Bands!R$11)+Tax_Bands!R$22*MAX(0,R15-Tax_Bands!R$12)</f>
        <v>7257.0891515543</v>
      </c>
      <c r="S21" s="45" t="n">
        <f aca="false">Tax_Bands!S$21*MAX(0,MIN(S15,Tax_Bands!S$12)-Tax_Bands!S$11)+Tax_Bands!S$22*MAX(0,S15-Tax_Bands!S$12)</f>
        <v>7402.23093458539</v>
      </c>
      <c r="T21" s="45" t="n">
        <f aca="false">Tax_Bands!T$21*MAX(0,MIN(T15,Tax_Bands!T$12)-Tax_Bands!T$11)+Tax_Bands!T$22*MAX(0,T15-Tax_Bands!T$12)</f>
        <v>7550.27555327709</v>
      </c>
      <c r="U21" s="45" t="n">
        <f aca="false">Tax_Bands!U$21*MAX(0,MIN(U15,Tax_Bands!U$12)-Tax_Bands!U$11)+Tax_Bands!U$22*MAX(0,U15-Tax_Bands!U$12)</f>
        <v>7701.28106434264</v>
      </c>
      <c r="V21" s="45" t="n">
        <f aca="false">Tax_Bands!V$21*MAX(0,MIN(V15,Tax_Bands!V$12)-Tax_Bands!V$11)+Tax_Bands!V$22*MAX(0,V15-Tax_Bands!V$12)</f>
        <v>7855.30668562949</v>
      </c>
      <c r="W21" s="45" t="n">
        <f aca="false">Tax_Bands!W$21*MAX(0,MIN(W15,Tax_Bands!W$12)-Tax_Bands!W$11)+Tax_Bands!W$22*MAX(0,W15-Tax_Bands!W$12)</f>
        <v>8012.41281934208</v>
      </c>
      <c r="X21" s="45" t="n">
        <f aca="false">Tax_Bands!X$21*MAX(0,MIN(X15,Tax_Bands!X$12)-Tax_Bands!X$11)+Tax_Bands!X$22*MAX(0,X15-Tax_Bands!X$12)</f>
        <v>8172.66107572892</v>
      </c>
      <c r="Y21" s="45" t="n">
        <f aca="false">Tax_Bands!Y$21*MAX(0,MIN(Y15,Tax_Bands!Y$12)-Tax_Bands!Y$11)+Tax_Bands!Y$22*MAX(0,Y15-Tax_Bands!Y$12)</f>
        <v>8336.1142972435</v>
      </c>
      <c r="Z21" s="45" t="n">
        <f aca="false">Tax_Bands!Z$21*MAX(0,MIN(Z15,Tax_Bands!Z$12)-Tax_Bands!Z$11)+Tax_Bands!Z$22*MAX(0,Z15-Tax_Bands!Z$12)</f>
        <v>8502.83658318837</v>
      </c>
      <c r="AA21" s="45" t="n">
        <f aca="false">Tax_Bands!AA$21*MAX(0,MIN(AA15,Tax_Bands!AA$12)-Tax_Bands!AA$11)+Tax_Bands!AA$22*MAX(0,AA15-Tax_Bands!AA$12)</f>
        <v>8672.89331485214</v>
      </c>
      <c r="AB21" s="45" t="n">
        <f aca="false">Tax_Bands!AB$21*MAX(0,MIN(AB15,Tax_Bands!AB$12)-Tax_Bands!AB$11)+Tax_Bands!AB$22*MAX(0,AB15-Tax_Bands!AB$12)</f>
        <v>8846.35118114918</v>
      </c>
      <c r="AC21" s="45" t="n">
        <f aca="false">Tax_Bands!AC$21*MAX(0,MIN(AC15,Tax_Bands!AC$12)-Tax_Bands!AC$11)+Tax_Bands!AC$22*MAX(0,AC15-Tax_Bands!AC$12)</f>
        <v>9023.27820477216</v>
      </c>
      <c r="AD21" s="45" t="n">
        <f aca="false">Tax_Bands!AD$21*MAX(0,MIN(AD15,Tax_Bands!AD$12)-Tax_Bands!AD$11)+Tax_Bands!AD$22*MAX(0,AD15-Tax_Bands!AD$12)</f>
        <v>9203.74376886761</v>
      </c>
      <c r="AE21" s="45" t="n">
        <f aca="false">Tax_Bands!AE$21*MAX(0,MIN(AE15,Tax_Bands!AE$12)-Tax_Bands!AE$11)+Tax_Bands!AE$22*MAX(0,AE15-Tax_Bands!AE$12)</f>
        <v>9387.81864424496</v>
      </c>
      <c r="AF21" s="45" t="n">
        <f aca="false">Tax_Bands!AF$21*MAX(0,MIN(AF15,Tax_Bands!AF$12)-Tax_Bands!AF$11)+Tax_Bands!AF$22*MAX(0,AF15-Tax_Bands!AF$12)</f>
        <v>9575.57501712986</v>
      </c>
    </row>
    <row r="22" customFormat="false" ht="15" hidden="false" customHeight="true" outlineLevel="0" collapsed="false">
      <c r="B22" s="24" t="s">
        <v>440</v>
      </c>
      <c r="C22" s="50" t="n">
        <f aca="false">C15-C20-C21</f>
        <v>119157.4</v>
      </c>
      <c r="D22" s="50" t="n">
        <f aca="false">D15-D20-D21</f>
        <v>121741.4</v>
      </c>
      <c r="E22" s="50" t="n">
        <f aca="false">E15-E20-E21</f>
        <v>124428.76</v>
      </c>
      <c r="F22" s="50" t="n">
        <f aca="false">F15-F20-F21</f>
        <v>126187.6032</v>
      </c>
      <c r="G22" s="50" t="n">
        <f aca="false">G15-G20-G21</f>
        <v>128175.627264</v>
      </c>
      <c r="H22" s="50" t="n">
        <f aca="false">H15-H20-H21</f>
        <v>130739.13980928</v>
      </c>
      <c r="I22" s="50" t="n">
        <f aca="false">I15-I20-I21</f>
        <v>133353.922605466</v>
      </c>
      <c r="J22" s="50" t="n">
        <f aca="false">J15-J20-J21</f>
        <v>136021.001057575</v>
      </c>
      <c r="K22" s="50" t="n">
        <f aca="false">K15-K20-K21</f>
        <v>122504.938678726</v>
      </c>
      <c r="L22" s="50" t="n">
        <f aca="false">L15-L20-L21</f>
        <v>124955.037452301</v>
      </c>
      <c r="M22" s="50" t="n">
        <f aca="false">M15-M20-M21</f>
        <v>127454.138201347</v>
      </c>
      <c r="N22" s="50" t="n">
        <f aca="false">N15-N20-N21</f>
        <v>130003.220965374</v>
      </c>
      <c r="O22" s="50" t="n">
        <f aca="false">O15-O20-O21</f>
        <v>132603.285384681</v>
      </c>
      <c r="P22" s="50" t="n">
        <f aca="false">P15-P20-P21</f>
        <v>135255.351092375</v>
      </c>
      <c r="Q22" s="50" t="n">
        <f aca="false">Q15-Q20-Q21</f>
        <v>137960.458114223</v>
      </c>
      <c r="R22" s="50" t="n">
        <f aca="false">R15-R20-R21</f>
        <v>140719.667276507</v>
      </c>
      <c r="S22" s="50" t="n">
        <f aca="false">S15-S20-S21</f>
        <v>143534.060622037</v>
      </c>
      <c r="T22" s="50" t="n">
        <f aca="false">T15-T20-T21</f>
        <v>146404.741834478</v>
      </c>
      <c r="U22" s="50" t="n">
        <f aca="false">U15-U20-U21</f>
        <v>149332.836671167</v>
      </c>
      <c r="V22" s="50" t="n">
        <f aca="false">V15-V20-V21</f>
        <v>152319.493404591</v>
      </c>
      <c r="W22" s="50" t="n">
        <f aca="false">W15-W20-W21</f>
        <v>155365.883272683</v>
      </c>
      <c r="X22" s="50" t="n">
        <f aca="false">X15-X20-X21</f>
        <v>158473.200938136</v>
      </c>
      <c r="Y22" s="50" t="n">
        <f aca="false">Y15-Y20-Y21</f>
        <v>161642.664956899</v>
      </c>
      <c r="Z22" s="50" t="n">
        <f aca="false">Z15-Z20-Z21</f>
        <v>164875.518256037</v>
      </c>
      <c r="AA22" s="50" t="n">
        <f aca="false">AA15-AA20-AA21</f>
        <v>168173.028621158</v>
      </c>
      <c r="AB22" s="50" t="n">
        <f aca="false">AB15-AB20-AB21</f>
        <v>171536.489193581</v>
      </c>
      <c r="AC22" s="50" t="n">
        <f aca="false">AC15-AC20-AC21</f>
        <v>174967.218977453</v>
      </c>
      <c r="AD22" s="50" t="n">
        <f aca="false">AD15-AD20-AD21</f>
        <v>178466.563357002</v>
      </c>
      <c r="AE22" s="50" t="n">
        <f aca="false">AE15-AE20-AE21</f>
        <v>182035.894624142</v>
      </c>
      <c r="AF22" s="50" t="n">
        <f aca="false">AF15-AF20-AF21</f>
        <v>185676.612516624</v>
      </c>
    </row>
    <row r="23" customFormat="false" ht="15" hidden="false" customHeight="true" outlineLevel="0" collapsed="false">
      <c r="B23" s="26" t="s">
        <v>441</v>
      </c>
      <c r="C23" s="45" t="n">
        <f aca="false">MIN(IF(C12=1,Tax_Bands!C$16,MIN(Tax_Bands!C$16,$C$6*Assumptions!C$9)),MAX(0,C22-C16))</f>
        <v>20000</v>
      </c>
      <c r="D23" s="45" t="n">
        <f aca="false">MIN(IF(D12=1,Tax_Bands!D$16,MIN(Tax_Bands!D$16,$C$6*Assumptions!D$9)),MAX(0,D22-D16))</f>
        <v>20000</v>
      </c>
      <c r="E23" s="45" t="n">
        <f aca="false">MIN(IF(E12=1,Tax_Bands!E$16,MIN(Tax_Bands!E$16,$C$6*Assumptions!E$9)),MAX(0,E22-E16))</f>
        <v>20000</v>
      </c>
      <c r="F23" s="45" t="n">
        <f aca="false">MIN(IF(F12=1,Tax_Bands!F$16,MIN(Tax_Bands!F$16,$C$6*Assumptions!F$9)),MAX(0,F22-F16))</f>
        <v>20000</v>
      </c>
      <c r="G23" s="45" t="n">
        <f aca="false">MIN(IF(G12=1,Tax_Bands!G$16,MIN(Tax_Bands!G$16,$C$6*Assumptions!G$9)),MAX(0,G22-G16))</f>
        <v>20000</v>
      </c>
      <c r="H23" s="45" t="n">
        <f aca="false">MIN(IF(H12=1,Tax_Bands!H$16,MIN(Tax_Bands!H$16,$C$6*Assumptions!H$9)),MAX(0,H22-H16))</f>
        <v>20400</v>
      </c>
      <c r="I23" s="45" t="n">
        <f aca="false">MIN(IF(I12=1,Tax_Bands!I$16,MIN(Tax_Bands!I$16,$C$6*Assumptions!I$9)),MAX(0,I22-I16))</f>
        <v>20808</v>
      </c>
      <c r="J23" s="45" t="n">
        <f aca="false">MIN(IF(J12=1,Tax_Bands!J$16,MIN(Tax_Bands!J$16,$C$6*Assumptions!J$9)),MAX(0,J22-J16))</f>
        <v>21224.16</v>
      </c>
      <c r="K23" s="45" t="n">
        <f aca="false">MIN(IF(K12=1,Tax_Bands!K$16,MIN(Tax_Bands!K$16,$C$6*Assumptions!K$9)),MAX(0,K22-K16))</f>
        <v>21648.6432</v>
      </c>
      <c r="L23" s="45" t="n">
        <f aca="false">MIN(IF(L12=1,Tax_Bands!L$16,MIN(Tax_Bands!L$16,$C$6*Assumptions!L$9)),MAX(0,L22-L16))</f>
        <v>22081.616064</v>
      </c>
      <c r="M23" s="45" t="n">
        <f aca="false">MIN(IF(M12=1,Tax_Bands!M$16,MIN(Tax_Bands!M$16,$C$6*Assumptions!M$9)),MAX(0,M22-M16))</f>
        <v>22523.24838528</v>
      </c>
      <c r="N23" s="45" t="n">
        <f aca="false">MIN(IF(N12=1,Tax_Bands!N$16,MIN(Tax_Bands!N$16,$C$6*Assumptions!N$9)),MAX(0,N22-N16))</f>
        <v>22973.7133529856</v>
      </c>
      <c r="O23" s="45" t="n">
        <f aca="false">MIN(IF(O12=1,Tax_Bands!O$16,MIN(Tax_Bands!O$16,$C$6*Assumptions!O$9)),MAX(0,O22-O16))</f>
        <v>23433.1876200453</v>
      </c>
      <c r="P23" s="45" t="n">
        <f aca="false">MIN(IF(P12=1,Tax_Bands!P$16,MIN(Tax_Bands!P$16,$C$6*Assumptions!P$9)),MAX(0,P22-P16))</f>
        <v>23901.8513724462</v>
      </c>
      <c r="Q23" s="45" t="n">
        <f aca="false">MIN(IF(Q12=1,Tax_Bands!Q$16,MIN(Tax_Bands!Q$16,$C$6*Assumptions!Q$9)),MAX(0,Q22-Q16))</f>
        <v>24379.8883998951</v>
      </c>
      <c r="R23" s="45" t="n">
        <f aca="false">MIN(IF(R12=1,Tax_Bands!R$16,MIN(Tax_Bands!R$16,$C$6*Assumptions!R$9)),MAX(0,R22-R16))</f>
        <v>24867.4861678931</v>
      </c>
      <c r="S23" s="45" t="n">
        <f aca="false">MIN(IF(S12=1,Tax_Bands!S$16,MIN(Tax_Bands!S$16,$C$6*Assumptions!S$9)),MAX(0,S22-S16))</f>
        <v>25364.8358912509</v>
      </c>
      <c r="T23" s="45" t="n">
        <f aca="false">MIN(IF(T12=1,Tax_Bands!T$16,MIN(Tax_Bands!T$16,$C$6*Assumptions!T$9)),MAX(0,T22-T16))</f>
        <v>25872.1326090759</v>
      </c>
      <c r="U23" s="45" t="n">
        <f aca="false">MIN(IF(U12=1,Tax_Bands!U$16,MIN(Tax_Bands!U$16,$C$6*Assumptions!U$9)),MAX(0,U22-U16))</f>
        <v>26389.5752612574</v>
      </c>
      <c r="V23" s="45" t="n">
        <f aca="false">MIN(IF(V12=1,Tax_Bands!V$16,MIN(Tax_Bands!V$16,$C$6*Assumptions!V$9)),MAX(0,V22-V16))</f>
        <v>26917.3667664826</v>
      </c>
      <c r="W23" s="45" t="n">
        <f aca="false">MIN(IF(W12=1,Tax_Bands!W$16,MIN(Tax_Bands!W$16,$C$6*Assumptions!W$9)),MAX(0,W22-W16))</f>
        <v>27455.7141018123</v>
      </c>
      <c r="X23" s="45" t="n">
        <f aca="false">MIN(IF(X12=1,Tax_Bands!X$16,MIN(Tax_Bands!X$16,$C$6*Assumptions!X$9)),MAX(0,X22-X16))</f>
        <v>28004.8283838485</v>
      </c>
      <c r="Y23" s="45" t="n">
        <f aca="false">MIN(IF(Y12=1,Tax_Bands!Y$16,MIN(Tax_Bands!Y$16,$C$6*Assumptions!Y$9)),MAX(0,Y22-Y16))</f>
        <v>28564.9249515255</v>
      </c>
      <c r="Z23" s="45" t="n">
        <f aca="false">MIN(IF(Z12=1,Tax_Bands!Z$16,MIN(Tax_Bands!Z$16,$C$6*Assumptions!Z$9)),MAX(0,Z22-Z16))</f>
        <v>29136.223450556</v>
      </c>
      <c r="AA23" s="45" t="n">
        <f aca="false">MIN(IF(AA12=1,Tax_Bands!AA$16,MIN(Tax_Bands!AA$16,$C$6*Assumptions!AA$9)),MAX(0,AA22-AA16))</f>
        <v>29718.9479195671</v>
      </c>
      <c r="AB23" s="45" t="n">
        <f aca="false">MIN(IF(AB12=1,Tax_Bands!AB$16,MIN(Tax_Bands!AB$16,$C$6*Assumptions!AB$9)),MAX(0,AB22-AB16))</f>
        <v>30313.3268779584</v>
      </c>
      <c r="AC23" s="45" t="n">
        <f aca="false">MIN(IF(AC12=1,Tax_Bands!AC$16,MIN(Tax_Bands!AC$16,$C$6*Assumptions!AC$9)),MAX(0,AC22-AC16))</f>
        <v>30919.5934155176</v>
      </c>
      <c r="AD23" s="45" t="n">
        <f aca="false">MIN(IF(AD12=1,Tax_Bands!AD$16,MIN(Tax_Bands!AD$16,$C$6*Assumptions!AD$9)),MAX(0,AD22-AD16))</f>
        <v>31537.985283828</v>
      </c>
      <c r="AE23" s="45" t="n">
        <f aca="false">MIN(IF(AE12=1,Tax_Bands!AE$16,MIN(Tax_Bands!AE$16,$C$6*Assumptions!AE$9)),MAX(0,AE22-AE16))</f>
        <v>32168.7449895045</v>
      </c>
      <c r="AF23" s="45" t="n">
        <f aca="false">MIN(IF(AF12=1,Tax_Bands!AF$16,MIN(Tax_Bands!AF$16,$C$6*Assumptions!AF$9)),MAX(0,AF22-AF16))</f>
        <v>32812.1198892946</v>
      </c>
    </row>
    <row r="24" customFormat="false" ht="15" hidden="false" customHeight="true" outlineLevel="0" collapsed="false">
      <c r="B24" s="24" t="s">
        <v>442</v>
      </c>
      <c r="C24" s="50" t="n">
        <f aca="false">C22-C16-C23</f>
        <v>39157.4</v>
      </c>
      <c r="D24" s="50" t="n">
        <f aca="false">D22-D16-D23</f>
        <v>41741.4</v>
      </c>
      <c r="E24" s="50" t="n">
        <f aca="false">E22-E16-E23</f>
        <v>44428.76</v>
      </c>
      <c r="F24" s="50" t="n">
        <f aca="false">F22-F16-F23</f>
        <v>46187.6032</v>
      </c>
      <c r="G24" s="50" t="n">
        <f aca="false">G22-G16-G23</f>
        <v>48175.627264</v>
      </c>
      <c r="H24" s="50" t="n">
        <f aca="false">H22-H16-H23</f>
        <v>49139.13980928</v>
      </c>
      <c r="I24" s="50" t="n">
        <f aca="false">I22-I16-I23</f>
        <v>50121.9226054656</v>
      </c>
      <c r="J24" s="50" t="n">
        <f aca="false">J22-J16-J23</f>
        <v>51124.3610575749</v>
      </c>
      <c r="K24" s="50" t="n">
        <f aca="false">K22-K16-K23</f>
        <v>100856.295478726</v>
      </c>
      <c r="L24" s="50" t="n">
        <f aca="false">L22-L16-L23</f>
        <v>102873.421388301</v>
      </c>
      <c r="M24" s="50" t="n">
        <f aca="false">M22-M16-M23</f>
        <v>104930.889816067</v>
      </c>
      <c r="N24" s="50" t="n">
        <f aca="false">N22-N16-N23</f>
        <v>107029.507612388</v>
      </c>
      <c r="O24" s="50" t="n">
        <f aca="false">O22-O16-O23</f>
        <v>109170.097764636</v>
      </c>
      <c r="P24" s="50" t="n">
        <f aca="false">P22-P16-P23</f>
        <v>111353.499719929</v>
      </c>
      <c r="Q24" s="50" t="n">
        <f aca="false">Q22-Q16-Q23</f>
        <v>113580.569714327</v>
      </c>
      <c r="R24" s="50" t="n">
        <f aca="false">R22-R16-R23</f>
        <v>115852.181108614</v>
      </c>
      <c r="S24" s="50" t="n">
        <f aca="false">S22-S16-S23</f>
        <v>118169.224730786</v>
      </c>
      <c r="T24" s="50" t="n">
        <f aca="false">T22-T16-T23</f>
        <v>120532.609225402</v>
      </c>
      <c r="U24" s="50" t="n">
        <f aca="false">U22-U16-U23</f>
        <v>122943.26140991</v>
      </c>
      <c r="V24" s="50" t="n">
        <f aca="false">V22-V16-V23</f>
        <v>125402.126638108</v>
      </c>
      <c r="W24" s="50" t="n">
        <f aca="false">W22-W16-W23</f>
        <v>127910.16917087</v>
      </c>
      <c r="X24" s="50" t="n">
        <f aca="false">X22-X16-X23</f>
        <v>130468.372554288</v>
      </c>
      <c r="Y24" s="50" t="n">
        <f aca="false">Y22-Y16-Y23</f>
        <v>133077.740005374</v>
      </c>
      <c r="Z24" s="50" t="n">
        <f aca="false">Z22-Z16-Z23</f>
        <v>135739.294805481</v>
      </c>
      <c r="AA24" s="50" t="n">
        <f aca="false">AA22-AA16-AA23</f>
        <v>138454.080701591</v>
      </c>
      <c r="AB24" s="50" t="n">
        <f aca="false">AB22-AB16-AB23</f>
        <v>141223.162315622</v>
      </c>
      <c r="AC24" s="50" t="n">
        <f aca="false">AC22-AC16-AC23</f>
        <v>144047.625561935</v>
      </c>
      <c r="AD24" s="50" t="n">
        <f aca="false">AD22-AD16-AD23</f>
        <v>146928.578073174</v>
      </c>
      <c r="AE24" s="50" t="n">
        <f aca="false">AE22-AE16-AE23</f>
        <v>149867.149634637</v>
      </c>
      <c r="AF24" s="50" t="n">
        <f aca="false">AF22-AF16-AF23</f>
        <v>152864.49262733</v>
      </c>
    </row>
    <row r="26" customFormat="false" ht="15" hidden="false" customHeight="true" outlineLevel="0" collapsed="false">
      <c r="A26" s="23" t="s">
        <v>138</v>
      </c>
      <c r="B26" s="23"/>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row>
    <row r="27" customFormat="false" ht="15" hidden="false" customHeight="true" outlineLevel="0" collapsed="false">
      <c r="B27" s="26" t="s">
        <v>443</v>
      </c>
      <c r="C27" s="45" t="n">
        <f aca="false">IF(C12=1,Assumptions!$D$20*Assumptions!C$9,$C$7*Assumptions!C$9)</f>
        <v>190000</v>
      </c>
      <c r="D27" s="45" t="n">
        <f aca="false">IF(D12=1,Assumptions!$D$20*Assumptions!D$9,$C$7*Assumptions!D$9)</f>
        <v>197600</v>
      </c>
      <c r="E27" s="45" t="n">
        <f aca="false">IF(E12=1,Assumptions!$D$20*Assumptions!E$9,$C$7*Assumptions!E$9)</f>
        <v>205504</v>
      </c>
      <c r="F27" s="45" t="n">
        <f aca="false">IF(F12=1,Assumptions!$D$20*Assumptions!F$9,$C$7*Assumptions!F$9)</f>
        <v>209614.08</v>
      </c>
      <c r="G27" s="45" t="n">
        <f aca="false">IF(G12=1,Assumptions!$D$20*Assumptions!G$9,$C$7*Assumptions!G$9)</f>
        <v>213806.3616</v>
      </c>
      <c r="H27" s="45" t="n">
        <f aca="false">IF(H12=1,Assumptions!$D$20*Assumptions!H$9,$C$7*Assumptions!H$9)</f>
        <v>218082.488832</v>
      </c>
      <c r="I27" s="45" t="n">
        <f aca="false">IF(I12=1,Assumptions!$D$20*Assumptions!I$9,$C$7*Assumptions!I$9)</f>
        <v>222444.13860864</v>
      </c>
      <c r="J27" s="45" t="n">
        <f aca="false">IF(J12=1,Assumptions!$D$20*Assumptions!J$9,$C$7*Assumptions!J$9)</f>
        <v>226893.021380813</v>
      </c>
      <c r="K27" s="45" t="n">
        <f aca="false">IF(K12=1,Assumptions!$D$20*Assumptions!K$9,$C$7*Assumptions!K$9)</f>
        <v>0</v>
      </c>
      <c r="L27" s="45" t="n">
        <f aca="false">IF(L12=1,Assumptions!$D$20*Assumptions!L$9,$C$7*Assumptions!L$9)</f>
        <v>0</v>
      </c>
      <c r="M27" s="45" t="n">
        <f aca="false">IF(M12=1,Assumptions!$D$20*Assumptions!M$9,$C$7*Assumptions!M$9)</f>
        <v>0</v>
      </c>
      <c r="N27" s="45" t="n">
        <f aca="false">IF(N12=1,Assumptions!$D$20*Assumptions!N$9,$C$7*Assumptions!N$9)</f>
        <v>0</v>
      </c>
      <c r="O27" s="45" t="n">
        <f aca="false">IF(O12=1,Assumptions!$D$20*Assumptions!O$9,$C$7*Assumptions!O$9)</f>
        <v>0</v>
      </c>
      <c r="P27" s="45" t="n">
        <f aca="false">IF(P12=1,Assumptions!$D$20*Assumptions!P$9,$C$7*Assumptions!P$9)</f>
        <v>0</v>
      </c>
      <c r="Q27" s="45" t="n">
        <f aca="false">IF(Q12=1,Assumptions!$D$20*Assumptions!Q$9,$C$7*Assumptions!Q$9)</f>
        <v>0</v>
      </c>
      <c r="R27" s="45" t="n">
        <f aca="false">IF(R12=1,Assumptions!$D$20*Assumptions!R$9,$C$7*Assumptions!R$9)</f>
        <v>0</v>
      </c>
      <c r="S27" s="45" t="n">
        <f aca="false">IF(S12=1,Assumptions!$D$20*Assumptions!S$9,$C$7*Assumptions!S$9)</f>
        <v>0</v>
      </c>
      <c r="T27" s="45" t="n">
        <f aca="false">IF(T12=1,Assumptions!$D$20*Assumptions!T$9,$C$7*Assumptions!T$9)</f>
        <v>0</v>
      </c>
      <c r="U27" s="45" t="n">
        <f aca="false">IF(U12=1,Assumptions!$D$20*Assumptions!U$9,$C$7*Assumptions!U$9)</f>
        <v>0</v>
      </c>
      <c r="V27" s="45" t="n">
        <f aca="false">IF(V12=1,Assumptions!$D$20*Assumptions!V$9,$C$7*Assumptions!V$9)</f>
        <v>0</v>
      </c>
      <c r="W27" s="45" t="n">
        <f aca="false">IF(W12=1,Assumptions!$D$20*Assumptions!W$9,$C$7*Assumptions!W$9)</f>
        <v>0</v>
      </c>
      <c r="X27" s="45" t="n">
        <f aca="false">IF(X12=1,Assumptions!$D$20*Assumptions!X$9,$C$7*Assumptions!X$9)</f>
        <v>0</v>
      </c>
      <c r="Y27" s="45" t="n">
        <f aca="false">IF(Y12=1,Assumptions!$D$20*Assumptions!Y$9,$C$7*Assumptions!Y$9)</f>
        <v>0</v>
      </c>
      <c r="Z27" s="45" t="n">
        <f aca="false">IF(Z12=1,Assumptions!$D$20*Assumptions!Z$9,$C$7*Assumptions!Z$9)</f>
        <v>0</v>
      </c>
      <c r="AA27" s="45" t="n">
        <f aca="false">IF(AA12=1,Assumptions!$D$20*Assumptions!AA$9,$C$7*Assumptions!AA$9)</f>
        <v>0</v>
      </c>
      <c r="AB27" s="45" t="n">
        <f aca="false">IF(AB12=1,Assumptions!$D$20*Assumptions!AB$9,$C$7*Assumptions!AB$9)</f>
        <v>0</v>
      </c>
      <c r="AC27" s="45" t="n">
        <f aca="false">IF(AC12=1,Assumptions!$D$20*Assumptions!AC$9,$C$7*Assumptions!AC$9)</f>
        <v>0</v>
      </c>
      <c r="AD27" s="45" t="n">
        <f aca="false">IF(AD12=1,Assumptions!$D$20*Assumptions!AD$9,$C$7*Assumptions!AD$9)</f>
        <v>0</v>
      </c>
      <c r="AE27" s="45" t="n">
        <f aca="false">IF(AE12=1,Assumptions!$D$20*Assumptions!AE$9,$C$7*Assumptions!AE$9)</f>
        <v>0</v>
      </c>
      <c r="AF27" s="45" t="n">
        <f aca="false">IF(AF12=1,Assumptions!$D$20*Assumptions!AF$9,$C$7*Assumptions!AF$9)</f>
        <v>0</v>
      </c>
    </row>
    <row r="28" customFormat="false" ht="15" hidden="false" customHeight="true" outlineLevel="0" collapsed="false">
      <c r="B28" s="26" t="s">
        <v>444</v>
      </c>
      <c r="C28" s="45" t="n">
        <f aca="false">IF(C12=1,MIN(C27,MAX(Tax_Bands!C$15,Tax_Bands!C$13-MAX(0,C27-Tax_Bands!C$14)/2)),0)</f>
        <v>60000</v>
      </c>
      <c r="D28" s="45" t="n">
        <f aca="false">IF(D12=1,MIN(D27,MAX(Tax_Bands!D$15,Tax_Bands!D$13-MAX(0,D27-Tax_Bands!D$14)/2)),0)</f>
        <v>60000</v>
      </c>
      <c r="E28" s="45" t="n">
        <f aca="false">IF(E12=1,MIN(E27,MAX(Tax_Bands!E$15,Tax_Bands!E$13-MAX(0,E27-Tax_Bands!E$14)/2)),0)</f>
        <v>60000</v>
      </c>
      <c r="F28" s="45" t="n">
        <f aca="false">IF(F12=1,MIN(F27,MAX(Tax_Bands!F$15,Tax_Bands!F$13-MAX(0,F27-Tax_Bands!F$14)/2)),0)</f>
        <v>60000</v>
      </c>
      <c r="G28" s="45" t="n">
        <f aca="false">IF(G12=1,MIN(G27,MAX(Tax_Bands!G$15,Tax_Bands!G$13-MAX(0,G27-Tax_Bands!G$14)/2)),0)</f>
        <v>60000</v>
      </c>
      <c r="H28" s="45" t="n">
        <f aca="false">IF(H12=1,MIN(H27,MAX(Tax_Bands!H$15,Tax_Bands!H$13-MAX(0,H27-Tax_Bands!H$14)/2)),0)</f>
        <v>61200</v>
      </c>
      <c r="I28" s="45" t="n">
        <f aca="false">IF(I12=1,MIN(I27,MAX(Tax_Bands!I$15,Tax_Bands!I$13-MAX(0,I27-Tax_Bands!I$14)/2)),0)</f>
        <v>62424</v>
      </c>
      <c r="J28" s="45" t="n">
        <f aca="false">IF(J12=1,MIN(J27,MAX(Tax_Bands!J$15,Tax_Bands!J$13-MAX(0,J27-Tax_Bands!J$14)/2)),0)</f>
        <v>63672.48</v>
      </c>
      <c r="K28" s="45" t="n">
        <f aca="false">IF(K12=1,MIN(K27,MAX(Tax_Bands!K$15,Tax_Bands!K$13-MAX(0,K27-Tax_Bands!K$14)/2)),0)</f>
        <v>0</v>
      </c>
      <c r="L28" s="45" t="n">
        <f aca="false">IF(L12=1,MIN(L27,MAX(Tax_Bands!L$15,Tax_Bands!L$13-MAX(0,L27-Tax_Bands!L$14)/2)),0)</f>
        <v>0</v>
      </c>
      <c r="M28" s="45" t="n">
        <f aca="false">IF(M12=1,MIN(M27,MAX(Tax_Bands!M$15,Tax_Bands!M$13-MAX(0,M27-Tax_Bands!M$14)/2)),0)</f>
        <v>0</v>
      </c>
      <c r="N28" s="45" t="n">
        <f aca="false">IF(N12=1,MIN(N27,MAX(Tax_Bands!N$15,Tax_Bands!N$13-MAX(0,N27-Tax_Bands!N$14)/2)),0)</f>
        <v>0</v>
      </c>
      <c r="O28" s="45" t="n">
        <f aca="false">IF(O12=1,MIN(O27,MAX(Tax_Bands!O$15,Tax_Bands!O$13-MAX(0,O27-Tax_Bands!O$14)/2)),0)</f>
        <v>0</v>
      </c>
      <c r="P28" s="45" t="n">
        <f aca="false">IF(P12=1,MIN(P27,MAX(Tax_Bands!P$15,Tax_Bands!P$13-MAX(0,P27-Tax_Bands!P$14)/2)),0)</f>
        <v>0</v>
      </c>
      <c r="Q28" s="45" t="n">
        <f aca="false">IF(Q12=1,MIN(Q27,MAX(Tax_Bands!Q$15,Tax_Bands!Q$13-MAX(0,Q27-Tax_Bands!Q$14)/2)),0)</f>
        <v>0</v>
      </c>
      <c r="R28" s="45" t="n">
        <f aca="false">IF(R12=1,MIN(R27,MAX(Tax_Bands!R$15,Tax_Bands!R$13-MAX(0,R27-Tax_Bands!R$14)/2)),0)</f>
        <v>0</v>
      </c>
      <c r="S28" s="45" t="n">
        <f aca="false">IF(S12=1,MIN(S27,MAX(Tax_Bands!S$15,Tax_Bands!S$13-MAX(0,S27-Tax_Bands!S$14)/2)),0)</f>
        <v>0</v>
      </c>
      <c r="T28" s="45" t="n">
        <f aca="false">IF(T12=1,MIN(T27,MAX(Tax_Bands!T$15,Tax_Bands!T$13-MAX(0,T27-Tax_Bands!T$14)/2)),0)</f>
        <v>0</v>
      </c>
      <c r="U28" s="45" t="n">
        <f aca="false">IF(U12=1,MIN(U27,MAX(Tax_Bands!U$15,Tax_Bands!U$13-MAX(0,U27-Tax_Bands!U$14)/2)),0)</f>
        <v>0</v>
      </c>
      <c r="V28" s="45" t="n">
        <f aca="false">IF(V12=1,MIN(V27,MAX(Tax_Bands!V$15,Tax_Bands!V$13-MAX(0,V27-Tax_Bands!V$14)/2)),0)</f>
        <v>0</v>
      </c>
      <c r="W28" s="45" t="n">
        <f aca="false">IF(W12=1,MIN(W27,MAX(Tax_Bands!W$15,Tax_Bands!W$13-MAX(0,W27-Tax_Bands!W$14)/2)),0)</f>
        <v>0</v>
      </c>
      <c r="X28" s="45" t="n">
        <f aca="false">IF(X12=1,MIN(X27,MAX(Tax_Bands!X$15,Tax_Bands!X$13-MAX(0,X27-Tax_Bands!X$14)/2)),0)</f>
        <v>0</v>
      </c>
      <c r="Y28" s="45" t="n">
        <f aca="false">IF(Y12=1,MIN(Y27,MAX(Tax_Bands!Y$15,Tax_Bands!Y$13-MAX(0,Y27-Tax_Bands!Y$14)/2)),0)</f>
        <v>0</v>
      </c>
      <c r="Z28" s="45" t="n">
        <f aca="false">IF(Z12=1,MIN(Z27,MAX(Tax_Bands!Z$15,Tax_Bands!Z$13-MAX(0,Z27-Tax_Bands!Z$14)/2)),0)</f>
        <v>0</v>
      </c>
      <c r="AA28" s="45" t="n">
        <f aca="false">IF(AA12=1,MIN(AA27,MAX(Tax_Bands!AA$15,Tax_Bands!AA$13-MAX(0,AA27-Tax_Bands!AA$14)/2)),0)</f>
        <v>0</v>
      </c>
      <c r="AB28" s="45" t="n">
        <f aca="false">IF(AB12=1,MIN(AB27,MAX(Tax_Bands!AB$15,Tax_Bands!AB$13-MAX(0,AB27-Tax_Bands!AB$14)/2)),0)</f>
        <v>0</v>
      </c>
      <c r="AC28" s="45" t="n">
        <f aca="false">IF(AC12=1,MIN(AC27,MAX(Tax_Bands!AC$15,Tax_Bands!AC$13-MAX(0,AC27-Tax_Bands!AC$14)/2)),0)</f>
        <v>0</v>
      </c>
      <c r="AD28" s="45" t="n">
        <f aca="false">IF(AD12=1,MIN(AD27,MAX(Tax_Bands!AD$15,Tax_Bands!AD$13-MAX(0,AD27-Tax_Bands!AD$14)/2)),0)</f>
        <v>0</v>
      </c>
      <c r="AE28" s="45" t="n">
        <f aca="false">IF(AE12=1,MIN(AE27,MAX(Tax_Bands!AE$15,Tax_Bands!AE$13-MAX(0,AE27-Tax_Bands!AE$14)/2)),0)</f>
        <v>0</v>
      </c>
      <c r="AF28" s="45" t="n">
        <f aca="false">IF(AF12=1,MIN(AF27,MAX(Tax_Bands!AF$15,Tax_Bands!AF$13-MAX(0,AF27-Tax_Bands!AF$14)/2)),0)</f>
        <v>0</v>
      </c>
    </row>
    <row r="29" customFormat="false" ht="15" hidden="false" customHeight="true" outlineLevel="0" collapsed="false">
      <c r="B29" s="49" t="s">
        <v>445</v>
      </c>
      <c r="C29" s="45" t="n">
        <f aca="false">C27-C28</f>
        <v>130000</v>
      </c>
      <c r="D29" s="45" t="n">
        <f aca="false">D27-D28</f>
        <v>137600</v>
      </c>
      <c r="E29" s="45" t="n">
        <f aca="false">E27-E28</f>
        <v>145504</v>
      </c>
      <c r="F29" s="45" t="n">
        <f aca="false">F27-F28</f>
        <v>149614.08</v>
      </c>
      <c r="G29" s="45" t="n">
        <f aca="false">G27-G28</f>
        <v>153806.3616</v>
      </c>
      <c r="H29" s="45" t="n">
        <f aca="false">H27-H28</f>
        <v>156882.488832</v>
      </c>
      <c r="I29" s="45" t="n">
        <f aca="false">I27-I28</f>
        <v>160020.13860864</v>
      </c>
      <c r="J29" s="45" t="n">
        <f aca="false">J27-J28</f>
        <v>163220.541380813</v>
      </c>
      <c r="K29" s="45" t="n">
        <f aca="false">K27-K28</f>
        <v>0</v>
      </c>
      <c r="L29" s="45" t="n">
        <f aca="false">L27-L28</f>
        <v>0</v>
      </c>
      <c r="M29" s="45" t="n">
        <f aca="false">M27-M28</f>
        <v>0</v>
      </c>
      <c r="N29" s="45" t="n">
        <f aca="false">N27-N28</f>
        <v>0</v>
      </c>
      <c r="O29" s="45" t="n">
        <f aca="false">O27-O28</f>
        <v>0</v>
      </c>
      <c r="P29" s="45" t="n">
        <f aca="false">P27-P28</f>
        <v>0</v>
      </c>
      <c r="Q29" s="45" t="n">
        <f aca="false">Q27-Q28</f>
        <v>0</v>
      </c>
      <c r="R29" s="45" t="n">
        <f aca="false">R27-R28</f>
        <v>0</v>
      </c>
      <c r="S29" s="45" t="n">
        <f aca="false">S27-S28</f>
        <v>0</v>
      </c>
      <c r="T29" s="45" t="n">
        <f aca="false">T27-T28</f>
        <v>0</v>
      </c>
      <c r="U29" s="45" t="n">
        <f aca="false">U27-U28</f>
        <v>0</v>
      </c>
      <c r="V29" s="45" t="n">
        <f aca="false">V27-V28</f>
        <v>0</v>
      </c>
      <c r="W29" s="45" t="n">
        <f aca="false">W27-W28</f>
        <v>0</v>
      </c>
      <c r="X29" s="45" t="n">
        <f aca="false">X27-X28</f>
        <v>0</v>
      </c>
      <c r="Y29" s="45" t="n">
        <f aca="false">Y27-Y28</f>
        <v>0</v>
      </c>
      <c r="Z29" s="45" t="n">
        <f aca="false">Z27-Z28</f>
        <v>0</v>
      </c>
      <c r="AA29" s="45" t="n">
        <f aca="false">AA27-AA28</f>
        <v>0</v>
      </c>
      <c r="AB29" s="45" t="n">
        <f aca="false">AB27-AB28</f>
        <v>0</v>
      </c>
      <c r="AC29" s="45" t="n">
        <f aca="false">AC27-AC28</f>
        <v>0</v>
      </c>
      <c r="AD29" s="45" t="n">
        <f aca="false">AD27-AD28</f>
        <v>0</v>
      </c>
      <c r="AE29" s="45" t="n">
        <f aca="false">AE27-AE28</f>
        <v>0</v>
      </c>
      <c r="AF29" s="45" t="n">
        <f aca="false">AF27-AF28</f>
        <v>0</v>
      </c>
    </row>
    <row r="30" customFormat="false" ht="15" hidden="false" customHeight="true" outlineLevel="0" collapsed="false">
      <c r="B30" s="49" t="s">
        <v>446</v>
      </c>
      <c r="C30" s="45" t="n">
        <f aca="false">MAX(0,Tax_Bands!C$7-MAX(0,C29-Tax_Bands!C$8)/2)</f>
        <v>0</v>
      </c>
      <c r="D30" s="45" t="n">
        <f aca="false">MAX(0,Tax_Bands!D$7-MAX(0,D29-Tax_Bands!D$8)/2)</f>
        <v>0</v>
      </c>
      <c r="E30" s="45" t="n">
        <f aca="false">MAX(0,Tax_Bands!E$7-MAX(0,E29-Tax_Bands!E$8)/2)</f>
        <v>0</v>
      </c>
      <c r="F30" s="45" t="n">
        <f aca="false">MAX(0,Tax_Bands!F$7-MAX(0,F29-Tax_Bands!F$8)/2)</f>
        <v>0</v>
      </c>
      <c r="G30" s="45" t="n">
        <f aca="false">MAX(0,Tax_Bands!G$7-MAX(0,G29-Tax_Bands!G$8)/2)</f>
        <v>0</v>
      </c>
      <c r="H30" s="45" t="n">
        <f aca="false">MAX(0,Tax_Bands!H$7-MAX(0,H29-Tax_Bands!H$8)/2)</f>
        <v>0</v>
      </c>
      <c r="I30" s="45" t="n">
        <f aca="false">MAX(0,Tax_Bands!I$7-MAX(0,I29-Tax_Bands!I$8)/2)</f>
        <v>0</v>
      </c>
      <c r="J30" s="45" t="n">
        <f aca="false">MAX(0,Tax_Bands!J$7-MAX(0,J29-Tax_Bands!J$8)/2)</f>
        <v>0</v>
      </c>
      <c r="K30" s="45" t="n">
        <f aca="false">MAX(0,Tax_Bands!K$7-MAX(0,K29-Tax_Bands!K$8)/2)</f>
        <v>13606.1722512</v>
      </c>
      <c r="L30" s="45" t="n">
        <f aca="false">MAX(0,Tax_Bands!L$7-MAX(0,L29-Tax_Bands!L$8)/2)</f>
        <v>13878.295696224</v>
      </c>
      <c r="M30" s="45" t="n">
        <f aca="false">MAX(0,Tax_Bands!M$7-MAX(0,M29-Tax_Bands!M$8)/2)</f>
        <v>14155.8616101485</v>
      </c>
      <c r="N30" s="45" t="n">
        <f aca="false">MAX(0,Tax_Bands!N$7-MAX(0,N29-Tax_Bands!N$8)/2)</f>
        <v>14438.9788423515</v>
      </c>
      <c r="O30" s="45" t="n">
        <f aca="false">MAX(0,Tax_Bands!O$7-MAX(0,O29-Tax_Bands!O$8)/2)</f>
        <v>14727.7584191985</v>
      </c>
      <c r="P30" s="45" t="n">
        <f aca="false">MAX(0,Tax_Bands!P$7-MAX(0,P29-Tax_Bands!P$8)/2)</f>
        <v>15022.3135875825</v>
      </c>
      <c r="Q30" s="45" t="n">
        <f aca="false">MAX(0,Tax_Bands!Q$7-MAX(0,Q29-Tax_Bands!Q$8)/2)</f>
        <v>15322.7598593341</v>
      </c>
      <c r="R30" s="45" t="n">
        <f aca="false">MAX(0,Tax_Bands!R$7-MAX(0,R29-Tax_Bands!R$8)/2)</f>
        <v>15629.2150565208</v>
      </c>
      <c r="S30" s="45" t="n">
        <f aca="false">MAX(0,Tax_Bands!S$7-MAX(0,S29-Tax_Bands!S$8)/2)</f>
        <v>15941.7993576512</v>
      </c>
      <c r="T30" s="45" t="n">
        <f aca="false">MAX(0,Tax_Bands!T$7-MAX(0,T29-Tax_Bands!T$8)/2)</f>
        <v>16260.6353448042</v>
      </c>
      <c r="U30" s="45" t="n">
        <f aca="false">MAX(0,Tax_Bands!U$7-MAX(0,U29-Tax_Bands!U$8)/2)</f>
        <v>16585.8480517003</v>
      </c>
      <c r="V30" s="45" t="n">
        <f aca="false">MAX(0,Tax_Bands!V$7-MAX(0,V29-Tax_Bands!V$8)/2)</f>
        <v>16917.5650127343</v>
      </c>
      <c r="W30" s="45" t="n">
        <f aca="false">MAX(0,Tax_Bands!W$7-MAX(0,W29-Tax_Bands!W$8)/2)</f>
        <v>17255.916312989</v>
      </c>
      <c r="X30" s="45" t="n">
        <f aca="false">MAX(0,Tax_Bands!X$7-MAX(0,X29-Tax_Bands!X$8)/2)</f>
        <v>17601.0346392488</v>
      </c>
      <c r="Y30" s="45" t="n">
        <f aca="false">MAX(0,Tax_Bands!Y$7-MAX(0,Y29-Tax_Bands!Y$8)/2)</f>
        <v>17953.0553320338</v>
      </c>
      <c r="Z30" s="45" t="n">
        <f aca="false">MAX(0,Tax_Bands!Z$7-MAX(0,Z29-Tax_Bands!Z$8)/2)</f>
        <v>18312.1164386744</v>
      </c>
      <c r="AA30" s="45" t="n">
        <f aca="false">MAX(0,Tax_Bands!AA$7-MAX(0,AA29-Tax_Bands!AA$8)/2)</f>
        <v>18678.3587674479</v>
      </c>
      <c r="AB30" s="45" t="n">
        <f aca="false">MAX(0,Tax_Bands!AB$7-MAX(0,AB29-Tax_Bands!AB$8)/2)</f>
        <v>19051.9259427969</v>
      </c>
      <c r="AC30" s="45" t="n">
        <f aca="false">MAX(0,Tax_Bands!AC$7-MAX(0,AC29-Tax_Bands!AC$8)/2)</f>
        <v>19432.9644616528</v>
      </c>
      <c r="AD30" s="45" t="n">
        <f aca="false">MAX(0,Tax_Bands!AD$7-MAX(0,AD29-Tax_Bands!AD$8)/2)</f>
        <v>19821.6237508859</v>
      </c>
      <c r="AE30" s="45" t="n">
        <f aca="false">MAX(0,Tax_Bands!AE$7-MAX(0,AE29-Tax_Bands!AE$8)/2)</f>
        <v>20218.0562259036</v>
      </c>
      <c r="AF30" s="45" t="n">
        <f aca="false">MAX(0,Tax_Bands!AF$7-MAX(0,AF29-Tax_Bands!AF$8)/2)</f>
        <v>20622.4173504217</v>
      </c>
    </row>
    <row r="31" customFormat="false" ht="15" hidden="false" customHeight="true" outlineLevel="0" collapsed="false">
      <c r="B31" s="49" t="s">
        <v>447</v>
      </c>
      <c r="C31" s="45" t="n">
        <f aca="false">MAX(0,C27-C30)</f>
        <v>190000</v>
      </c>
      <c r="D31" s="45" t="n">
        <f aca="false">MAX(0,D27-D30)</f>
        <v>197600</v>
      </c>
      <c r="E31" s="45" t="n">
        <f aca="false">MAX(0,E27-E30)</f>
        <v>205504</v>
      </c>
      <c r="F31" s="45" t="n">
        <f aca="false">MAX(0,F27-F30)</f>
        <v>209614.08</v>
      </c>
      <c r="G31" s="45" t="n">
        <f aca="false">MAX(0,G27-G30)</f>
        <v>213806.3616</v>
      </c>
      <c r="H31" s="45" t="n">
        <f aca="false">MAX(0,H27-H30)</f>
        <v>218082.488832</v>
      </c>
      <c r="I31" s="45" t="n">
        <f aca="false">MAX(0,I27-I30)</f>
        <v>222444.13860864</v>
      </c>
      <c r="J31" s="45" t="n">
        <f aca="false">MAX(0,J27-J30)</f>
        <v>226893.021380813</v>
      </c>
      <c r="K31" s="45" t="n">
        <f aca="false">MAX(0,K27-K30)</f>
        <v>0</v>
      </c>
      <c r="L31" s="45" t="n">
        <f aca="false">MAX(0,L27-L30)</f>
        <v>0</v>
      </c>
      <c r="M31" s="45" t="n">
        <f aca="false">MAX(0,M27-M30)</f>
        <v>0</v>
      </c>
      <c r="N31" s="45" t="n">
        <f aca="false">MAX(0,N27-N30)</f>
        <v>0</v>
      </c>
      <c r="O31" s="45" t="n">
        <f aca="false">MAX(0,O27-O30)</f>
        <v>0</v>
      </c>
      <c r="P31" s="45" t="n">
        <f aca="false">MAX(0,P27-P30)</f>
        <v>0</v>
      </c>
      <c r="Q31" s="45" t="n">
        <f aca="false">MAX(0,Q27-Q30)</f>
        <v>0</v>
      </c>
      <c r="R31" s="45" t="n">
        <f aca="false">MAX(0,R27-R30)</f>
        <v>0</v>
      </c>
      <c r="S31" s="45" t="n">
        <f aca="false">MAX(0,S27-S30)</f>
        <v>0</v>
      </c>
      <c r="T31" s="45" t="n">
        <f aca="false">MAX(0,T27-T30)</f>
        <v>0</v>
      </c>
      <c r="U31" s="45" t="n">
        <f aca="false">MAX(0,U27-U30)</f>
        <v>0</v>
      </c>
      <c r="V31" s="45" t="n">
        <f aca="false">MAX(0,V27-V30)</f>
        <v>0</v>
      </c>
      <c r="W31" s="45" t="n">
        <f aca="false">MAX(0,W27-W30)</f>
        <v>0</v>
      </c>
      <c r="X31" s="45" t="n">
        <f aca="false">MAX(0,X27-X30)</f>
        <v>0</v>
      </c>
      <c r="Y31" s="45" t="n">
        <f aca="false">MAX(0,Y27-Y30)</f>
        <v>0</v>
      </c>
      <c r="Z31" s="45" t="n">
        <f aca="false">MAX(0,Z27-Z30)</f>
        <v>0</v>
      </c>
      <c r="AA31" s="45" t="n">
        <f aca="false">MAX(0,AA27-AA30)</f>
        <v>0</v>
      </c>
      <c r="AB31" s="45" t="n">
        <f aca="false">MAX(0,AB27-AB30)</f>
        <v>0</v>
      </c>
      <c r="AC31" s="45" t="n">
        <f aca="false">MAX(0,AC27-AC30)</f>
        <v>0</v>
      </c>
      <c r="AD31" s="45" t="n">
        <f aca="false">MAX(0,AD27-AD30)</f>
        <v>0</v>
      </c>
      <c r="AE31" s="45" t="n">
        <f aca="false">MAX(0,AE27-AE30)</f>
        <v>0</v>
      </c>
      <c r="AF31" s="45" t="n">
        <f aca="false">MAX(0,AF27-AF30)</f>
        <v>0</v>
      </c>
    </row>
    <row r="32" customFormat="false" ht="15" hidden="false" customHeight="true" outlineLevel="0" collapsed="false">
      <c r="B32" s="49" t="s">
        <v>448</v>
      </c>
      <c r="C32" s="45" t="n">
        <f aca="false">Tax_Bands!C$18*MIN(C31,Tax_Bands!C$9+C28)+Tax_Bands!C$19*MAX(0,MIN(C31,Tax_Bands!C$10+C28)-(Tax_Bands!C$9+C28))+Tax_Bands!C$20*MAX(0,C31-(Tax_Bands!C$10+C28))</f>
        <v>56703</v>
      </c>
      <c r="D32" s="45" t="n">
        <f aca="false">Tax_Bands!D$18*MIN(D31,Tax_Bands!D$9+D28)+Tax_Bands!D$19*MAX(0,MIN(D31,Tax_Bands!D$10+D28)-(Tax_Bands!D$9+D28))+Tax_Bands!D$20*MAX(0,D31-(Tax_Bands!D$10+D28))</f>
        <v>60123</v>
      </c>
      <c r="E32" s="45" t="n">
        <f aca="false">Tax_Bands!E$18*MIN(E31,Tax_Bands!E$9+E28)+Tax_Bands!E$19*MAX(0,MIN(E31,Tax_Bands!E$10+E28)-(Tax_Bands!E$9+E28))+Tax_Bands!E$20*MAX(0,E31-(Tax_Bands!E$10+E28))</f>
        <v>63679.8</v>
      </c>
      <c r="F32" s="45" t="n">
        <f aca="false">Tax_Bands!F$18*MIN(F31,Tax_Bands!F$9+F28)+Tax_Bands!F$19*MAX(0,MIN(F31,Tax_Bands!F$10+F28)-(Tax_Bands!F$9+F28))+Tax_Bands!F$20*MAX(0,F31-(Tax_Bands!F$10+F28))</f>
        <v>65529.336</v>
      </c>
      <c r="G32" s="45" t="n">
        <f aca="false">Tax_Bands!G$18*MIN(G31,Tax_Bands!G$9+G28)+Tax_Bands!G$19*MAX(0,MIN(G31,Tax_Bands!G$10+G28)-(Tax_Bands!G$9+G28))+Tax_Bands!G$20*MAX(0,G31-(Tax_Bands!G$10+G28))</f>
        <v>67415.86272</v>
      </c>
      <c r="H32" s="45" t="n">
        <f aca="false">Tax_Bands!H$18*MIN(H31,Tax_Bands!H$9+H28)+Tax_Bands!H$19*MAX(0,MIN(H31,Tax_Bands!H$10+H28)-(Tax_Bands!H$9+H28))+Tax_Bands!H$20*MAX(0,H31-(Tax_Bands!H$10+H28))</f>
        <v>68764.1799744</v>
      </c>
      <c r="I32" s="45" t="n">
        <f aca="false">Tax_Bands!I$18*MIN(I31,Tax_Bands!I$9+I28)+Tax_Bands!I$19*MAX(0,MIN(I31,Tax_Bands!I$10+I28)-(Tax_Bands!I$9+I28))+Tax_Bands!I$20*MAX(0,I31-(Tax_Bands!I$10+I28))</f>
        <v>70139.4635738881</v>
      </c>
      <c r="J32" s="45" t="n">
        <f aca="false">Tax_Bands!J$18*MIN(J31,Tax_Bands!J$9+J28)+Tax_Bands!J$19*MAX(0,MIN(J31,Tax_Bands!J$10+J28)-(Tax_Bands!J$9+J28))+Tax_Bands!J$20*MAX(0,J31-(Tax_Bands!J$10+J28))</f>
        <v>71542.2528453658</v>
      </c>
      <c r="K32" s="45" t="n">
        <f aca="false">Tax_Bands!K$18*MIN(K31,Tax_Bands!K$9+K28)+Tax_Bands!K$19*MAX(0,MIN(K31,Tax_Bands!K$10+K28)-(Tax_Bands!K$9+K28))+Tax_Bands!K$20*MAX(0,K31-(Tax_Bands!K$10+K28))</f>
        <v>0</v>
      </c>
      <c r="L32" s="45" t="n">
        <f aca="false">Tax_Bands!L$18*MIN(L31,Tax_Bands!L$9+L28)+Tax_Bands!L$19*MAX(0,MIN(L31,Tax_Bands!L$10+L28)-(Tax_Bands!L$9+L28))+Tax_Bands!L$20*MAX(0,L31-(Tax_Bands!L$10+L28))</f>
        <v>0</v>
      </c>
      <c r="M32" s="45" t="n">
        <f aca="false">Tax_Bands!M$18*MIN(M31,Tax_Bands!M$9+M28)+Tax_Bands!M$19*MAX(0,MIN(M31,Tax_Bands!M$10+M28)-(Tax_Bands!M$9+M28))+Tax_Bands!M$20*MAX(0,M31-(Tax_Bands!M$10+M28))</f>
        <v>0</v>
      </c>
      <c r="N32" s="45" t="n">
        <f aca="false">Tax_Bands!N$18*MIN(N31,Tax_Bands!N$9+N28)+Tax_Bands!N$19*MAX(0,MIN(N31,Tax_Bands!N$10+N28)-(Tax_Bands!N$9+N28))+Tax_Bands!N$20*MAX(0,N31-(Tax_Bands!N$10+N28))</f>
        <v>0</v>
      </c>
      <c r="O32" s="45" t="n">
        <f aca="false">Tax_Bands!O$18*MIN(O31,Tax_Bands!O$9+O28)+Tax_Bands!O$19*MAX(0,MIN(O31,Tax_Bands!O$10+O28)-(Tax_Bands!O$9+O28))+Tax_Bands!O$20*MAX(0,O31-(Tax_Bands!O$10+O28))</f>
        <v>0</v>
      </c>
      <c r="P32" s="45" t="n">
        <f aca="false">Tax_Bands!P$18*MIN(P31,Tax_Bands!P$9+P28)+Tax_Bands!P$19*MAX(0,MIN(P31,Tax_Bands!P$10+P28)-(Tax_Bands!P$9+P28))+Tax_Bands!P$20*MAX(0,P31-(Tax_Bands!P$10+P28))</f>
        <v>0</v>
      </c>
      <c r="Q32" s="45" t="n">
        <f aca="false">Tax_Bands!Q$18*MIN(Q31,Tax_Bands!Q$9+Q28)+Tax_Bands!Q$19*MAX(0,MIN(Q31,Tax_Bands!Q$10+Q28)-(Tax_Bands!Q$9+Q28))+Tax_Bands!Q$20*MAX(0,Q31-(Tax_Bands!Q$10+Q28))</f>
        <v>0</v>
      </c>
      <c r="R32" s="45" t="n">
        <f aca="false">Tax_Bands!R$18*MIN(R31,Tax_Bands!R$9+R28)+Tax_Bands!R$19*MAX(0,MIN(R31,Tax_Bands!R$10+R28)-(Tax_Bands!R$9+R28))+Tax_Bands!R$20*MAX(0,R31-(Tax_Bands!R$10+R28))</f>
        <v>0</v>
      </c>
      <c r="S32" s="45" t="n">
        <f aca="false">Tax_Bands!S$18*MIN(S31,Tax_Bands!S$9+S28)+Tax_Bands!S$19*MAX(0,MIN(S31,Tax_Bands!S$10+S28)-(Tax_Bands!S$9+S28))+Tax_Bands!S$20*MAX(0,S31-(Tax_Bands!S$10+S28))</f>
        <v>0</v>
      </c>
      <c r="T32" s="45" t="n">
        <f aca="false">Tax_Bands!T$18*MIN(T31,Tax_Bands!T$9+T28)+Tax_Bands!T$19*MAX(0,MIN(T31,Tax_Bands!T$10+T28)-(Tax_Bands!T$9+T28))+Tax_Bands!T$20*MAX(0,T31-(Tax_Bands!T$10+T28))</f>
        <v>0</v>
      </c>
      <c r="U32" s="45" t="n">
        <f aca="false">Tax_Bands!U$18*MIN(U31,Tax_Bands!U$9+U28)+Tax_Bands!U$19*MAX(0,MIN(U31,Tax_Bands!U$10+U28)-(Tax_Bands!U$9+U28))+Tax_Bands!U$20*MAX(0,U31-(Tax_Bands!U$10+U28))</f>
        <v>0</v>
      </c>
      <c r="V32" s="45" t="n">
        <f aca="false">Tax_Bands!V$18*MIN(V31,Tax_Bands!V$9+V28)+Tax_Bands!V$19*MAX(0,MIN(V31,Tax_Bands!V$10+V28)-(Tax_Bands!V$9+V28))+Tax_Bands!V$20*MAX(0,V31-(Tax_Bands!V$10+V28))</f>
        <v>0</v>
      </c>
      <c r="W32" s="45" t="n">
        <f aca="false">Tax_Bands!W$18*MIN(W31,Tax_Bands!W$9+W28)+Tax_Bands!W$19*MAX(0,MIN(W31,Tax_Bands!W$10+W28)-(Tax_Bands!W$9+W28))+Tax_Bands!W$20*MAX(0,W31-(Tax_Bands!W$10+W28))</f>
        <v>0</v>
      </c>
      <c r="X32" s="45" t="n">
        <f aca="false">Tax_Bands!X$18*MIN(X31,Tax_Bands!X$9+X28)+Tax_Bands!X$19*MAX(0,MIN(X31,Tax_Bands!X$10+X28)-(Tax_Bands!X$9+X28))+Tax_Bands!X$20*MAX(0,X31-(Tax_Bands!X$10+X28))</f>
        <v>0</v>
      </c>
      <c r="Y32" s="45" t="n">
        <f aca="false">Tax_Bands!Y$18*MIN(Y31,Tax_Bands!Y$9+Y28)+Tax_Bands!Y$19*MAX(0,MIN(Y31,Tax_Bands!Y$10+Y28)-(Tax_Bands!Y$9+Y28))+Tax_Bands!Y$20*MAX(0,Y31-(Tax_Bands!Y$10+Y28))</f>
        <v>0</v>
      </c>
      <c r="Z32" s="45" t="n">
        <f aca="false">Tax_Bands!Z$18*MIN(Z31,Tax_Bands!Z$9+Z28)+Tax_Bands!Z$19*MAX(0,MIN(Z31,Tax_Bands!Z$10+Z28)-(Tax_Bands!Z$9+Z28))+Tax_Bands!Z$20*MAX(0,Z31-(Tax_Bands!Z$10+Z28))</f>
        <v>0</v>
      </c>
      <c r="AA32" s="45" t="n">
        <f aca="false">Tax_Bands!AA$18*MIN(AA31,Tax_Bands!AA$9+AA28)+Tax_Bands!AA$19*MAX(0,MIN(AA31,Tax_Bands!AA$10+AA28)-(Tax_Bands!AA$9+AA28))+Tax_Bands!AA$20*MAX(0,AA31-(Tax_Bands!AA$10+AA28))</f>
        <v>0</v>
      </c>
      <c r="AB32" s="45" t="n">
        <f aca="false">Tax_Bands!AB$18*MIN(AB31,Tax_Bands!AB$9+AB28)+Tax_Bands!AB$19*MAX(0,MIN(AB31,Tax_Bands!AB$10+AB28)-(Tax_Bands!AB$9+AB28))+Tax_Bands!AB$20*MAX(0,AB31-(Tax_Bands!AB$10+AB28))</f>
        <v>0</v>
      </c>
      <c r="AC32" s="45" t="n">
        <f aca="false">Tax_Bands!AC$18*MIN(AC31,Tax_Bands!AC$9+AC28)+Tax_Bands!AC$19*MAX(0,MIN(AC31,Tax_Bands!AC$10+AC28)-(Tax_Bands!AC$9+AC28))+Tax_Bands!AC$20*MAX(0,AC31-(Tax_Bands!AC$10+AC28))</f>
        <v>0</v>
      </c>
      <c r="AD32" s="45" t="n">
        <f aca="false">Tax_Bands!AD$18*MIN(AD31,Tax_Bands!AD$9+AD28)+Tax_Bands!AD$19*MAX(0,MIN(AD31,Tax_Bands!AD$10+AD28)-(Tax_Bands!AD$9+AD28))+Tax_Bands!AD$20*MAX(0,AD31-(Tax_Bands!AD$10+AD28))</f>
        <v>0</v>
      </c>
      <c r="AE32" s="45" t="n">
        <f aca="false">Tax_Bands!AE$18*MIN(AE31,Tax_Bands!AE$9+AE28)+Tax_Bands!AE$19*MAX(0,MIN(AE31,Tax_Bands!AE$10+AE28)-(Tax_Bands!AE$9+AE28))+Tax_Bands!AE$20*MAX(0,AE31-(Tax_Bands!AE$10+AE28))</f>
        <v>0</v>
      </c>
      <c r="AF32" s="45" t="n">
        <f aca="false">Tax_Bands!AF$18*MIN(AF31,Tax_Bands!AF$9+AF28)+Tax_Bands!AF$19*MAX(0,MIN(AF31,Tax_Bands!AF$10+AF28)-(Tax_Bands!AF$9+AF28))+Tax_Bands!AF$20*MAX(0,AF31-(Tax_Bands!AF$10+AF28))</f>
        <v>0</v>
      </c>
    </row>
    <row r="33" customFormat="false" ht="15" hidden="false" customHeight="true" outlineLevel="0" collapsed="false">
      <c r="B33" s="49" t="s">
        <v>449</v>
      </c>
      <c r="C33" s="45" t="n">
        <f aca="false">Tax_Bands!C$21*MAX(0,MIN(C27,Tax_Bands!C$12)-Tax_Bands!C$11)+Tax_Bands!C$22*MAX(0,C27-Tax_Bands!C$12)</f>
        <v>5810.6</v>
      </c>
      <c r="D33" s="45" t="n">
        <f aca="false">Tax_Bands!D$21*MAX(0,MIN(D27,Tax_Bands!D$12)-Tax_Bands!D$11)+Tax_Bands!D$22*MAX(0,D27-Tax_Bands!D$12)</f>
        <v>5962.6</v>
      </c>
      <c r="E33" s="45" t="n">
        <f aca="false">Tax_Bands!E$21*MAX(0,MIN(E27,Tax_Bands!E$12)-Tax_Bands!E$11)+Tax_Bands!E$22*MAX(0,E27-Tax_Bands!E$12)</f>
        <v>6120.68</v>
      </c>
      <c r="F33" s="45" t="n">
        <f aca="false">Tax_Bands!F$21*MAX(0,MIN(F27,Tax_Bands!F$12)-Tax_Bands!F$11)+Tax_Bands!F$22*MAX(0,F27-Tax_Bands!F$12)</f>
        <v>6202.8816</v>
      </c>
      <c r="G33" s="45" t="n">
        <f aca="false">Tax_Bands!G$21*MAX(0,MIN(G27,Tax_Bands!G$12)-Tax_Bands!G$11)+Tax_Bands!G$22*MAX(0,G27-Tax_Bands!G$12)</f>
        <v>6286.727232</v>
      </c>
      <c r="H33" s="45" t="n">
        <f aca="false">Tax_Bands!H$21*MAX(0,MIN(H27,Tax_Bands!H$12)-Tax_Bands!H$11)+Tax_Bands!H$22*MAX(0,H27-Tax_Bands!H$12)</f>
        <v>6412.46177664</v>
      </c>
      <c r="I33" s="45" t="n">
        <f aca="false">Tax_Bands!I$21*MAX(0,MIN(I27,Tax_Bands!I$12)-Tax_Bands!I$11)+Tax_Bands!I$22*MAX(0,I27-Tax_Bands!I$12)</f>
        <v>6540.7110121728</v>
      </c>
      <c r="J33" s="45" t="n">
        <f aca="false">Tax_Bands!J$21*MAX(0,MIN(J27,Tax_Bands!J$12)-Tax_Bands!J$11)+Tax_Bands!J$22*MAX(0,J27-Tax_Bands!J$12)</f>
        <v>6671.52523241626</v>
      </c>
      <c r="K33" s="45" t="n">
        <f aca="false">Tax_Bands!K$21*MAX(0,MIN(K27,Tax_Bands!K$12)-Tax_Bands!K$11)+Tax_Bands!K$22*MAX(0,K27-Tax_Bands!K$12)</f>
        <v>0</v>
      </c>
      <c r="L33" s="45" t="n">
        <f aca="false">Tax_Bands!L$21*MAX(0,MIN(L27,Tax_Bands!L$12)-Tax_Bands!L$11)+Tax_Bands!L$22*MAX(0,L27-Tax_Bands!L$12)</f>
        <v>0</v>
      </c>
      <c r="M33" s="45" t="n">
        <f aca="false">Tax_Bands!M$21*MAX(0,MIN(M27,Tax_Bands!M$12)-Tax_Bands!M$11)+Tax_Bands!M$22*MAX(0,M27-Tax_Bands!M$12)</f>
        <v>0</v>
      </c>
      <c r="N33" s="45" t="n">
        <f aca="false">Tax_Bands!N$21*MAX(0,MIN(N27,Tax_Bands!N$12)-Tax_Bands!N$11)+Tax_Bands!N$22*MAX(0,N27-Tax_Bands!N$12)</f>
        <v>0</v>
      </c>
      <c r="O33" s="45" t="n">
        <f aca="false">Tax_Bands!O$21*MAX(0,MIN(O27,Tax_Bands!O$12)-Tax_Bands!O$11)+Tax_Bands!O$22*MAX(0,O27-Tax_Bands!O$12)</f>
        <v>0</v>
      </c>
      <c r="P33" s="45" t="n">
        <f aca="false">Tax_Bands!P$21*MAX(0,MIN(P27,Tax_Bands!P$12)-Tax_Bands!P$11)+Tax_Bands!P$22*MAX(0,P27-Tax_Bands!P$12)</f>
        <v>0</v>
      </c>
      <c r="Q33" s="45" t="n">
        <f aca="false">Tax_Bands!Q$21*MAX(0,MIN(Q27,Tax_Bands!Q$12)-Tax_Bands!Q$11)+Tax_Bands!Q$22*MAX(0,Q27-Tax_Bands!Q$12)</f>
        <v>0</v>
      </c>
      <c r="R33" s="45" t="n">
        <f aca="false">Tax_Bands!R$21*MAX(0,MIN(R27,Tax_Bands!R$12)-Tax_Bands!R$11)+Tax_Bands!R$22*MAX(0,R27-Tax_Bands!R$12)</f>
        <v>0</v>
      </c>
      <c r="S33" s="45" t="n">
        <f aca="false">Tax_Bands!S$21*MAX(0,MIN(S27,Tax_Bands!S$12)-Tax_Bands!S$11)+Tax_Bands!S$22*MAX(0,S27-Tax_Bands!S$12)</f>
        <v>0</v>
      </c>
      <c r="T33" s="45" t="n">
        <f aca="false">Tax_Bands!T$21*MAX(0,MIN(T27,Tax_Bands!T$12)-Tax_Bands!T$11)+Tax_Bands!T$22*MAX(0,T27-Tax_Bands!T$12)</f>
        <v>0</v>
      </c>
      <c r="U33" s="45" t="n">
        <f aca="false">Tax_Bands!U$21*MAX(0,MIN(U27,Tax_Bands!U$12)-Tax_Bands!U$11)+Tax_Bands!U$22*MAX(0,U27-Tax_Bands!U$12)</f>
        <v>0</v>
      </c>
      <c r="V33" s="45" t="n">
        <f aca="false">Tax_Bands!V$21*MAX(0,MIN(V27,Tax_Bands!V$12)-Tax_Bands!V$11)+Tax_Bands!V$22*MAX(0,V27-Tax_Bands!V$12)</f>
        <v>0</v>
      </c>
      <c r="W33" s="45" t="n">
        <f aca="false">Tax_Bands!W$21*MAX(0,MIN(W27,Tax_Bands!W$12)-Tax_Bands!W$11)+Tax_Bands!W$22*MAX(0,W27-Tax_Bands!W$12)</f>
        <v>0</v>
      </c>
      <c r="X33" s="45" t="n">
        <f aca="false">Tax_Bands!X$21*MAX(0,MIN(X27,Tax_Bands!X$12)-Tax_Bands!X$11)+Tax_Bands!X$22*MAX(0,X27-Tax_Bands!X$12)</f>
        <v>0</v>
      </c>
      <c r="Y33" s="45" t="n">
        <f aca="false">Tax_Bands!Y$21*MAX(0,MIN(Y27,Tax_Bands!Y$12)-Tax_Bands!Y$11)+Tax_Bands!Y$22*MAX(0,Y27-Tax_Bands!Y$12)</f>
        <v>0</v>
      </c>
      <c r="Z33" s="45" t="n">
        <f aca="false">Tax_Bands!Z$21*MAX(0,MIN(Z27,Tax_Bands!Z$12)-Tax_Bands!Z$11)+Tax_Bands!Z$22*MAX(0,Z27-Tax_Bands!Z$12)</f>
        <v>0</v>
      </c>
      <c r="AA33" s="45" t="n">
        <f aca="false">Tax_Bands!AA$21*MAX(0,MIN(AA27,Tax_Bands!AA$12)-Tax_Bands!AA$11)+Tax_Bands!AA$22*MAX(0,AA27-Tax_Bands!AA$12)</f>
        <v>0</v>
      </c>
      <c r="AB33" s="45" t="n">
        <f aca="false">Tax_Bands!AB$21*MAX(0,MIN(AB27,Tax_Bands!AB$12)-Tax_Bands!AB$11)+Tax_Bands!AB$22*MAX(0,AB27-Tax_Bands!AB$12)</f>
        <v>0</v>
      </c>
      <c r="AC33" s="45" t="n">
        <f aca="false">Tax_Bands!AC$21*MAX(0,MIN(AC27,Tax_Bands!AC$12)-Tax_Bands!AC$11)+Tax_Bands!AC$22*MAX(0,AC27-Tax_Bands!AC$12)</f>
        <v>0</v>
      </c>
      <c r="AD33" s="45" t="n">
        <f aca="false">Tax_Bands!AD$21*MAX(0,MIN(AD27,Tax_Bands!AD$12)-Tax_Bands!AD$11)+Tax_Bands!AD$22*MAX(0,AD27-Tax_Bands!AD$12)</f>
        <v>0</v>
      </c>
      <c r="AE33" s="45" t="n">
        <f aca="false">Tax_Bands!AE$21*MAX(0,MIN(AE27,Tax_Bands!AE$12)-Tax_Bands!AE$11)+Tax_Bands!AE$22*MAX(0,AE27-Tax_Bands!AE$12)</f>
        <v>0</v>
      </c>
      <c r="AF33" s="45" t="n">
        <f aca="false">Tax_Bands!AF$21*MAX(0,MIN(AF27,Tax_Bands!AF$12)-Tax_Bands!AF$11)+Tax_Bands!AF$22*MAX(0,AF27-Tax_Bands!AF$12)</f>
        <v>0</v>
      </c>
    </row>
    <row r="34" customFormat="false" ht="15" hidden="false" customHeight="true" outlineLevel="0" collapsed="false">
      <c r="B34" s="24" t="s">
        <v>450</v>
      </c>
      <c r="C34" s="50" t="n">
        <f aca="false">C27-C32-C33</f>
        <v>127486.4</v>
      </c>
      <c r="D34" s="50" t="n">
        <f aca="false">D27-D32-D33</f>
        <v>131514.4</v>
      </c>
      <c r="E34" s="50" t="n">
        <f aca="false">E27-E32-E33</f>
        <v>135703.52</v>
      </c>
      <c r="F34" s="50" t="n">
        <f aca="false">F27-F32-F33</f>
        <v>137881.8624</v>
      </c>
      <c r="G34" s="50" t="n">
        <f aca="false">G27-G32-G33</f>
        <v>140103.771648</v>
      </c>
      <c r="H34" s="50" t="n">
        <f aca="false">H27-H32-H33</f>
        <v>142905.84708096</v>
      </c>
      <c r="I34" s="50" t="n">
        <f aca="false">I27-I32-I33</f>
        <v>145763.964022579</v>
      </c>
      <c r="J34" s="50" t="n">
        <f aca="false">J27-J32-J33</f>
        <v>148679.243303031</v>
      </c>
      <c r="K34" s="50" t="n">
        <f aca="false">K27-K32-K33</f>
        <v>0</v>
      </c>
      <c r="L34" s="50" t="n">
        <f aca="false">L27-L32-L33</f>
        <v>0</v>
      </c>
      <c r="M34" s="50" t="n">
        <f aca="false">M27-M32-M33</f>
        <v>0</v>
      </c>
      <c r="N34" s="50" t="n">
        <f aca="false">N27-N32-N33</f>
        <v>0</v>
      </c>
      <c r="O34" s="50" t="n">
        <f aca="false">O27-O32-O33</f>
        <v>0</v>
      </c>
      <c r="P34" s="50" t="n">
        <f aca="false">P27-P32-P33</f>
        <v>0</v>
      </c>
      <c r="Q34" s="50" t="n">
        <f aca="false">Q27-Q32-Q33</f>
        <v>0</v>
      </c>
      <c r="R34" s="50" t="n">
        <f aca="false">R27-R32-R33</f>
        <v>0</v>
      </c>
      <c r="S34" s="50" t="n">
        <f aca="false">S27-S32-S33</f>
        <v>0</v>
      </c>
      <c r="T34" s="50" t="n">
        <f aca="false">T27-T32-T33</f>
        <v>0</v>
      </c>
      <c r="U34" s="50" t="n">
        <f aca="false">U27-U32-U33</f>
        <v>0</v>
      </c>
      <c r="V34" s="50" t="n">
        <f aca="false">V27-V32-V33</f>
        <v>0</v>
      </c>
      <c r="W34" s="50" t="n">
        <f aca="false">W27-W32-W33</f>
        <v>0</v>
      </c>
      <c r="X34" s="50" t="n">
        <f aca="false">X27-X32-X33</f>
        <v>0</v>
      </c>
      <c r="Y34" s="50" t="n">
        <f aca="false">Y27-Y32-Y33</f>
        <v>0</v>
      </c>
      <c r="Z34" s="50" t="n">
        <f aca="false">Z27-Z32-Z33</f>
        <v>0</v>
      </c>
      <c r="AA34" s="50" t="n">
        <f aca="false">AA27-AA32-AA33</f>
        <v>0</v>
      </c>
      <c r="AB34" s="50" t="n">
        <f aca="false">AB27-AB32-AB33</f>
        <v>0</v>
      </c>
      <c r="AC34" s="50" t="n">
        <f aca="false">AC27-AC32-AC33</f>
        <v>0</v>
      </c>
      <c r="AD34" s="50" t="n">
        <f aca="false">AD27-AD32-AD33</f>
        <v>0</v>
      </c>
      <c r="AE34" s="50" t="n">
        <f aca="false">AE27-AE32-AE33</f>
        <v>0</v>
      </c>
      <c r="AF34" s="50" t="n">
        <f aca="false">AF27-AF32-AF33</f>
        <v>0</v>
      </c>
    </row>
    <row r="35" customFormat="false" ht="15" hidden="false" customHeight="true" outlineLevel="0" collapsed="false">
      <c r="B35" s="26" t="s">
        <v>451</v>
      </c>
      <c r="C35" s="45" t="n">
        <f aca="false">IF(C12=1,MIN(Tax_Bands!C$16,MAX(0,C34-C28)),0)</f>
        <v>20000</v>
      </c>
      <c r="D35" s="45" t="n">
        <f aca="false">IF(D12=1,MIN(Tax_Bands!D$16,MAX(0,D34-D28)),0)</f>
        <v>20000</v>
      </c>
      <c r="E35" s="45" t="n">
        <f aca="false">IF(E12=1,MIN(Tax_Bands!E$16,MAX(0,E34-E28)),0)</f>
        <v>20000</v>
      </c>
      <c r="F35" s="45" t="n">
        <f aca="false">IF(F12=1,MIN(Tax_Bands!F$16,MAX(0,F34-F28)),0)</f>
        <v>20000</v>
      </c>
      <c r="G35" s="45" t="n">
        <f aca="false">IF(G12=1,MIN(Tax_Bands!G$16,MAX(0,G34-G28)),0)</f>
        <v>20000</v>
      </c>
      <c r="H35" s="45" t="n">
        <f aca="false">IF(H12=1,MIN(Tax_Bands!H$16,MAX(0,H34-H28)),0)</f>
        <v>20400</v>
      </c>
      <c r="I35" s="45" t="n">
        <f aca="false">IF(I12=1,MIN(Tax_Bands!I$16,MAX(0,I34-I28)),0)</f>
        <v>20808</v>
      </c>
      <c r="J35" s="45" t="n">
        <f aca="false">IF(J12=1,MIN(Tax_Bands!J$16,MAX(0,J34-J28)),0)</f>
        <v>21224.16</v>
      </c>
      <c r="K35" s="45" t="n">
        <f aca="false">IF(K12=1,MIN(Tax_Bands!K$16,MAX(0,K34-K28)),0)</f>
        <v>0</v>
      </c>
      <c r="L35" s="45" t="n">
        <f aca="false">IF(L12=1,MIN(Tax_Bands!L$16,MAX(0,L34-L28)),0)</f>
        <v>0</v>
      </c>
      <c r="M35" s="45" t="n">
        <f aca="false">IF(M12=1,MIN(Tax_Bands!M$16,MAX(0,M34-M28)),0)</f>
        <v>0</v>
      </c>
      <c r="N35" s="45" t="n">
        <f aca="false">IF(N12=1,MIN(Tax_Bands!N$16,MAX(0,N34-N28)),0)</f>
        <v>0</v>
      </c>
      <c r="O35" s="45" t="n">
        <f aca="false">IF(O12=1,MIN(Tax_Bands!O$16,MAX(0,O34-O28)),0)</f>
        <v>0</v>
      </c>
      <c r="P35" s="45" t="n">
        <f aca="false">IF(P12=1,MIN(Tax_Bands!P$16,MAX(0,P34-P28)),0)</f>
        <v>0</v>
      </c>
      <c r="Q35" s="45" t="n">
        <f aca="false">IF(Q12=1,MIN(Tax_Bands!Q$16,MAX(0,Q34-Q28)),0)</f>
        <v>0</v>
      </c>
      <c r="R35" s="45" t="n">
        <f aca="false">IF(R12=1,MIN(Tax_Bands!R$16,MAX(0,R34-R28)),0)</f>
        <v>0</v>
      </c>
      <c r="S35" s="45" t="n">
        <f aca="false">IF(S12=1,MIN(Tax_Bands!S$16,MAX(0,S34-S28)),0)</f>
        <v>0</v>
      </c>
      <c r="T35" s="45" t="n">
        <f aca="false">IF(T12=1,MIN(Tax_Bands!T$16,MAX(0,T34-T28)),0)</f>
        <v>0</v>
      </c>
      <c r="U35" s="45" t="n">
        <f aca="false">IF(U12=1,MIN(Tax_Bands!U$16,MAX(0,U34-U28)),0)</f>
        <v>0</v>
      </c>
      <c r="V35" s="45" t="n">
        <f aca="false">IF(V12=1,MIN(Tax_Bands!V$16,MAX(0,V34-V28)),0)</f>
        <v>0</v>
      </c>
      <c r="W35" s="45" t="n">
        <f aca="false">IF(W12=1,MIN(Tax_Bands!W$16,MAX(0,W34-W28)),0)</f>
        <v>0</v>
      </c>
      <c r="X35" s="45" t="n">
        <f aca="false">IF(X12=1,MIN(Tax_Bands!X$16,MAX(0,X34-X28)),0)</f>
        <v>0</v>
      </c>
      <c r="Y35" s="45" t="n">
        <f aca="false">IF(Y12=1,MIN(Tax_Bands!Y$16,MAX(0,Y34-Y28)),0)</f>
        <v>0</v>
      </c>
      <c r="Z35" s="45" t="n">
        <f aca="false">IF(Z12=1,MIN(Tax_Bands!Z$16,MAX(0,Z34-Z28)),0)</f>
        <v>0</v>
      </c>
      <c r="AA35" s="45" t="n">
        <f aca="false">IF(AA12=1,MIN(Tax_Bands!AA$16,MAX(0,AA34-AA28)),0)</f>
        <v>0</v>
      </c>
      <c r="AB35" s="45" t="n">
        <f aca="false">IF(AB12=1,MIN(Tax_Bands!AB$16,MAX(0,AB34-AB28)),0)</f>
        <v>0</v>
      </c>
      <c r="AC35" s="45" t="n">
        <f aca="false">IF(AC12=1,MIN(Tax_Bands!AC$16,MAX(0,AC34-AC28)),0)</f>
        <v>0</v>
      </c>
      <c r="AD35" s="45" t="n">
        <f aca="false">IF(AD12=1,MIN(Tax_Bands!AD$16,MAX(0,AD34-AD28)),0)</f>
        <v>0</v>
      </c>
      <c r="AE35" s="45" t="n">
        <f aca="false">IF(AE12=1,MIN(Tax_Bands!AE$16,MAX(0,AE34-AE28)),0)</f>
        <v>0</v>
      </c>
      <c r="AF35" s="45" t="n">
        <f aca="false">IF(AF12=1,MIN(Tax_Bands!AF$16,MAX(0,AF34-AF28)),0)</f>
        <v>0</v>
      </c>
    </row>
    <row r="36" customFormat="false" ht="15" hidden="false" customHeight="true" outlineLevel="0" collapsed="false">
      <c r="B36" s="24" t="s">
        <v>452</v>
      </c>
      <c r="C36" s="50" t="n">
        <f aca="false">C34-C28-C35</f>
        <v>47486.4</v>
      </c>
      <c r="D36" s="50" t="n">
        <f aca="false">D34-D28-D35</f>
        <v>51514.4</v>
      </c>
      <c r="E36" s="50" t="n">
        <f aca="false">E34-E28-E35</f>
        <v>55703.52</v>
      </c>
      <c r="F36" s="50" t="n">
        <f aca="false">F34-F28-F35</f>
        <v>57881.8624</v>
      </c>
      <c r="G36" s="50" t="n">
        <f aca="false">G34-G28-G35</f>
        <v>60103.771648</v>
      </c>
      <c r="H36" s="50" t="n">
        <f aca="false">H34-H28-H35</f>
        <v>61305.84708096</v>
      </c>
      <c r="I36" s="50" t="n">
        <f aca="false">I34-I28-I35</f>
        <v>62531.9640225793</v>
      </c>
      <c r="J36" s="50" t="n">
        <f aca="false">J34-J28-J35</f>
        <v>63782.6033030308</v>
      </c>
      <c r="K36" s="50" t="n">
        <f aca="false">K34-K28-K35</f>
        <v>0</v>
      </c>
      <c r="L36" s="50" t="n">
        <f aca="false">L34-L28-L35</f>
        <v>0</v>
      </c>
      <c r="M36" s="50" t="n">
        <f aca="false">M34-M28-M35</f>
        <v>0</v>
      </c>
      <c r="N36" s="50" t="n">
        <f aca="false">N34-N28-N35</f>
        <v>0</v>
      </c>
      <c r="O36" s="50" t="n">
        <f aca="false">O34-O28-O35</f>
        <v>0</v>
      </c>
      <c r="P36" s="50" t="n">
        <f aca="false">P34-P28-P35</f>
        <v>0</v>
      </c>
      <c r="Q36" s="50" t="n">
        <f aca="false">Q34-Q28-Q35</f>
        <v>0</v>
      </c>
      <c r="R36" s="50" t="n">
        <f aca="false">R34-R28-R35</f>
        <v>0</v>
      </c>
      <c r="S36" s="50" t="n">
        <f aca="false">S34-S28-S35</f>
        <v>0</v>
      </c>
      <c r="T36" s="50" t="n">
        <f aca="false">T34-T28-T35</f>
        <v>0</v>
      </c>
      <c r="U36" s="50" t="n">
        <f aca="false">U34-U28-U35</f>
        <v>0</v>
      </c>
      <c r="V36" s="50" t="n">
        <f aca="false">V34-V28-V35</f>
        <v>0</v>
      </c>
      <c r="W36" s="50" t="n">
        <f aca="false">W34-W28-W35</f>
        <v>0</v>
      </c>
      <c r="X36" s="50" t="n">
        <f aca="false">X34-X28-X35</f>
        <v>0</v>
      </c>
      <c r="Y36" s="50" t="n">
        <f aca="false">Y34-Y28-Y35</f>
        <v>0</v>
      </c>
      <c r="Z36" s="50" t="n">
        <f aca="false">Z34-Z28-Z35</f>
        <v>0</v>
      </c>
      <c r="AA36" s="50" t="n">
        <f aca="false">AA34-AA28-AA35</f>
        <v>0</v>
      </c>
      <c r="AB36" s="50" t="n">
        <f aca="false">AB34-AB28-AB35</f>
        <v>0</v>
      </c>
      <c r="AC36" s="50" t="n">
        <f aca="false">AC34-AC28-AC35</f>
        <v>0</v>
      </c>
      <c r="AD36" s="50" t="n">
        <f aca="false">AD34-AD28-AD35</f>
        <v>0</v>
      </c>
      <c r="AE36" s="50" t="n">
        <f aca="false">AE34-AE28-AE35</f>
        <v>0</v>
      </c>
      <c r="AF36" s="50" t="n">
        <f aca="false">AF34-AF28-AF35</f>
        <v>0</v>
      </c>
    </row>
    <row r="38" customFormat="false" ht="15" hidden="false" customHeight="true" outlineLevel="0" collapsed="false">
      <c r="A38" s="23" t="s">
        <v>453</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row>
    <row r="39" customFormat="false" ht="15" hidden="false" customHeight="true" outlineLevel="0" collapsed="false">
      <c r="B39" s="26" t="s">
        <v>454</v>
      </c>
      <c r="C39" s="45" t="n">
        <f aca="false">IF(OR($C$8=1,C12=1),Children!C$41,0)</f>
        <v>9000</v>
      </c>
      <c r="D39" s="45" t="n">
        <f aca="false">IF(OR($C$8=1,D12=1),Children!D$41,0)</f>
        <v>9000</v>
      </c>
      <c r="E39" s="45" t="n">
        <f aca="false">IF(OR($C$8=1,E12=1),Children!E$41,0)</f>
        <v>9000</v>
      </c>
      <c r="F39" s="45" t="n">
        <f aca="false">IF(OR($C$8=1,F12=1),Children!F$41,0)</f>
        <v>9000</v>
      </c>
      <c r="G39" s="45" t="n">
        <f aca="false">IF(OR($C$8=1,G12=1),Children!G$41,0)</f>
        <v>9000</v>
      </c>
      <c r="H39" s="45" t="n">
        <f aca="false">IF(OR($C$8=1,H12=1),Children!H$41,0)</f>
        <v>9000</v>
      </c>
      <c r="I39" s="45" t="n">
        <f aca="false">IF(OR($C$8=1,I12=1),Children!I$41,0)</f>
        <v>9000</v>
      </c>
      <c r="J39" s="45" t="n">
        <f aca="false">IF(OR($C$8=1,J12=1),Children!J$41,0)</f>
        <v>9000</v>
      </c>
      <c r="K39" s="45" t="n">
        <f aca="false">IF(OR($C$8=1,K12=1),Children!K$41,0)</f>
        <v>9000</v>
      </c>
      <c r="L39" s="45" t="n">
        <f aca="false">IF(OR($C$8=1,L12=1),Children!L$41,0)</f>
        <v>9000</v>
      </c>
      <c r="M39" s="45" t="n">
        <f aca="false">IF(OR($C$8=1,M12=1),Children!M$41,0)</f>
        <v>9000</v>
      </c>
      <c r="N39" s="45" t="n">
        <f aca="false">IF(OR($C$8=1,N12=1),Children!N$41,0)</f>
        <v>9000</v>
      </c>
      <c r="O39" s="45" t="n">
        <f aca="false">IF(OR($C$8=1,O12=1),Children!O$41,0)</f>
        <v>9000</v>
      </c>
      <c r="P39" s="45" t="n">
        <f aca="false">IF(OR($C$8=1,P12=1),Children!P$41,0)</f>
        <v>9000</v>
      </c>
      <c r="Q39" s="45" t="n">
        <f aca="false">IF(OR($C$8=1,Q12=1),Children!Q$41,0)</f>
        <v>9000</v>
      </c>
      <c r="R39" s="45" t="n">
        <f aca="false">IF(OR($C$8=1,R12=1),Children!R$41,0)</f>
        <v>9000</v>
      </c>
      <c r="S39" s="45" t="n">
        <f aca="false">IF(OR($C$8=1,S12=1),Children!S$41,0)</f>
        <v>0</v>
      </c>
      <c r="T39" s="45" t="n">
        <f aca="false">IF(OR($C$8=1,T12=1),Children!T$41,0)</f>
        <v>0</v>
      </c>
      <c r="U39" s="45" t="n">
        <f aca="false">IF(OR($C$8=1,U12=1),Children!U$41,0)</f>
        <v>0</v>
      </c>
      <c r="V39" s="45" t="n">
        <f aca="false">IF(OR($C$8=1,V12=1),Children!V$41,0)</f>
        <v>0</v>
      </c>
      <c r="W39" s="45" t="n">
        <f aca="false">IF(OR($C$8=1,W12=1),Children!W$41,0)</f>
        <v>0</v>
      </c>
      <c r="X39" s="45" t="n">
        <f aca="false">IF(OR($C$8=1,X12=1),Children!X$41,0)</f>
        <v>0</v>
      </c>
      <c r="Y39" s="45" t="n">
        <f aca="false">IF(OR($C$8=1,Y12=1),Children!Y$41,0)</f>
        <v>0</v>
      </c>
      <c r="Z39" s="45" t="n">
        <f aca="false">IF(OR($C$8=1,Z12=1),Children!Z$41,0)</f>
        <v>0</v>
      </c>
      <c r="AA39" s="45" t="n">
        <f aca="false">IF(OR($C$8=1,AA12=1),Children!AA$41,0)</f>
        <v>0</v>
      </c>
      <c r="AB39" s="45" t="n">
        <f aca="false">IF(OR($C$8=1,AB12=1),Children!AB$41,0)</f>
        <v>0</v>
      </c>
      <c r="AC39" s="45" t="n">
        <f aca="false">IF(OR($C$8=1,AC12=1),Children!AC$41,0)</f>
        <v>0</v>
      </c>
      <c r="AD39" s="45" t="n">
        <f aca="false">IF(OR($C$8=1,AD12=1),Children!AD$41,0)</f>
        <v>0</v>
      </c>
      <c r="AE39" s="45" t="n">
        <f aca="false">IF(OR($C$8=1,AE12=1),Children!AE$41,0)</f>
        <v>0</v>
      </c>
      <c r="AF39" s="45" t="n">
        <f aca="false">IF(OR($C$8=1,AF12=1),Children!AF$41,0)</f>
        <v>0</v>
      </c>
    </row>
    <row r="40" customFormat="false" ht="15" hidden="false" customHeight="true" outlineLevel="0" collapsed="false">
      <c r="B40" s="24" t="s">
        <v>455</v>
      </c>
      <c r="C40" s="48" t="n">
        <f aca="false">C24+C36-C39</f>
        <v>77643.8</v>
      </c>
      <c r="D40" s="48" t="n">
        <f aca="false">D24+D36-D39</f>
        <v>84255.8</v>
      </c>
      <c r="E40" s="48" t="n">
        <f aca="false">E24+E36-E39</f>
        <v>91132.28</v>
      </c>
      <c r="F40" s="48" t="n">
        <f aca="false">F24+F36-F39</f>
        <v>95069.4656</v>
      </c>
      <c r="G40" s="48" t="n">
        <f aca="false">G24+G36-G39</f>
        <v>99279.398912</v>
      </c>
      <c r="H40" s="48" t="n">
        <f aca="false">H24+H36-H39</f>
        <v>101444.98689024</v>
      </c>
      <c r="I40" s="48" t="n">
        <f aca="false">I24+I36-I39</f>
        <v>103653.886628045</v>
      </c>
      <c r="J40" s="48" t="n">
        <f aca="false">J24+J36-J39</f>
        <v>105906.964360606</v>
      </c>
      <c r="K40" s="48" t="n">
        <f aca="false">K24+K36-K39</f>
        <v>91856.2954787264</v>
      </c>
      <c r="L40" s="48" t="n">
        <f aca="false">L24+L36-L39</f>
        <v>93873.421388301</v>
      </c>
      <c r="M40" s="48" t="n">
        <f aca="false">M24+M36-M39</f>
        <v>95930.889816067</v>
      </c>
      <c r="N40" s="48" t="n">
        <f aca="false">N24+N36-N39</f>
        <v>98029.5076123883</v>
      </c>
      <c r="O40" s="48" t="n">
        <f aca="false">O24+O36-O39</f>
        <v>100170.097764636</v>
      </c>
      <c r="P40" s="48" t="n">
        <f aca="false">P24+P36-P39</f>
        <v>102353.499719929</v>
      </c>
      <c r="Q40" s="48" t="n">
        <f aca="false">Q24+Q36-Q39</f>
        <v>104580.569714327</v>
      </c>
      <c r="R40" s="48" t="n">
        <f aca="false">R24+R36-R39</f>
        <v>106852.181108614</v>
      </c>
      <c r="S40" s="48" t="n">
        <f aca="false">S24+S36-S39</f>
        <v>118169.224730786</v>
      </c>
      <c r="T40" s="48" t="n">
        <f aca="false">T24+T36-T39</f>
        <v>120532.609225402</v>
      </c>
      <c r="U40" s="48" t="n">
        <f aca="false">U24+U36-U39</f>
        <v>122943.26140991</v>
      </c>
      <c r="V40" s="48" t="n">
        <f aca="false">V24+V36-V39</f>
        <v>125402.126638108</v>
      </c>
      <c r="W40" s="48" t="n">
        <f aca="false">W24+W36-W39</f>
        <v>127910.16917087</v>
      </c>
      <c r="X40" s="48" t="n">
        <f aca="false">X24+X36-X39</f>
        <v>130468.372554288</v>
      </c>
      <c r="Y40" s="48" t="n">
        <f aca="false">Y24+Y36-Y39</f>
        <v>133077.740005374</v>
      </c>
      <c r="Z40" s="48" t="n">
        <f aca="false">Z24+Z36-Z39</f>
        <v>135739.294805481</v>
      </c>
      <c r="AA40" s="48" t="n">
        <f aca="false">AA24+AA36-AA39</f>
        <v>138454.080701591</v>
      </c>
      <c r="AB40" s="48" t="n">
        <f aca="false">AB24+AB36-AB39</f>
        <v>141223.162315622</v>
      </c>
      <c r="AC40" s="48" t="n">
        <f aca="false">AC24+AC36-AC39</f>
        <v>144047.625561935</v>
      </c>
      <c r="AD40" s="48" t="n">
        <f aca="false">AD24+AD36-AD39</f>
        <v>146928.578073174</v>
      </c>
      <c r="AE40" s="48" t="n">
        <f aca="false">AE24+AE36-AE39</f>
        <v>149867.149634637</v>
      </c>
      <c r="AF40" s="48" t="n">
        <f aca="false">AF24+AF36-AF39</f>
        <v>152864.49262733</v>
      </c>
    </row>
    <row r="41" customFormat="false" ht="15" hidden="false" customHeight="true" outlineLevel="0" collapsed="false">
      <c r="B41" s="26" t="s">
        <v>456</v>
      </c>
      <c r="C41" s="51" t="n">
        <f aca="false">Household_Base!C$33</f>
        <v>125400</v>
      </c>
      <c r="D41" s="51" t="n">
        <f aca="false">Household_Base!D$33</f>
        <v>130416</v>
      </c>
      <c r="E41" s="51" t="n">
        <f aca="false">Household_Base!E$33</f>
        <v>123951.36</v>
      </c>
      <c r="F41" s="51" t="n">
        <f aca="false">Household_Base!F$33</f>
        <v>102600.576</v>
      </c>
      <c r="G41" s="51" t="n">
        <f aca="false">Household_Base!G$33</f>
        <v>104652.58752</v>
      </c>
      <c r="H41" s="51" t="n">
        <f aca="false">Household_Base!H$33</f>
        <v>106745.6392704</v>
      </c>
      <c r="I41" s="51" t="n">
        <f aca="false">Household_Base!I$33</f>
        <v>108880.552055808</v>
      </c>
      <c r="J41" s="51" t="n">
        <f aca="false">Household_Base!J$33</f>
        <v>111058.163096924</v>
      </c>
      <c r="K41" s="51" t="n">
        <f aca="false">Household_Base!K$33</f>
        <v>91354.2954506957</v>
      </c>
      <c r="L41" s="51" t="n">
        <f aca="false">Household_Base!L$33</f>
        <v>93181.3813597096</v>
      </c>
      <c r="M41" s="51" t="n">
        <f aca="false">Household_Base!M$33</f>
        <v>95045.0089869038</v>
      </c>
      <c r="N41" s="51" t="n">
        <f aca="false">Household_Base!N$33</f>
        <v>96945.9091666419</v>
      </c>
      <c r="O41" s="51" t="n">
        <f aca="false">Household_Base!O$33</f>
        <v>98884.8273499747</v>
      </c>
      <c r="P41" s="51" t="n">
        <f aca="false">Household_Base!P$33</f>
        <v>100862.523896974</v>
      </c>
      <c r="Q41" s="51" t="n">
        <f aca="false">Household_Base!Q$33</f>
        <v>112780.20669151</v>
      </c>
      <c r="R41" s="51" t="n">
        <f aca="false">Household_Base!R$33</f>
        <v>140546.117369057</v>
      </c>
      <c r="S41" s="51" t="n">
        <f aca="false">Household_Base!S$33</f>
        <v>107036.11725966</v>
      </c>
      <c r="T41" s="51" t="n">
        <f aca="false">Household_Base!T$33</f>
        <v>109176.839604853</v>
      </c>
      <c r="U41" s="51" t="n">
        <f aca="false">Household_Base!U$33</f>
        <v>111360.376396951</v>
      </c>
      <c r="V41" s="51" t="n">
        <f aca="false">Household_Base!V$33</f>
        <v>113587.58392489</v>
      </c>
      <c r="W41" s="51" t="n">
        <f aca="false">Household_Base!W$33</f>
        <v>115859.335603387</v>
      </c>
      <c r="X41" s="51" t="n">
        <f aca="false">Household_Base!X$33</f>
        <v>118176.522315455</v>
      </c>
      <c r="Y41" s="51" t="n">
        <f aca="false">Household_Base!Y$33</f>
        <v>120540.052761764</v>
      </c>
      <c r="Z41" s="51" t="n">
        <f aca="false">Household_Base!Z$33</f>
        <v>122950.853816999</v>
      </c>
      <c r="AA41" s="51" t="n">
        <f aca="false">Household_Base!AA$33</f>
        <v>125409.870893339</v>
      </c>
      <c r="AB41" s="51" t="n">
        <f aca="false">Household_Base!AB$33</f>
        <v>127918.068311206</v>
      </c>
      <c r="AC41" s="51" t="n">
        <f aca="false">Household_Base!AC$33</f>
        <v>130476.42967743</v>
      </c>
      <c r="AD41" s="51" t="n">
        <f aca="false">Household_Base!AD$33</f>
        <v>133085.958270979</v>
      </c>
      <c r="AE41" s="51" t="n">
        <f aca="false">Household_Base!AE$33</f>
        <v>135747.677436399</v>
      </c>
      <c r="AF41" s="51" t="n">
        <f aca="false">Household_Base!AF$33</f>
        <v>138462.630985127</v>
      </c>
    </row>
    <row r="42" customFormat="false" ht="15" hidden="false" customHeight="true" outlineLevel="0" collapsed="false">
      <c r="B42" s="24" t="s">
        <v>364</v>
      </c>
      <c r="C42" s="50" t="n">
        <f aca="false">C40-C41</f>
        <v>-47756.2</v>
      </c>
      <c r="D42" s="50" t="n">
        <f aca="false">D40-D41</f>
        <v>-46160.2</v>
      </c>
      <c r="E42" s="50" t="n">
        <f aca="false">E40-E41</f>
        <v>-32819.08</v>
      </c>
      <c r="F42" s="50" t="n">
        <f aca="false">F40-F41</f>
        <v>-7531.11040000001</v>
      </c>
      <c r="G42" s="50" t="n">
        <f aca="false">G40-G41</f>
        <v>-5373.18860799998</v>
      </c>
      <c r="H42" s="50" t="n">
        <f aca="false">H40-H41</f>
        <v>-5300.65238015998</v>
      </c>
      <c r="I42" s="50" t="n">
        <f aca="false">I40-I41</f>
        <v>-5226.66542776315</v>
      </c>
      <c r="J42" s="50" t="n">
        <f aca="false">J40-J41</f>
        <v>-5151.19873631843</v>
      </c>
      <c r="K42" s="50" t="n">
        <f aca="false">K40-K41</f>
        <v>502.000028030714</v>
      </c>
      <c r="L42" s="50" t="n">
        <f aca="false">L40-L41</f>
        <v>692.040028591335</v>
      </c>
      <c r="M42" s="50" t="n">
        <f aca="false">M40-M41</f>
        <v>885.880829163158</v>
      </c>
      <c r="N42" s="50" t="n">
        <f aca="false">N40-N41</f>
        <v>1083.59844574644</v>
      </c>
      <c r="O42" s="50" t="n">
        <f aca="false">O40-O41</f>
        <v>1285.27041466138</v>
      </c>
      <c r="P42" s="50" t="n">
        <f aca="false">P40-P41</f>
        <v>1490.9758229546</v>
      </c>
      <c r="Q42" s="50" t="n">
        <f aca="false">Q40-Q41</f>
        <v>-8199.63697718285</v>
      </c>
      <c r="R42" s="50" t="n">
        <f aca="false">R40-R41</f>
        <v>-33693.9362604432</v>
      </c>
      <c r="S42" s="50" t="n">
        <f aca="false">S40-S41</f>
        <v>11133.107471126</v>
      </c>
      <c r="T42" s="50" t="n">
        <f aca="false">T40-T41</f>
        <v>11355.7696205485</v>
      </c>
      <c r="U42" s="50" t="n">
        <f aca="false">U40-U41</f>
        <v>11582.8850129595</v>
      </c>
      <c r="V42" s="50" t="n">
        <f aca="false">V40-V41</f>
        <v>11814.5427132187</v>
      </c>
      <c r="W42" s="50" t="n">
        <f aca="false">W40-W41</f>
        <v>12050.833567483</v>
      </c>
      <c r="X42" s="50" t="n">
        <f aca="false">X40-X41</f>
        <v>12291.8502388327</v>
      </c>
      <c r="Y42" s="50" t="n">
        <f aca="false">Y40-Y41</f>
        <v>12537.6872436094</v>
      </c>
      <c r="Z42" s="50" t="n">
        <f aca="false">Z40-Z41</f>
        <v>12788.4409884816</v>
      </c>
      <c r="AA42" s="50" t="n">
        <f aca="false">AA40-AA41</f>
        <v>13044.2098082512</v>
      </c>
      <c r="AB42" s="50" t="n">
        <f aca="false">AB40-AB41</f>
        <v>13305.0940044162</v>
      </c>
      <c r="AC42" s="50" t="n">
        <f aca="false">AC40-AC41</f>
        <v>13571.1958845045</v>
      </c>
      <c r="AD42" s="50" t="n">
        <f aca="false">AD40-AD41</f>
        <v>13842.6198021946</v>
      </c>
      <c r="AE42" s="50" t="n">
        <f aca="false">AE40-AE41</f>
        <v>14119.4721982385</v>
      </c>
      <c r="AF42" s="50" t="n">
        <f aca="false">AF40-AF41</f>
        <v>14401.8616422033</v>
      </c>
    </row>
    <row r="44" customFormat="false" ht="15" hidden="false" customHeight="true" outlineLevel="0" collapsed="false">
      <c r="A44" s="23" t="s">
        <v>366</v>
      </c>
      <c r="B44" s="23"/>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row>
    <row r="45" customFormat="false" ht="15" hidden="false" customHeight="true" outlineLevel="0" collapsed="false">
      <c r="B45" s="26" t="s">
        <v>457</v>
      </c>
      <c r="C45" s="45" t="n">
        <v>0</v>
      </c>
      <c r="D45" s="45" t="n">
        <f aca="false">C48</f>
        <v>0</v>
      </c>
      <c r="E45" s="45" t="n">
        <f aca="false">D48</f>
        <v>0</v>
      </c>
      <c r="F45" s="45" t="n">
        <f aca="false">E48</f>
        <v>0</v>
      </c>
      <c r="G45" s="45" t="n">
        <f aca="false">F48</f>
        <v>0</v>
      </c>
      <c r="H45" s="45" t="n">
        <f aca="false">G48</f>
        <v>0</v>
      </c>
      <c r="I45" s="45" t="n">
        <f aca="false">H48</f>
        <v>0</v>
      </c>
      <c r="J45" s="45" t="n">
        <f aca="false">I48</f>
        <v>0</v>
      </c>
      <c r="K45" s="45" t="n">
        <f aca="false">J48</f>
        <v>0</v>
      </c>
      <c r="L45" s="45" t="n">
        <f aca="false">K48</f>
        <v>502.000028030714</v>
      </c>
      <c r="M45" s="45" t="n">
        <f aca="false">L48</f>
        <v>1236.71005900466</v>
      </c>
      <c r="N45" s="45" t="n">
        <f aca="false">M48</f>
        <v>2227.71124318321</v>
      </c>
      <c r="O45" s="45" t="n">
        <f aca="false">N48</f>
        <v>3500.66514460022</v>
      </c>
      <c r="P45" s="45" t="n">
        <f aca="false">O48</f>
        <v>5083.49209655262</v>
      </c>
      <c r="Q45" s="45" t="n">
        <f aca="false">P48</f>
        <v>7006.5647477142</v>
      </c>
      <c r="R45" s="45" t="n">
        <f aca="false">Q48</f>
        <v>0</v>
      </c>
      <c r="S45" s="45" t="n">
        <f aca="false">R48</f>
        <v>0</v>
      </c>
      <c r="T45" s="45" t="n">
        <f aca="false">S48</f>
        <v>11133.107471126</v>
      </c>
      <c r="U45" s="45" t="n">
        <f aca="false">T48</f>
        <v>23435.1912267202</v>
      </c>
      <c r="V45" s="45" t="n">
        <f aca="false">U48</f>
        <v>37010.067493951</v>
      </c>
      <c r="W45" s="45" t="n">
        <f aca="false">V48</f>
        <v>51970.4659441555</v>
      </c>
      <c r="X45" s="45" t="n">
        <f aca="false">W48</f>
        <v>68438.7891168918</v>
      </c>
      <c r="Y45" s="45" t="n">
        <f aca="false">X48</f>
        <v>86547.9364306603</v>
      </c>
      <c r="Z45" s="45" t="n">
        <f aca="false">Y48</f>
        <v>106442.198270876</v>
      </c>
      <c r="AA45" s="45" t="n">
        <f aca="false">Z48</f>
        <v>128278.226112382</v>
      </c>
      <c r="AB45" s="45" t="n">
        <f aca="false">AA48</f>
        <v>152226.085140185</v>
      </c>
      <c r="AC45" s="45" t="n">
        <f aca="false">AB48</f>
        <v>178470.396381517</v>
      </c>
      <c r="AD45" s="45" t="n">
        <f aca="false">AC48</f>
        <v>207211.575958451</v>
      </c>
      <c r="AE45" s="45" t="n">
        <f aca="false">AD48</f>
        <v>238667.179717114</v>
      </c>
      <c r="AF45" s="45" t="n">
        <f aca="false">AE48</f>
        <v>273073.362191307</v>
      </c>
    </row>
    <row r="46" customFormat="false" ht="15" hidden="false" customHeight="true" outlineLevel="0" collapsed="false">
      <c r="B46" s="49" t="s">
        <v>368</v>
      </c>
      <c r="C46" s="45" t="n">
        <f aca="false">C45*Assumptions!$C$28</f>
        <v>0</v>
      </c>
      <c r="D46" s="45" t="n">
        <f aca="false">D45*Assumptions!$C$28</f>
        <v>0</v>
      </c>
      <c r="E46" s="45" t="n">
        <f aca="false">E45*Assumptions!$C$28</f>
        <v>0</v>
      </c>
      <c r="F46" s="45" t="n">
        <f aca="false">F45*Assumptions!$C$28</f>
        <v>0</v>
      </c>
      <c r="G46" s="45" t="n">
        <f aca="false">G45*Assumptions!$C$28</f>
        <v>0</v>
      </c>
      <c r="H46" s="45" t="n">
        <f aca="false">H45*Assumptions!$C$28</f>
        <v>0</v>
      </c>
      <c r="I46" s="45" t="n">
        <f aca="false">I45*Assumptions!$C$28</f>
        <v>0</v>
      </c>
      <c r="J46" s="45" t="n">
        <f aca="false">J45*Assumptions!$C$28</f>
        <v>0</v>
      </c>
      <c r="K46" s="45" t="n">
        <f aca="false">K45*Assumptions!$C$28</f>
        <v>0</v>
      </c>
      <c r="L46" s="45" t="n">
        <f aca="false">L45*Assumptions!$C$28</f>
        <v>42.6700023826107</v>
      </c>
      <c r="M46" s="45" t="n">
        <f aca="false">M45*Assumptions!$C$28</f>
        <v>105.120355015396</v>
      </c>
      <c r="N46" s="45" t="n">
        <f aca="false">N45*Assumptions!$C$28</f>
        <v>189.355455670573</v>
      </c>
      <c r="O46" s="45" t="n">
        <f aca="false">O45*Assumptions!$C$28</f>
        <v>297.556537291019</v>
      </c>
      <c r="P46" s="45" t="n">
        <f aca="false">P45*Assumptions!$C$28</f>
        <v>432.096828206973</v>
      </c>
      <c r="Q46" s="45" t="n">
        <f aca="false">Q45*Assumptions!$C$28</f>
        <v>595.558003555707</v>
      </c>
      <c r="R46" s="45" t="n">
        <f aca="false">R45*Assumptions!$C$28</f>
        <v>0</v>
      </c>
      <c r="S46" s="45" t="n">
        <f aca="false">S45*Assumptions!$C$28</f>
        <v>0</v>
      </c>
      <c r="T46" s="45" t="n">
        <f aca="false">T45*Assumptions!$C$28</f>
        <v>946.314135045709</v>
      </c>
      <c r="U46" s="45" t="n">
        <f aca="false">U45*Assumptions!$C$28</f>
        <v>1991.99125427122</v>
      </c>
      <c r="V46" s="45" t="n">
        <f aca="false">V45*Assumptions!$C$28</f>
        <v>3145.85573698583</v>
      </c>
      <c r="W46" s="45" t="n">
        <f aca="false">W45*Assumptions!$C$28</f>
        <v>4417.48960525322</v>
      </c>
      <c r="X46" s="45" t="n">
        <f aca="false">X45*Assumptions!$C$28</f>
        <v>5817.2970749358</v>
      </c>
      <c r="Y46" s="45" t="n">
        <f aca="false">Y45*Assumptions!$C$28</f>
        <v>7356.57459660613</v>
      </c>
      <c r="Z46" s="45" t="n">
        <f aca="false">Z45*Assumptions!$C$28</f>
        <v>9047.58685302444</v>
      </c>
      <c r="AA46" s="45" t="n">
        <f aca="false">AA45*Assumptions!$C$28</f>
        <v>10903.6492195525</v>
      </c>
      <c r="AB46" s="45" t="n">
        <f aca="false">AB45*Assumptions!$C$28</f>
        <v>12939.2172369158</v>
      </c>
      <c r="AC46" s="45" t="n">
        <f aca="false">AC45*Assumptions!$C$28</f>
        <v>15169.983692429</v>
      </c>
      <c r="AD46" s="45" t="n">
        <f aca="false">AD45*Assumptions!$C$28</f>
        <v>17612.9839564683</v>
      </c>
      <c r="AE46" s="45" t="n">
        <f aca="false">AE45*Assumptions!$C$28</f>
        <v>20286.7102759547</v>
      </c>
      <c r="AF46" s="45" t="n">
        <f aca="false">AF45*Assumptions!$C$28</f>
        <v>23211.2357862611</v>
      </c>
    </row>
    <row r="47" customFormat="false" ht="15" hidden="false" customHeight="true" outlineLevel="0" collapsed="false">
      <c r="B47" s="49" t="s">
        <v>369</v>
      </c>
      <c r="C47" s="45" t="n">
        <f aca="false">C42</f>
        <v>-47756.2</v>
      </c>
      <c r="D47" s="45" t="n">
        <f aca="false">D42</f>
        <v>-46160.2</v>
      </c>
      <c r="E47" s="45" t="n">
        <f aca="false">E42</f>
        <v>-32819.08</v>
      </c>
      <c r="F47" s="45" t="n">
        <f aca="false">F42</f>
        <v>-7531.11040000001</v>
      </c>
      <c r="G47" s="45" t="n">
        <f aca="false">G42</f>
        <v>-5373.18860799998</v>
      </c>
      <c r="H47" s="45" t="n">
        <f aca="false">H42</f>
        <v>-5300.65238015998</v>
      </c>
      <c r="I47" s="45" t="n">
        <f aca="false">I42</f>
        <v>-5226.66542776315</v>
      </c>
      <c r="J47" s="45" t="n">
        <f aca="false">J42</f>
        <v>-5151.19873631843</v>
      </c>
      <c r="K47" s="45" t="n">
        <f aca="false">K42</f>
        <v>502.000028030714</v>
      </c>
      <c r="L47" s="45" t="n">
        <f aca="false">L42</f>
        <v>692.040028591335</v>
      </c>
      <c r="M47" s="45" t="n">
        <f aca="false">M42</f>
        <v>885.880829163158</v>
      </c>
      <c r="N47" s="45" t="n">
        <f aca="false">N42</f>
        <v>1083.59844574644</v>
      </c>
      <c r="O47" s="45" t="n">
        <f aca="false">O42</f>
        <v>1285.27041466138</v>
      </c>
      <c r="P47" s="45" t="n">
        <f aca="false">P42</f>
        <v>1490.9758229546</v>
      </c>
      <c r="Q47" s="45" t="n">
        <f aca="false">Q42</f>
        <v>-8199.63697718285</v>
      </c>
      <c r="R47" s="45" t="n">
        <f aca="false">R42</f>
        <v>-33693.9362604432</v>
      </c>
      <c r="S47" s="45" t="n">
        <f aca="false">S42</f>
        <v>11133.107471126</v>
      </c>
      <c r="T47" s="45" t="n">
        <f aca="false">T42</f>
        <v>11355.7696205485</v>
      </c>
      <c r="U47" s="45" t="n">
        <f aca="false">U42</f>
        <v>11582.8850129595</v>
      </c>
      <c r="V47" s="45" t="n">
        <f aca="false">V42</f>
        <v>11814.5427132187</v>
      </c>
      <c r="W47" s="45" t="n">
        <f aca="false">W42</f>
        <v>12050.833567483</v>
      </c>
      <c r="X47" s="45" t="n">
        <f aca="false">X42</f>
        <v>12291.8502388327</v>
      </c>
      <c r="Y47" s="45" t="n">
        <f aca="false">Y42</f>
        <v>12537.6872436094</v>
      </c>
      <c r="Z47" s="45" t="n">
        <f aca="false">Z42</f>
        <v>12788.4409884816</v>
      </c>
      <c r="AA47" s="45" t="n">
        <f aca="false">AA42</f>
        <v>13044.2098082512</v>
      </c>
      <c r="AB47" s="45" t="n">
        <f aca="false">AB42</f>
        <v>13305.0940044162</v>
      </c>
      <c r="AC47" s="45" t="n">
        <f aca="false">AC42</f>
        <v>13571.1958845045</v>
      </c>
      <c r="AD47" s="45" t="n">
        <f aca="false">AD42</f>
        <v>13842.6198021946</v>
      </c>
      <c r="AE47" s="45" t="n">
        <f aca="false">AE42</f>
        <v>14119.4721982385</v>
      </c>
      <c r="AF47" s="45" t="n">
        <f aca="false">AF42</f>
        <v>14401.8616422033</v>
      </c>
    </row>
    <row r="48" customFormat="false" ht="15" hidden="false" customHeight="true" outlineLevel="0" collapsed="false">
      <c r="B48" s="24" t="s">
        <v>370</v>
      </c>
      <c r="C48" s="48" t="n">
        <f aca="false">MAX(0,C45+C46+C47)</f>
        <v>0</v>
      </c>
      <c r="D48" s="48" t="n">
        <f aca="false">MAX(0,D45+D46+D47)</f>
        <v>0</v>
      </c>
      <c r="E48" s="48" t="n">
        <f aca="false">MAX(0,E45+E46+E47)</f>
        <v>0</v>
      </c>
      <c r="F48" s="48" t="n">
        <f aca="false">MAX(0,F45+F46+F47)</f>
        <v>0</v>
      </c>
      <c r="G48" s="48" t="n">
        <f aca="false">MAX(0,G45+G46+G47)</f>
        <v>0</v>
      </c>
      <c r="H48" s="48" t="n">
        <f aca="false">MAX(0,H45+H46+H47)</f>
        <v>0</v>
      </c>
      <c r="I48" s="48" t="n">
        <f aca="false">MAX(0,I45+I46+I47)</f>
        <v>0</v>
      </c>
      <c r="J48" s="48" t="n">
        <f aca="false">MAX(0,J45+J46+J47)</f>
        <v>0</v>
      </c>
      <c r="K48" s="48" t="n">
        <f aca="false">MAX(0,K45+K46+K47)</f>
        <v>502.000028030714</v>
      </c>
      <c r="L48" s="48" t="n">
        <f aca="false">MAX(0,L45+L46+L47)</f>
        <v>1236.71005900466</v>
      </c>
      <c r="M48" s="48" t="n">
        <f aca="false">MAX(0,M45+M46+M47)</f>
        <v>2227.71124318321</v>
      </c>
      <c r="N48" s="48" t="n">
        <f aca="false">MAX(0,N45+N46+N47)</f>
        <v>3500.66514460022</v>
      </c>
      <c r="O48" s="48" t="n">
        <f aca="false">MAX(0,O45+O46+O47)</f>
        <v>5083.49209655262</v>
      </c>
      <c r="P48" s="48" t="n">
        <f aca="false">MAX(0,P45+P46+P47)</f>
        <v>7006.5647477142</v>
      </c>
      <c r="Q48" s="48" t="n">
        <f aca="false">MAX(0,Q45+Q46+Q47)</f>
        <v>0</v>
      </c>
      <c r="R48" s="48" t="n">
        <f aca="false">MAX(0,R45+R46+R47)</f>
        <v>0</v>
      </c>
      <c r="S48" s="48" t="n">
        <f aca="false">MAX(0,S45+S46+S47)</f>
        <v>11133.107471126</v>
      </c>
      <c r="T48" s="48" t="n">
        <f aca="false">MAX(0,T45+T46+T47)</f>
        <v>23435.1912267202</v>
      </c>
      <c r="U48" s="48" t="n">
        <f aca="false">MAX(0,U45+U46+U47)</f>
        <v>37010.067493951</v>
      </c>
      <c r="V48" s="48" t="n">
        <f aca="false">MAX(0,V45+V46+V47)</f>
        <v>51970.4659441555</v>
      </c>
      <c r="W48" s="48" t="n">
        <f aca="false">MAX(0,W45+W46+W47)</f>
        <v>68438.7891168918</v>
      </c>
      <c r="X48" s="48" t="n">
        <f aca="false">MAX(0,X45+X46+X47)</f>
        <v>86547.9364306603</v>
      </c>
      <c r="Y48" s="48" t="n">
        <f aca="false">MAX(0,Y45+Y46+Y47)</f>
        <v>106442.198270876</v>
      </c>
      <c r="Z48" s="48" t="n">
        <f aca="false">MAX(0,Z45+Z46+Z47)</f>
        <v>128278.226112382</v>
      </c>
      <c r="AA48" s="48" t="n">
        <f aca="false">MAX(0,AA45+AA46+AA47)</f>
        <v>152226.085140185</v>
      </c>
      <c r="AB48" s="48" t="n">
        <f aca="false">MAX(0,AB45+AB46+AB47)</f>
        <v>178470.396381517</v>
      </c>
      <c r="AC48" s="48" t="n">
        <f aca="false">MAX(0,AC45+AC46+AC47)</f>
        <v>207211.575958451</v>
      </c>
      <c r="AD48" s="48" t="n">
        <f aca="false">MAX(0,AD45+AD46+AD47)</f>
        <v>238667.179717114</v>
      </c>
      <c r="AE48" s="48" t="n">
        <f aca="false">MAX(0,AE45+AE46+AE47)</f>
        <v>273073.362191307</v>
      </c>
      <c r="AF48" s="48" t="n">
        <f aca="false">MAX(0,AF45+AF46+AF47)</f>
        <v>310686.459619771</v>
      </c>
    </row>
    <row r="49" customFormat="false" ht="15" hidden="false" customHeight="true" outlineLevel="0" collapsed="false">
      <c r="B49" s="26" t="s">
        <v>458</v>
      </c>
      <c r="C49" s="45" t="n">
        <f aca="false">MAX(0,-(C45+C46+C47))</f>
        <v>47756.2</v>
      </c>
      <c r="D49" s="45" t="n">
        <f aca="false">MAX(0,-(D45+D46+D47))</f>
        <v>46160.2</v>
      </c>
      <c r="E49" s="45" t="n">
        <f aca="false">MAX(0,-(E45+E46+E47))</f>
        <v>32819.08</v>
      </c>
      <c r="F49" s="45" t="n">
        <f aca="false">MAX(0,-(F45+F46+F47))</f>
        <v>7531.11040000001</v>
      </c>
      <c r="G49" s="45" t="n">
        <f aca="false">MAX(0,-(G45+G46+G47))</f>
        <v>5373.18860799998</v>
      </c>
      <c r="H49" s="45" t="n">
        <f aca="false">MAX(0,-(H45+H46+H47))</f>
        <v>5300.65238015998</v>
      </c>
      <c r="I49" s="45" t="n">
        <f aca="false">MAX(0,-(I45+I46+I47))</f>
        <v>5226.66542776315</v>
      </c>
      <c r="J49" s="45" t="n">
        <f aca="false">MAX(0,-(J45+J46+J47))</f>
        <v>5151.19873631843</v>
      </c>
      <c r="K49" s="45" t="n">
        <f aca="false">MAX(0,-(K45+K46+K47))</f>
        <v>0</v>
      </c>
      <c r="L49" s="45" t="n">
        <f aca="false">MAX(0,-(L45+L46+L47))</f>
        <v>0</v>
      </c>
      <c r="M49" s="45" t="n">
        <f aca="false">MAX(0,-(M45+M46+M47))</f>
        <v>0</v>
      </c>
      <c r="N49" s="45" t="n">
        <f aca="false">MAX(0,-(N45+N46+N47))</f>
        <v>0</v>
      </c>
      <c r="O49" s="45" t="n">
        <f aca="false">MAX(0,-(O45+O46+O47))</f>
        <v>0</v>
      </c>
      <c r="P49" s="45" t="n">
        <f aca="false">MAX(0,-(P45+P46+P47))</f>
        <v>0</v>
      </c>
      <c r="Q49" s="45" t="n">
        <f aca="false">MAX(0,-(Q45+Q46+Q47))</f>
        <v>597.514225912943</v>
      </c>
      <c r="R49" s="45" t="n">
        <f aca="false">MAX(0,-(R45+R46+R47))</f>
        <v>33693.9362604432</v>
      </c>
      <c r="S49" s="45" t="n">
        <f aca="false">MAX(0,-(S45+S46+S47))</f>
        <v>0</v>
      </c>
      <c r="T49" s="45" t="n">
        <f aca="false">MAX(0,-(T45+T46+T47))</f>
        <v>0</v>
      </c>
      <c r="U49" s="45" t="n">
        <f aca="false">MAX(0,-(U45+U46+U47))</f>
        <v>0</v>
      </c>
      <c r="V49" s="45" t="n">
        <f aca="false">MAX(0,-(V45+V46+V47))</f>
        <v>0</v>
      </c>
      <c r="W49" s="45" t="n">
        <f aca="false">MAX(0,-(W45+W46+W47))</f>
        <v>0</v>
      </c>
      <c r="X49" s="45" t="n">
        <f aca="false">MAX(0,-(X45+X46+X47))</f>
        <v>0</v>
      </c>
      <c r="Y49" s="45" t="n">
        <f aca="false">MAX(0,-(Y45+Y46+Y47))</f>
        <v>0</v>
      </c>
      <c r="Z49" s="45" t="n">
        <f aca="false">MAX(0,-(Z45+Z46+Z47))</f>
        <v>0</v>
      </c>
      <c r="AA49" s="45" t="n">
        <f aca="false">MAX(0,-(AA45+AA46+AA47))</f>
        <v>0</v>
      </c>
      <c r="AB49" s="45" t="n">
        <f aca="false">MAX(0,-(AB45+AB46+AB47))</f>
        <v>0</v>
      </c>
      <c r="AC49" s="45" t="n">
        <f aca="false">MAX(0,-(AC45+AC46+AC47))</f>
        <v>0</v>
      </c>
      <c r="AD49" s="45" t="n">
        <f aca="false">MAX(0,-(AD45+AD46+AD47))</f>
        <v>0</v>
      </c>
      <c r="AE49" s="45" t="n">
        <f aca="false">MAX(0,-(AE45+AE46+AE47))</f>
        <v>0</v>
      </c>
      <c r="AF49" s="45" t="n">
        <f aca="false">MAX(0,-(AF45+AF46+AF47))</f>
        <v>0</v>
      </c>
    </row>
    <row r="50" customFormat="false" ht="15" hidden="false" customHeight="true" outlineLevel="0" collapsed="false">
      <c r="B50" s="26" t="s">
        <v>459</v>
      </c>
      <c r="C50" s="45" t="n">
        <f aca="false">Assumptions!$C$22+Assumptions!$D$22</f>
        <v>260000</v>
      </c>
      <c r="D50" s="45" t="n">
        <f aca="false">C54</f>
        <v>278243.8</v>
      </c>
      <c r="E50" s="45" t="n">
        <f aca="false">D54</f>
        <v>299907.98</v>
      </c>
      <c r="F50" s="45" t="n">
        <f aca="false">E54</f>
        <v>337079.698</v>
      </c>
      <c r="G50" s="45" t="n">
        <f aca="false">F54</f>
        <v>403256.5574</v>
      </c>
      <c r="H50" s="45" t="n">
        <f aca="false">G54</f>
        <v>478209.024532</v>
      </c>
      <c r="I50" s="45" t="n">
        <f aca="false">H54</f>
        <v>561529.27460504</v>
      </c>
      <c r="J50" s="45" t="n">
        <f aca="false">I54</f>
        <v>654071.536637781</v>
      </c>
      <c r="K50" s="45" t="n">
        <f aca="false">J54</f>
        <v>756775.811565241</v>
      </c>
      <c r="L50" s="45" t="n">
        <f aca="false">K54</f>
        <v>854102.035921765</v>
      </c>
      <c r="M50" s="45" t="n">
        <f aca="false">L54</f>
        <v>961593.855577941</v>
      </c>
      <c r="N50" s="45" t="n">
        <f aca="false">M54</f>
        <v>1080276.48952102</v>
      </c>
      <c r="O50" s="45" t="n">
        <f aca="false">N54</f>
        <v>1211277.8518261</v>
      </c>
      <c r="P50" s="45" t="n">
        <f aca="false">O54</f>
        <v>1355838.82462876</v>
      </c>
      <c r="Q50" s="45" t="n">
        <f aca="false">P54</f>
        <v>1515324.55846408</v>
      </c>
      <c r="R50" s="45" t="n">
        <f aca="false">Q54</f>
        <v>1690639.38848447</v>
      </c>
      <c r="S50" s="45" t="n">
        <f aca="false">R54</f>
        <v>1850876.87724037</v>
      </c>
      <c r="T50" s="45" t="n">
        <f aca="false">S54</f>
        <v>2061329.40085565</v>
      </c>
      <c r="U50" s="45" t="n">
        <f aca="false">T54</f>
        <v>2293334.4735503</v>
      </c>
      <c r="V50" s="45" t="n">
        <f aca="false">U54</f>
        <v>2549057.49616658</v>
      </c>
      <c r="W50" s="45" t="n">
        <f aca="false">V54</f>
        <v>2830880.61254972</v>
      </c>
      <c r="X50" s="45" t="n">
        <f aca="false">W54</f>
        <v>3141424.38790651</v>
      </c>
      <c r="Y50" s="45" t="n">
        <f aca="false">X54</f>
        <v>3483571.65508101</v>
      </c>
      <c r="Z50" s="45" t="n">
        <f aca="false">Y54</f>
        <v>3860493.74554064</v>
      </c>
      <c r="AA50" s="45" t="n">
        <f aca="false">Z54</f>
        <v>4275679.34354525</v>
      </c>
      <c r="AB50" s="45" t="n">
        <f aca="false">AA54</f>
        <v>4732966.22581935</v>
      </c>
      <c r="AC50" s="45" t="n">
        <f aca="false">AB54</f>
        <v>5236576.17527924</v>
      </c>
      <c r="AD50" s="45" t="n">
        <f aca="false">AC54</f>
        <v>5791153.38622268</v>
      </c>
      <c r="AE50" s="45" t="n">
        <f aca="false">AD54</f>
        <v>6401806.71012878</v>
      </c>
      <c r="AF50" s="45" t="n">
        <f aca="false">AE54</f>
        <v>7074156.12613116</v>
      </c>
    </row>
    <row r="51" customFormat="false" ht="15" hidden="false" customHeight="true" outlineLevel="0" collapsed="false">
      <c r="B51" s="49" t="s">
        <v>282</v>
      </c>
      <c r="C51" s="45" t="n">
        <f aca="false">C23+C35</f>
        <v>40000</v>
      </c>
      <c r="D51" s="45" t="n">
        <f aca="false">D23+D35</f>
        <v>40000</v>
      </c>
      <c r="E51" s="45" t="n">
        <f aca="false">E23+E35</f>
        <v>40000</v>
      </c>
      <c r="F51" s="45" t="n">
        <f aca="false">F23+F35</f>
        <v>40000</v>
      </c>
      <c r="G51" s="45" t="n">
        <f aca="false">G23+G35</f>
        <v>40000</v>
      </c>
      <c r="H51" s="45" t="n">
        <f aca="false">H23+H35</f>
        <v>40800</v>
      </c>
      <c r="I51" s="45" t="n">
        <f aca="false">I23+I35</f>
        <v>41616</v>
      </c>
      <c r="J51" s="45" t="n">
        <f aca="false">J23+J35</f>
        <v>42448.32</v>
      </c>
      <c r="K51" s="45" t="n">
        <f aca="false">K23+K35</f>
        <v>21648.6432</v>
      </c>
      <c r="L51" s="45" t="n">
        <f aca="false">L23+L35</f>
        <v>22081.616064</v>
      </c>
      <c r="M51" s="45" t="n">
        <f aca="false">M23+M35</f>
        <v>22523.24838528</v>
      </c>
      <c r="N51" s="45" t="n">
        <f aca="false">N23+N35</f>
        <v>22973.7133529856</v>
      </c>
      <c r="O51" s="45" t="n">
        <f aca="false">O23+O35</f>
        <v>23433.1876200453</v>
      </c>
      <c r="P51" s="45" t="n">
        <f aca="false">P23+P35</f>
        <v>23901.8513724462</v>
      </c>
      <c r="Q51" s="45" t="n">
        <f aca="false">Q23+Q35</f>
        <v>24379.8883998951</v>
      </c>
      <c r="R51" s="45" t="n">
        <f aca="false">R23+R35</f>
        <v>24867.4861678931</v>
      </c>
      <c r="S51" s="45" t="n">
        <f aca="false">S23+S35</f>
        <v>25364.8358912509</v>
      </c>
      <c r="T51" s="45" t="n">
        <f aca="false">T23+T35</f>
        <v>25872.1326090759</v>
      </c>
      <c r="U51" s="45" t="n">
        <f aca="false">U23+U35</f>
        <v>26389.5752612574</v>
      </c>
      <c r="V51" s="45" t="n">
        <f aca="false">V23+V35</f>
        <v>26917.3667664826</v>
      </c>
      <c r="W51" s="45" t="n">
        <f aca="false">W23+W35</f>
        <v>27455.7141018123</v>
      </c>
      <c r="X51" s="45" t="n">
        <f aca="false">X23+X35</f>
        <v>28004.8283838485</v>
      </c>
      <c r="Y51" s="45" t="n">
        <f aca="false">Y23+Y35</f>
        <v>28564.9249515255</v>
      </c>
      <c r="Z51" s="45" t="n">
        <f aca="false">Z23+Z35</f>
        <v>29136.223450556</v>
      </c>
      <c r="AA51" s="45" t="n">
        <f aca="false">AA23+AA35</f>
        <v>29718.9479195671</v>
      </c>
      <c r="AB51" s="45" t="n">
        <f aca="false">AB23+AB35</f>
        <v>30313.3268779584</v>
      </c>
      <c r="AC51" s="45" t="n">
        <f aca="false">AC23+AC35</f>
        <v>30919.5934155176</v>
      </c>
      <c r="AD51" s="45" t="n">
        <f aca="false">AD23+AD35</f>
        <v>31537.985283828</v>
      </c>
      <c r="AE51" s="45" t="n">
        <f aca="false">AE23+AE35</f>
        <v>32168.7449895045</v>
      </c>
      <c r="AF51" s="45" t="n">
        <f aca="false">AF23+AF35</f>
        <v>32812.1198892946</v>
      </c>
    </row>
    <row r="52" customFormat="false" ht="15" hidden="false" customHeight="true" outlineLevel="0" collapsed="false">
      <c r="B52" s="49" t="s">
        <v>368</v>
      </c>
      <c r="C52" s="45" t="n">
        <f aca="false">C50*Assumptions!$C$27</f>
        <v>26000</v>
      </c>
      <c r="D52" s="45" t="n">
        <f aca="false">D50*Assumptions!$C$27</f>
        <v>27824.38</v>
      </c>
      <c r="E52" s="45" t="n">
        <f aca="false">E50*Assumptions!$C$27</f>
        <v>29990.798</v>
      </c>
      <c r="F52" s="45" t="n">
        <f aca="false">F50*Assumptions!$C$27</f>
        <v>33707.9698</v>
      </c>
      <c r="G52" s="45" t="n">
        <f aca="false">G50*Assumptions!$C$27</f>
        <v>40325.65574</v>
      </c>
      <c r="H52" s="45" t="n">
        <f aca="false">H50*Assumptions!$C$27</f>
        <v>47820.9024532</v>
      </c>
      <c r="I52" s="45" t="n">
        <f aca="false">I50*Assumptions!$C$27</f>
        <v>56152.927460504</v>
      </c>
      <c r="J52" s="45" t="n">
        <f aca="false">J50*Assumptions!$C$27</f>
        <v>65407.1536637781</v>
      </c>
      <c r="K52" s="45" t="n">
        <f aca="false">K50*Assumptions!$C$27</f>
        <v>75677.5811565241</v>
      </c>
      <c r="L52" s="45" t="n">
        <f aca="false">L50*Assumptions!$C$27</f>
        <v>85410.2035921765</v>
      </c>
      <c r="M52" s="45" t="n">
        <f aca="false">M50*Assumptions!$C$27</f>
        <v>96159.3855577941</v>
      </c>
      <c r="N52" s="45" t="n">
        <f aca="false">N50*Assumptions!$C$27</f>
        <v>108027.648952102</v>
      </c>
      <c r="O52" s="45" t="n">
        <f aca="false">O50*Assumptions!$C$27</f>
        <v>121127.78518261</v>
      </c>
      <c r="P52" s="45" t="n">
        <f aca="false">P50*Assumptions!$C$27</f>
        <v>135583.882462876</v>
      </c>
      <c r="Q52" s="45" t="n">
        <f aca="false">Q50*Assumptions!$C$27</f>
        <v>151532.455846408</v>
      </c>
      <c r="R52" s="45" t="n">
        <f aca="false">R50*Assumptions!$C$27</f>
        <v>169063.938848447</v>
      </c>
      <c r="S52" s="45" t="n">
        <f aca="false">S50*Assumptions!$C$27</f>
        <v>185087.687724037</v>
      </c>
      <c r="T52" s="45" t="n">
        <f aca="false">T50*Assumptions!$C$27</f>
        <v>206132.940085566</v>
      </c>
      <c r="U52" s="45" t="n">
        <f aca="false">U50*Assumptions!$C$27</f>
        <v>229333.44735503</v>
      </c>
      <c r="V52" s="45" t="n">
        <f aca="false">V50*Assumptions!$C$27</f>
        <v>254905.749616658</v>
      </c>
      <c r="W52" s="45" t="n">
        <f aca="false">W50*Assumptions!$C$27</f>
        <v>283088.061254973</v>
      </c>
      <c r="X52" s="45" t="n">
        <f aca="false">X50*Assumptions!$C$27</f>
        <v>314142.438790651</v>
      </c>
      <c r="Y52" s="45" t="n">
        <f aca="false">Y50*Assumptions!$C$27</f>
        <v>348357.165508101</v>
      </c>
      <c r="Z52" s="45" t="n">
        <f aca="false">Z50*Assumptions!$C$27</f>
        <v>386049.374554064</v>
      </c>
      <c r="AA52" s="45" t="n">
        <f aca="false">AA50*Assumptions!$C$27</f>
        <v>427567.934354525</v>
      </c>
      <c r="AB52" s="45" t="n">
        <f aca="false">AB50*Assumptions!$C$27</f>
        <v>473296.622581935</v>
      </c>
      <c r="AC52" s="45" t="n">
        <f aca="false">AC50*Assumptions!$C$27</f>
        <v>523657.617527924</v>
      </c>
      <c r="AD52" s="45" t="n">
        <f aca="false">AD50*Assumptions!$C$27</f>
        <v>579115.338622268</v>
      </c>
      <c r="AE52" s="45" t="n">
        <f aca="false">AE50*Assumptions!$C$27</f>
        <v>640180.671012878</v>
      </c>
      <c r="AF52" s="45" t="n">
        <f aca="false">AF50*Assumptions!$C$27</f>
        <v>707415.612613116</v>
      </c>
    </row>
    <row r="53" customFormat="false" ht="15" hidden="false" customHeight="true" outlineLevel="0" collapsed="false">
      <c r="B53" s="49" t="s">
        <v>460</v>
      </c>
      <c r="C53" s="45" t="n">
        <f aca="false">-C49</f>
        <v>-47756.2</v>
      </c>
      <c r="D53" s="45" t="n">
        <f aca="false">-D49</f>
        <v>-46160.2</v>
      </c>
      <c r="E53" s="45" t="n">
        <f aca="false">-E49</f>
        <v>-32819.08</v>
      </c>
      <c r="F53" s="45" t="n">
        <f aca="false">-F49</f>
        <v>-7531.11040000001</v>
      </c>
      <c r="G53" s="45" t="n">
        <f aca="false">-G49</f>
        <v>-5373.18860799998</v>
      </c>
      <c r="H53" s="45" t="n">
        <f aca="false">-H49</f>
        <v>-5300.65238015998</v>
      </c>
      <c r="I53" s="45" t="n">
        <f aca="false">-I49</f>
        <v>-5226.66542776315</v>
      </c>
      <c r="J53" s="45" t="n">
        <f aca="false">-J49</f>
        <v>-5151.19873631843</v>
      </c>
      <c r="K53" s="45" t="n">
        <f aca="false">-K49</f>
        <v>-0</v>
      </c>
      <c r="L53" s="45" t="n">
        <f aca="false">-L49</f>
        <v>-0</v>
      </c>
      <c r="M53" s="45" t="n">
        <f aca="false">-M49</f>
        <v>-0</v>
      </c>
      <c r="N53" s="45" t="n">
        <f aca="false">-N49</f>
        <v>-0</v>
      </c>
      <c r="O53" s="45" t="n">
        <f aca="false">-O49</f>
        <v>-0</v>
      </c>
      <c r="P53" s="45" t="n">
        <f aca="false">-P49</f>
        <v>-0</v>
      </c>
      <c r="Q53" s="45" t="n">
        <f aca="false">-Q49</f>
        <v>-597.514225912943</v>
      </c>
      <c r="R53" s="45" t="n">
        <f aca="false">-R49</f>
        <v>-33693.9362604432</v>
      </c>
      <c r="S53" s="45" t="n">
        <f aca="false">-S49</f>
        <v>-0</v>
      </c>
      <c r="T53" s="45" t="n">
        <f aca="false">-T49</f>
        <v>-0</v>
      </c>
      <c r="U53" s="45" t="n">
        <f aca="false">-U49</f>
        <v>-0</v>
      </c>
      <c r="V53" s="45" t="n">
        <f aca="false">-V49</f>
        <v>-0</v>
      </c>
      <c r="W53" s="45" t="n">
        <f aca="false">-W49</f>
        <v>-0</v>
      </c>
      <c r="X53" s="45" t="n">
        <f aca="false">-X49</f>
        <v>-0</v>
      </c>
      <c r="Y53" s="45" t="n">
        <f aca="false">-Y49</f>
        <v>-0</v>
      </c>
      <c r="Z53" s="45" t="n">
        <f aca="false">-Z49</f>
        <v>-0</v>
      </c>
      <c r="AA53" s="45" t="n">
        <f aca="false">-AA49</f>
        <v>-0</v>
      </c>
      <c r="AB53" s="45" t="n">
        <f aca="false">-AB49</f>
        <v>-0</v>
      </c>
      <c r="AC53" s="45" t="n">
        <f aca="false">-AC49</f>
        <v>-0</v>
      </c>
      <c r="AD53" s="45" t="n">
        <f aca="false">-AD49</f>
        <v>-0</v>
      </c>
      <c r="AE53" s="45" t="n">
        <f aca="false">-AE49</f>
        <v>-0</v>
      </c>
      <c r="AF53" s="45" t="n">
        <f aca="false">-AF49</f>
        <v>-0</v>
      </c>
    </row>
    <row r="54" customFormat="false" ht="15" hidden="false" customHeight="true" outlineLevel="0" collapsed="false">
      <c r="B54" s="24" t="s">
        <v>461</v>
      </c>
      <c r="C54" s="48" t="n">
        <f aca="false">MAX(0,C50+C51+C52+C53)</f>
        <v>278243.8</v>
      </c>
      <c r="D54" s="48" t="n">
        <f aca="false">MAX(0,D50+D51+D52+D53)</f>
        <v>299907.98</v>
      </c>
      <c r="E54" s="48" t="n">
        <f aca="false">MAX(0,E50+E51+E52+E53)</f>
        <v>337079.698</v>
      </c>
      <c r="F54" s="48" t="n">
        <f aca="false">MAX(0,F50+F51+F52+F53)</f>
        <v>403256.5574</v>
      </c>
      <c r="G54" s="48" t="n">
        <f aca="false">MAX(0,G50+G51+G52+G53)</f>
        <v>478209.024532</v>
      </c>
      <c r="H54" s="48" t="n">
        <f aca="false">MAX(0,H50+H51+H52+H53)</f>
        <v>561529.27460504</v>
      </c>
      <c r="I54" s="48" t="n">
        <f aca="false">MAX(0,I50+I51+I52+I53)</f>
        <v>654071.536637781</v>
      </c>
      <c r="J54" s="48" t="n">
        <f aca="false">MAX(0,J50+J51+J52+J53)</f>
        <v>756775.811565241</v>
      </c>
      <c r="K54" s="48" t="n">
        <f aca="false">MAX(0,K50+K51+K52+K53)</f>
        <v>854102.035921765</v>
      </c>
      <c r="L54" s="48" t="n">
        <f aca="false">MAX(0,L50+L51+L52+L53)</f>
        <v>961593.855577941</v>
      </c>
      <c r="M54" s="48" t="n">
        <f aca="false">MAX(0,M50+M51+M52+M53)</f>
        <v>1080276.48952102</v>
      </c>
      <c r="N54" s="48" t="n">
        <f aca="false">MAX(0,N50+N51+N52+N53)</f>
        <v>1211277.8518261</v>
      </c>
      <c r="O54" s="48" t="n">
        <f aca="false">MAX(0,O50+O51+O52+O53)</f>
        <v>1355838.82462876</v>
      </c>
      <c r="P54" s="48" t="n">
        <f aca="false">MAX(0,P50+P51+P52+P53)</f>
        <v>1515324.55846408</v>
      </c>
      <c r="Q54" s="48" t="n">
        <f aca="false">MAX(0,Q50+Q51+Q52+Q53)</f>
        <v>1690639.38848447</v>
      </c>
      <c r="R54" s="48" t="n">
        <f aca="false">MAX(0,R50+R51+R52+R53)</f>
        <v>1850876.87724037</v>
      </c>
      <c r="S54" s="48" t="n">
        <f aca="false">MAX(0,S50+S51+S52+S53)</f>
        <v>2061329.40085565</v>
      </c>
      <c r="T54" s="48" t="n">
        <f aca="false">MAX(0,T50+T51+T52+T53)</f>
        <v>2293334.4735503</v>
      </c>
      <c r="U54" s="48" t="n">
        <f aca="false">MAX(0,U50+U51+U52+U53)</f>
        <v>2549057.49616658</v>
      </c>
      <c r="V54" s="48" t="n">
        <f aca="false">MAX(0,V50+V51+V52+V53)</f>
        <v>2830880.61254972</v>
      </c>
      <c r="W54" s="48" t="n">
        <f aca="false">MAX(0,W50+W51+W52+W53)</f>
        <v>3141424.38790651</v>
      </c>
      <c r="X54" s="48" t="n">
        <f aca="false">MAX(0,X50+X51+X52+X53)</f>
        <v>3483571.65508101</v>
      </c>
      <c r="Y54" s="48" t="n">
        <f aca="false">MAX(0,Y50+Y51+Y52+Y53)</f>
        <v>3860493.74554064</v>
      </c>
      <c r="Z54" s="48" t="n">
        <f aca="false">MAX(0,Z50+Z51+Z52+Z53)</f>
        <v>4275679.34354525</v>
      </c>
      <c r="AA54" s="48" t="n">
        <f aca="false">MAX(0,AA50+AA51+AA52+AA53)</f>
        <v>4732966.22581935</v>
      </c>
      <c r="AB54" s="48" t="n">
        <f aca="false">MAX(0,AB50+AB51+AB52+AB53)</f>
        <v>5236576.17527924</v>
      </c>
      <c r="AC54" s="48" t="n">
        <f aca="false">MAX(0,AC50+AC51+AC52+AC53)</f>
        <v>5791153.38622268</v>
      </c>
      <c r="AD54" s="48" t="n">
        <f aca="false">MAX(0,AD50+AD51+AD52+AD53)</f>
        <v>6401806.71012878</v>
      </c>
      <c r="AE54" s="48" t="n">
        <f aca="false">MAX(0,AE50+AE51+AE52+AE53)</f>
        <v>7074156.12613116</v>
      </c>
      <c r="AF54" s="48" t="n">
        <f aca="false">MAX(0,AF50+AF51+AF52+AF53)</f>
        <v>7814383.85863357</v>
      </c>
    </row>
    <row r="55" customFormat="false" ht="15" hidden="false" customHeight="true" outlineLevel="0" collapsed="false">
      <c r="B55" s="26" t="s">
        <v>462</v>
      </c>
      <c r="C55" s="45" t="n">
        <f aca="false">Assumptions!$C$23+Assumptions!$D$23</f>
        <v>1240000</v>
      </c>
      <c r="D55" s="45" t="n">
        <f aca="false">C58</f>
        <v>1484000</v>
      </c>
      <c r="E55" s="45" t="n">
        <f aca="false">D58</f>
        <v>1752400</v>
      </c>
      <c r="F55" s="45" t="n">
        <f aca="false">E58</f>
        <v>2047640</v>
      </c>
      <c r="G55" s="45" t="n">
        <f aca="false">F58</f>
        <v>2372404</v>
      </c>
      <c r="H55" s="45" t="n">
        <f aca="false">G58</f>
        <v>2729644.4</v>
      </c>
      <c r="I55" s="45" t="n">
        <f aca="false">H58</f>
        <v>3125008.84</v>
      </c>
      <c r="J55" s="45" t="n">
        <f aca="false">I58</f>
        <v>3562357.724</v>
      </c>
      <c r="K55" s="45" t="n">
        <f aca="false">J58</f>
        <v>4045938.4564</v>
      </c>
      <c r="L55" s="45" t="n">
        <f aca="false">K58</f>
        <v>4450532.30204</v>
      </c>
      <c r="M55" s="45" t="n">
        <f aca="false">L58</f>
        <v>4895585.532244</v>
      </c>
      <c r="N55" s="45" t="n">
        <f aca="false">M58</f>
        <v>5385144.0854684</v>
      </c>
      <c r="O55" s="45" t="n">
        <f aca="false">N58</f>
        <v>5923658.49401524</v>
      </c>
      <c r="P55" s="45" t="n">
        <f aca="false">O58</f>
        <v>6516024.34341676</v>
      </c>
      <c r="Q55" s="45" t="n">
        <f aca="false">P58</f>
        <v>7167626.77775844</v>
      </c>
      <c r="R55" s="45" t="n">
        <f aca="false">Q58</f>
        <v>7884389.45553429</v>
      </c>
      <c r="S55" s="45" t="n">
        <f aca="false">R58</f>
        <v>8672828.40108771</v>
      </c>
      <c r="T55" s="45" t="n">
        <f aca="false">S58</f>
        <v>9540111.24119648</v>
      </c>
      <c r="U55" s="45" t="n">
        <f aca="false">T58</f>
        <v>10494122.3653161</v>
      </c>
      <c r="V55" s="45" t="n">
        <f aca="false">U58</f>
        <v>11543534.6018477</v>
      </c>
      <c r="W55" s="45" t="n">
        <f aca="false">V58</f>
        <v>12697888.0620325</v>
      </c>
      <c r="X55" s="45" t="n">
        <f aca="false">W58</f>
        <v>13967676.8682358</v>
      </c>
      <c r="Y55" s="45" t="n">
        <f aca="false">X58</f>
        <v>15364444.5550594</v>
      </c>
      <c r="Z55" s="45" t="n">
        <f aca="false">Y58</f>
        <v>16900889.0105653</v>
      </c>
      <c r="AA55" s="45" t="n">
        <f aca="false">Z58</f>
        <v>18590977.9116218</v>
      </c>
      <c r="AB55" s="45" t="n">
        <f aca="false">AA58</f>
        <v>20450075.702784</v>
      </c>
      <c r="AC55" s="45" t="n">
        <f aca="false">AB58</f>
        <v>22495083.2730624</v>
      </c>
      <c r="AD55" s="45" t="n">
        <f aca="false">AC58</f>
        <v>24744591.6003686</v>
      </c>
      <c r="AE55" s="45" t="n">
        <f aca="false">AD58</f>
        <v>27219050.7604055</v>
      </c>
      <c r="AF55" s="45" t="n">
        <f aca="false">AE58</f>
        <v>29940955.836446</v>
      </c>
    </row>
    <row r="56" customFormat="false" ht="15" hidden="false" customHeight="true" outlineLevel="0" collapsed="false">
      <c r="B56" s="49" t="s">
        <v>282</v>
      </c>
      <c r="C56" s="45" t="n">
        <f aca="false">C16+C28</f>
        <v>120000</v>
      </c>
      <c r="D56" s="45" t="n">
        <f aca="false">D16+D28</f>
        <v>120000</v>
      </c>
      <c r="E56" s="45" t="n">
        <f aca="false">E16+E28</f>
        <v>120000</v>
      </c>
      <c r="F56" s="45" t="n">
        <f aca="false">F16+F28</f>
        <v>120000</v>
      </c>
      <c r="G56" s="45" t="n">
        <f aca="false">G16+G28</f>
        <v>120000</v>
      </c>
      <c r="H56" s="45" t="n">
        <f aca="false">H16+H28</f>
        <v>122400</v>
      </c>
      <c r="I56" s="45" t="n">
        <f aca="false">I16+I28</f>
        <v>124848</v>
      </c>
      <c r="J56" s="45" t="n">
        <f aca="false">J16+J28</f>
        <v>127344.96</v>
      </c>
      <c r="K56" s="45" t="n">
        <f aca="false">K16+K28</f>
        <v>0</v>
      </c>
      <c r="L56" s="45" t="n">
        <f aca="false">L16+L28</f>
        <v>0</v>
      </c>
      <c r="M56" s="45" t="n">
        <f aca="false">M16+M28</f>
        <v>0</v>
      </c>
      <c r="N56" s="45" t="n">
        <f aca="false">N16+N28</f>
        <v>0</v>
      </c>
      <c r="O56" s="45" t="n">
        <f aca="false">O16+O28</f>
        <v>0</v>
      </c>
      <c r="P56" s="45" t="n">
        <f aca="false">P16+P28</f>
        <v>0</v>
      </c>
      <c r="Q56" s="45" t="n">
        <f aca="false">Q16+Q28</f>
        <v>0</v>
      </c>
      <c r="R56" s="45" t="n">
        <f aca="false">R16+R28</f>
        <v>0</v>
      </c>
      <c r="S56" s="45" t="n">
        <f aca="false">S16+S28</f>
        <v>0</v>
      </c>
      <c r="T56" s="45" t="n">
        <f aca="false">T16+T28</f>
        <v>0</v>
      </c>
      <c r="U56" s="45" t="n">
        <f aca="false">U16+U28</f>
        <v>0</v>
      </c>
      <c r="V56" s="45" t="n">
        <f aca="false">V16+V28</f>
        <v>0</v>
      </c>
      <c r="W56" s="45" t="n">
        <f aca="false">W16+W28</f>
        <v>0</v>
      </c>
      <c r="X56" s="45" t="n">
        <f aca="false">X16+X28</f>
        <v>0</v>
      </c>
      <c r="Y56" s="45" t="n">
        <f aca="false">Y16+Y28</f>
        <v>0</v>
      </c>
      <c r="Z56" s="45" t="n">
        <f aca="false">Z16+Z28</f>
        <v>0</v>
      </c>
      <c r="AA56" s="45" t="n">
        <f aca="false">AA16+AA28</f>
        <v>0</v>
      </c>
      <c r="AB56" s="45" t="n">
        <f aca="false">AB16+AB28</f>
        <v>0</v>
      </c>
      <c r="AC56" s="45" t="n">
        <f aca="false">AC16+AC28</f>
        <v>0</v>
      </c>
      <c r="AD56" s="45" t="n">
        <f aca="false">AD16+AD28</f>
        <v>0</v>
      </c>
      <c r="AE56" s="45" t="n">
        <f aca="false">AE16+AE28</f>
        <v>0</v>
      </c>
      <c r="AF56" s="45" t="n">
        <f aca="false">AF16+AF28</f>
        <v>0</v>
      </c>
    </row>
    <row r="57" customFormat="false" ht="15" hidden="false" customHeight="true" outlineLevel="0" collapsed="false">
      <c r="B57" s="49" t="s">
        <v>368</v>
      </c>
      <c r="C57" s="45" t="n">
        <f aca="false">C55*Assumptions!$C$27</f>
        <v>124000</v>
      </c>
      <c r="D57" s="45" t="n">
        <f aca="false">D55*Assumptions!$C$27</f>
        <v>148400</v>
      </c>
      <c r="E57" s="45" t="n">
        <f aca="false">E55*Assumptions!$C$27</f>
        <v>175240</v>
      </c>
      <c r="F57" s="45" t="n">
        <f aca="false">F55*Assumptions!$C$27</f>
        <v>204764</v>
      </c>
      <c r="G57" s="45" t="n">
        <f aca="false">G55*Assumptions!$C$27</f>
        <v>237240.4</v>
      </c>
      <c r="H57" s="45" t="n">
        <f aca="false">H55*Assumptions!$C$27</f>
        <v>272964.44</v>
      </c>
      <c r="I57" s="45" t="n">
        <f aca="false">I55*Assumptions!$C$27</f>
        <v>312500.884</v>
      </c>
      <c r="J57" s="45" t="n">
        <f aca="false">J55*Assumptions!$C$27</f>
        <v>356235.7724</v>
      </c>
      <c r="K57" s="45" t="n">
        <f aca="false">K55*Assumptions!$C$27</f>
        <v>404593.84564</v>
      </c>
      <c r="L57" s="45" t="n">
        <f aca="false">L55*Assumptions!$C$27</f>
        <v>445053.230204</v>
      </c>
      <c r="M57" s="45" t="n">
        <f aca="false">M55*Assumptions!$C$27</f>
        <v>489558.5532244</v>
      </c>
      <c r="N57" s="45" t="n">
        <f aca="false">N55*Assumptions!$C$27</f>
        <v>538514.40854684</v>
      </c>
      <c r="O57" s="45" t="n">
        <f aca="false">O55*Assumptions!$C$27</f>
        <v>592365.849401524</v>
      </c>
      <c r="P57" s="45" t="n">
        <f aca="false">P55*Assumptions!$C$27</f>
        <v>651602.434341677</v>
      </c>
      <c r="Q57" s="45" t="n">
        <f aca="false">Q55*Assumptions!$C$27</f>
        <v>716762.677775844</v>
      </c>
      <c r="R57" s="45" t="n">
        <f aca="false">R55*Assumptions!$C$27</f>
        <v>788438.945553429</v>
      </c>
      <c r="S57" s="45" t="n">
        <f aca="false">S55*Assumptions!$C$27</f>
        <v>867282.840108771</v>
      </c>
      <c r="T57" s="45" t="n">
        <f aca="false">T55*Assumptions!$C$27</f>
        <v>954011.124119648</v>
      </c>
      <c r="U57" s="45" t="n">
        <f aca="false">U55*Assumptions!$C$27</f>
        <v>1049412.23653161</v>
      </c>
      <c r="V57" s="45" t="n">
        <f aca="false">V55*Assumptions!$C$27</f>
        <v>1154353.46018477</v>
      </c>
      <c r="W57" s="45" t="n">
        <f aca="false">W55*Assumptions!$C$27</f>
        <v>1269788.80620325</v>
      </c>
      <c r="X57" s="45" t="n">
        <f aca="false">X55*Assumptions!$C$27</f>
        <v>1396767.68682358</v>
      </c>
      <c r="Y57" s="45" t="n">
        <f aca="false">Y55*Assumptions!$C$27</f>
        <v>1536444.45550594</v>
      </c>
      <c r="Z57" s="45" t="n">
        <f aca="false">Z55*Assumptions!$C$27</f>
        <v>1690088.90105653</v>
      </c>
      <c r="AA57" s="45" t="n">
        <f aca="false">AA55*Assumptions!$C$27</f>
        <v>1859097.79116218</v>
      </c>
      <c r="AB57" s="45" t="n">
        <f aca="false">AB55*Assumptions!$C$27</f>
        <v>2045007.5702784</v>
      </c>
      <c r="AC57" s="45" t="n">
        <f aca="false">AC55*Assumptions!$C$27</f>
        <v>2249508.32730624</v>
      </c>
      <c r="AD57" s="45" t="n">
        <f aca="false">AD55*Assumptions!$C$27</f>
        <v>2474459.16003686</v>
      </c>
      <c r="AE57" s="45" t="n">
        <f aca="false">AE55*Assumptions!$C$27</f>
        <v>2721905.07604055</v>
      </c>
      <c r="AF57" s="45" t="n">
        <f aca="false">AF55*Assumptions!$C$27</f>
        <v>2994095.58364461</v>
      </c>
    </row>
    <row r="58" customFormat="false" ht="15" hidden="false" customHeight="true" outlineLevel="0" collapsed="false">
      <c r="B58" s="24" t="s">
        <v>463</v>
      </c>
      <c r="C58" s="48" t="n">
        <f aca="false">C55+C56+C57</f>
        <v>1484000</v>
      </c>
      <c r="D58" s="48" t="n">
        <f aca="false">D55+D56+D57</f>
        <v>1752400</v>
      </c>
      <c r="E58" s="48" t="n">
        <f aca="false">E55+E56+E57</f>
        <v>2047640</v>
      </c>
      <c r="F58" s="48" t="n">
        <f aca="false">F55+F56+F57</f>
        <v>2372404</v>
      </c>
      <c r="G58" s="48" t="n">
        <f aca="false">G55+G56+G57</f>
        <v>2729644.4</v>
      </c>
      <c r="H58" s="48" t="n">
        <f aca="false">H55+H56+H57</f>
        <v>3125008.84</v>
      </c>
      <c r="I58" s="48" t="n">
        <f aca="false">I55+I56+I57</f>
        <v>3562357.724</v>
      </c>
      <c r="J58" s="48" t="n">
        <f aca="false">J55+J56+J57</f>
        <v>4045938.4564</v>
      </c>
      <c r="K58" s="48" t="n">
        <f aca="false">K55+K56+K57</f>
        <v>4450532.30204</v>
      </c>
      <c r="L58" s="48" t="n">
        <f aca="false">L55+L56+L57</f>
        <v>4895585.532244</v>
      </c>
      <c r="M58" s="48" t="n">
        <f aca="false">M55+M56+M57</f>
        <v>5385144.0854684</v>
      </c>
      <c r="N58" s="48" t="n">
        <f aca="false">N55+N56+N57</f>
        <v>5923658.49401524</v>
      </c>
      <c r="O58" s="48" t="n">
        <f aca="false">O55+O56+O57</f>
        <v>6516024.34341676</v>
      </c>
      <c r="P58" s="48" t="n">
        <f aca="false">P55+P56+P57</f>
        <v>7167626.77775844</v>
      </c>
      <c r="Q58" s="48" t="n">
        <f aca="false">Q55+Q56+Q57</f>
        <v>7884389.45553429</v>
      </c>
      <c r="R58" s="48" t="n">
        <f aca="false">R55+R56+R57</f>
        <v>8672828.40108771</v>
      </c>
      <c r="S58" s="48" t="n">
        <f aca="false">S55+S56+S57</f>
        <v>9540111.24119648</v>
      </c>
      <c r="T58" s="48" t="n">
        <f aca="false">T55+T56+T57</f>
        <v>10494122.3653161</v>
      </c>
      <c r="U58" s="48" t="n">
        <f aca="false">U55+U56+U57</f>
        <v>11543534.6018477</v>
      </c>
      <c r="V58" s="48" t="n">
        <f aca="false">V55+V56+V57</f>
        <v>12697888.0620325</v>
      </c>
      <c r="W58" s="48" t="n">
        <f aca="false">W55+W56+W57</f>
        <v>13967676.8682358</v>
      </c>
      <c r="X58" s="48" t="n">
        <f aca="false">X55+X56+X57</f>
        <v>15364444.5550594</v>
      </c>
      <c r="Y58" s="48" t="n">
        <f aca="false">Y55+Y56+Y57</f>
        <v>16900889.0105653</v>
      </c>
      <c r="Z58" s="48" t="n">
        <f aca="false">Z55+Z56+Z57</f>
        <v>18590977.9116218</v>
      </c>
      <c r="AA58" s="48" t="n">
        <f aca="false">AA55+AA56+AA57</f>
        <v>20450075.702784</v>
      </c>
      <c r="AB58" s="48" t="n">
        <f aca="false">AB55+AB56+AB57</f>
        <v>22495083.2730624</v>
      </c>
      <c r="AC58" s="48" t="n">
        <f aca="false">AC55+AC56+AC57</f>
        <v>24744591.6003686</v>
      </c>
      <c r="AD58" s="48" t="n">
        <f aca="false">AD55+AD56+AD57</f>
        <v>27219050.7604055</v>
      </c>
      <c r="AE58" s="48" t="n">
        <f aca="false">AE55+AE56+AE57</f>
        <v>29940955.836446</v>
      </c>
      <c r="AF58" s="48" t="n">
        <f aca="false">AF55+AF56+AF57</f>
        <v>32935051.4200907</v>
      </c>
    </row>
    <row r="59" customFormat="false" ht="15" hidden="false" customHeight="true" outlineLevel="0" collapsed="false">
      <c r="B59" s="24" t="s">
        <v>464</v>
      </c>
      <c r="C59" s="50" t="n">
        <f aca="false">C48+C54</f>
        <v>278243.8</v>
      </c>
      <c r="D59" s="50" t="n">
        <f aca="false">D48+D54</f>
        <v>299907.98</v>
      </c>
      <c r="E59" s="50" t="n">
        <f aca="false">E48+E54</f>
        <v>337079.698</v>
      </c>
      <c r="F59" s="50" t="n">
        <f aca="false">F48+F54</f>
        <v>403256.5574</v>
      </c>
      <c r="G59" s="50" t="n">
        <f aca="false">G48+G54</f>
        <v>478209.024532</v>
      </c>
      <c r="H59" s="50" t="n">
        <f aca="false">H48+H54</f>
        <v>561529.27460504</v>
      </c>
      <c r="I59" s="50" t="n">
        <f aca="false">I48+I54</f>
        <v>654071.536637781</v>
      </c>
      <c r="J59" s="50" t="n">
        <f aca="false">J48+J54</f>
        <v>756775.811565241</v>
      </c>
      <c r="K59" s="50" t="n">
        <f aca="false">K48+K54</f>
        <v>854604.035949795</v>
      </c>
      <c r="L59" s="50" t="n">
        <f aca="false">L48+L54</f>
        <v>962830.565636946</v>
      </c>
      <c r="M59" s="50" t="n">
        <f aca="false">M48+M54</f>
        <v>1082504.2007642</v>
      </c>
      <c r="N59" s="50" t="n">
        <f aca="false">N48+N54</f>
        <v>1214778.5169707</v>
      </c>
      <c r="O59" s="50" t="n">
        <f aca="false">O48+O54</f>
        <v>1360922.31672531</v>
      </c>
      <c r="P59" s="50" t="n">
        <f aca="false">P48+P54</f>
        <v>1522331.12321179</v>
      </c>
      <c r="Q59" s="50" t="n">
        <f aca="false">Q48+Q54</f>
        <v>1690639.38848447</v>
      </c>
      <c r="R59" s="50" t="n">
        <f aca="false">R48+R54</f>
        <v>1850876.87724037</v>
      </c>
      <c r="S59" s="50" t="n">
        <f aca="false">S48+S54</f>
        <v>2072462.50832678</v>
      </c>
      <c r="T59" s="50" t="n">
        <f aca="false">T48+T54</f>
        <v>2316769.66477702</v>
      </c>
      <c r="U59" s="50" t="n">
        <f aca="false">U48+U54</f>
        <v>2586067.56366053</v>
      </c>
      <c r="V59" s="50" t="n">
        <f aca="false">V48+V54</f>
        <v>2882851.07849388</v>
      </c>
      <c r="W59" s="50" t="n">
        <f aca="false">W48+W54</f>
        <v>3209863.1770234</v>
      </c>
      <c r="X59" s="50" t="n">
        <f aca="false">X48+X54</f>
        <v>3570119.59151167</v>
      </c>
      <c r="Y59" s="50" t="n">
        <f aca="false">Y48+Y54</f>
        <v>3966935.94381151</v>
      </c>
      <c r="Z59" s="50" t="n">
        <f aca="false">Z48+Z54</f>
        <v>4403957.56965764</v>
      </c>
      <c r="AA59" s="50" t="n">
        <f aca="false">AA48+AA54</f>
        <v>4885192.31095953</v>
      </c>
      <c r="AB59" s="50" t="n">
        <f aca="false">AB48+AB54</f>
        <v>5415046.57166076</v>
      </c>
      <c r="AC59" s="50" t="n">
        <f aca="false">AC48+AC54</f>
        <v>5998364.96218113</v>
      </c>
      <c r="AD59" s="50" t="n">
        <f aca="false">AD48+AD54</f>
        <v>6640473.88984589</v>
      </c>
      <c r="AE59" s="50" t="n">
        <f aca="false">AE48+AE54</f>
        <v>7347229.48832247</v>
      </c>
      <c r="AF59" s="50" t="n">
        <f aca="false">AF48+AF54</f>
        <v>8125070.31825334</v>
      </c>
    </row>
    <row r="60" customFormat="false" ht="15" hidden="false" customHeight="true" outlineLevel="0" collapsed="false">
      <c r="B60" s="24" t="s">
        <v>465</v>
      </c>
      <c r="C60" s="50" t="n">
        <f aca="false">C48+C54+C58</f>
        <v>1762243.8</v>
      </c>
      <c r="D60" s="50" t="n">
        <f aca="false">D48+D54+D58</f>
        <v>2052307.98</v>
      </c>
      <c r="E60" s="50" t="n">
        <f aca="false">E48+E54+E58</f>
        <v>2384719.698</v>
      </c>
      <c r="F60" s="50" t="n">
        <f aca="false">F48+F54+F58</f>
        <v>2775660.5574</v>
      </c>
      <c r="G60" s="50" t="n">
        <f aca="false">G48+G54+G58</f>
        <v>3207853.424532</v>
      </c>
      <c r="H60" s="50" t="n">
        <f aca="false">H48+H54+H58</f>
        <v>3686538.11460504</v>
      </c>
      <c r="I60" s="50" t="n">
        <f aca="false">I48+I54+I58</f>
        <v>4216429.26063778</v>
      </c>
      <c r="J60" s="50" t="n">
        <f aca="false">J48+J54+J58</f>
        <v>4802714.26796524</v>
      </c>
      <c r="K60" s="50" t="n">
        <f aca="false">K48+K54+K58</f>
        <v>5305136.3379898</v>
      </c>
      <c r="L60" s="50" t="n">
        <f aca="false">L48+L54+L58</f>
        <v>5858416.09788095</v>
      </c>
      <c r="M60" s="50" t="n">
        <f aca="false">M48+M54+M58</f>
        <v>6467648.2862326</v>
      </c>
      <c r="N60" s="50" t="n">
        <f aca="false">N48+N54+N58</f>
        <v>7138437.01098594</v>
      </c>
      <c r="O60" s="50" t="n">
        <f aca="false">O48+O54+O58</f>
        <v>7876946.66014208</v>
      </c>
      <c r="P60" s="50" t="n">
        <f aca="false">P48+P54+P58</f>
        <v>8689957.90097024</v>
      </c>
      <c r="Q60" s="50" t="n">
        <f aca="false">Q48+Q54+Q58</f>
        <v>9575028.84401876</v>
      </c>
      <c r="R60" s="50" t="n">
        <f aca="false">R48+R54+R58</f>
        <v>10523705.2783281</v>
      </c>
      <c r="S60" s="50" t="n">
        <f aca="false">S48+S54+S58</f>
        <v>11612573.7495233</v>
      </c>
      <c r="T60" s="50" t="n">
        <f aca="false">T48+T54+T58</f>
        <v>12810892.0300931</v>
      </c>
      <c r="U60" s="50" t="n">
        <f aca="false">U48+U54+U58</f>
        <v>14129602.1655083</v>
      </c>
      <c r="V60" s="50" t="n">
        <f aca="false">V48+V54+V58</f>
        <v>15580739.1405264</v>
      </c>
      <c r="W60" s="50" t="n">
        <f aca="false">W48+W54+W58</f>
        <v>17177540.0452592</v>
      </c>
      <c r="X60" s="50" t="n">
        <f aca="false">X48+X54+X58</f>
        <v>18934564.146571</v>
      </c>
      <c r="Y60" s="50" t="n">
        <f aca="false">Y48+Y54+Y58</f>
        <v>20867824.9543768</v>
      </c>
      <c r="Z60" s="50" t="n">
        <f aca="false">Z48+Z54+Z58</f>
        <v>22994935.4812794</v>
      </c>
      <c r="AA60" s="50" t="n">
        <f aca="false">AA48+AA54+AA58</f>
        <v>25335268.0137435</v>
      </c>
      <c r="AB60" s="50" t="n">
        <f aca="false">AB48+AB54+AB58</f>
        <v>27910129.8447232</v>
      </c>
      <c r="AC60" s="50" t="n">
        <f aca="false">AC48+AC54+AC58</f>
        <v>30742956.5625498</v>
      </c>
      <c r="AD60" s="50" t="n">
        <f aca="false">AD48+AD54+AD58</f>
        <v>33859524.6502514</v>
      </c>
      <c r="AE60" s="50" t="n">
        <f aca="false">AE48+AE54+AE58</f>
        <v>37288185.3247685</v>
      </c>
      <c r="AF60" s="50" t="n">
        <f aca="false">AF48+AF54+AF58</f>
        <v>41060121.738344</v>
      </c>
    </row>
    <row r="61" customFormat="false" ht="15" hidden="false" customHeight="true" outlineLevel="0" collapsed="false">
      <c r="B61" s="49" t="s">
        <v>381</v>
      </c>
      <c r="C61" s="45" t="n">
        <f aca="false">C60/Assumptions!C$9</f>
        <v>1762243.8</v>
      </c>
      <c r="D61" s="45" t="n">
        <f aca="false">D60/Assumptions!D$9</f>
        <v>1973373.05769231</v>
      </c>
      <c r="E61" s="45" t="n">
        <f aca="false">E60/Assumptions!E$9</f>
        <v>2204807.41309172</v>
      </c>
      <c r="F61" s="45" t="n">
        <f aca="false">F60/Assumptions!F$9</f>
        <v>2515935.50350244</v>
      </c>
      <c r="G61" s="45" t="n">
        <f aca="false">G60/Assumptions!G$9</f>
        <v>2850673.60063565</v>
      </c>
      <c r="H61" s="45" t="n">
        <f aca="false">H60/Assumptions!H$9</f>
        <v>3211822.4875659</v>
      </c>
      <c r="I61" s="45" t="n">
        <f aca="false">I60/Assumptions!I$9</f>
        <v>3601450.52385778</v>
      </c>
      <c r="J61" s="45" t="n">
        <f aca="false">J60/Assumptions!J$9</f>
        <v>4021788.35364816</v>
      </c>
      <c r="K61" s="45" t="n">
        <f aca="false">K60/Assumptions!K$9</f>
        <v>4355407.95740661</v>
      </c>
      <c r="L61" s="45" t="n">
        <f aca="false">L60/Assumptions!L$9</f>
        <v>4715332.62256459</v>
      </c>
      <c r="M61" s="45" t="n">
        <f aca="false">M60/Assumptions!M$9</f>
        <v>5103620.13363882</v>
      </c>
      <c r="N61" s="45" t="n">
        <f aca="false">N60/Assumptions!N$9</f>
        <v>5522489.60710315</v>
      </c>
      <c r="O61" s="45" t="n">
        <f aca="false">O60/Assumptions!O$9</f>
        <v>5974334.13540573</v>
      </c>
      <c r="P61" s="45" t="n">
        <f aca="false">P60/Assumptions!P$9</f>
        <v>6461734.42217739</v>
      </c>
      <c r="Q61" s="45" t="n">
        <f aca="false">Q60/Assumptions!Q$9</f>
        <v>6980256.00915893</v>
      </c>
      <c r="R61" s="45" t="n">
        <f aca="false">R60/Assumptions!R$9</f>
        <v>7521418.69869107</v>
      </c>
      <c r="S61" s="45" t="n">
        <f aca="false">S60/Assumptions!S$9</f>
        <v>8136907.92895087</v>
      </c>
      <c r="T61" s="45" t="n">
        <f aca="false">T60/Assumptions!T$9</f>
        <v>8800556.10452268</v>
      </c>
      <c r="U61" s="45" t="n">
        <f aca="false">U60/Assumptions!U$9</f>
        <v>9516133.08701191</v>
      </c>
      <c r="V61" s="45" t="n">
        <f aca="false">V60/Assumptions!V$9</f>
        <v>10287703.947574</v>
      </c>
      <c r="W61" s="45" t="n">
        <f aca="false">W60/Assumptions!W$9</f>
        <v>11119652.0909168</v>
      </c>
      <c r="X61" s="45" t="n">
        <f aca="false">X60/Assumptions!X$9</f>
        <v>12016704.1910583</v>
      </c>
      <c r="Y61" s="45" t="n">
        <f aca="false">Y60/Assumptions!Y$9</f>
        <v>12983957.0808178</v>
      </c>
      <c r="Z61" s="45" t="n">
        <f aca="false">Z60/Assumptions!Z$9</f>
        <v>14026906.7481458</v>
      </c>
      <c r="AA61" s="45" t="n">
        <f aca="false">AA60/Assumptions!AA$9</f>
        <v>15151479.6043992</v>
      </c>
      <c r="AB61" s="45" t="n">
        <f aca="false">AB60/Assumptions!AB$9</f>
        <v>16364066.2026074</v>
      </c>
      <c r="AC61" s="45" t="n">
        <f aca="false">AC60/Assumptions!AC$9</f>
        <v>17671557.5977327</v>
      </c>
      <c r="AD61" s="45" t="n">
        <f aca="false">AD60/Assumptions!AD$9</f>
        <v>19081384.555974</v>
      </c>
      <c r="AE61" s="45" t="n">
        <f aca="false">AE60/Assumptions!AE$9</f>
        <v>20601559.8363952</v>
      </c>
      <c r="AF61" s="45" t="n">
        <f aca="false">AF60/Assumptions!AF$9</f>
        <v>22240723.7856588</v>
      </c>
    </row>
    <row r="62" customFormat="false" ht="15" hidden="false" customHeight="true" outlineLevel="0" collapsed="false">
      <c r="B62" s="49" t="s">
        <v>466</v>
      </c>
      <c r="C62" s="53" t="n">
        <f aca="false">(C22+C34)/C41</f>
        <v>1.96685645933014</v>
      </c>
      <c r="D62" s="53" t="n">
        <f aca="false">(D22+D34)/D41</f>
        <v>1.94190743467059</v>
      </c>
      <c r="E62" s="53" t="n">
        <f aca="false">(E22+E34)/E41</f>
        <v>2.09866418569349</v>
      </c>
      <c r="F62" s="53" t="n">
        <f aca="false">(F22+F34)/F41</f>
        <v>2.57376201864598</v>
      </c>
      <c r="G62" s="53" t="n">
        <f aca="false">(G22+G34)/G41</f>
        <v>2.56352380069656</v>
      </c>
      <c r="H62" s="53" t="n">
        <f aca="false">(H22+H34)/H41</f>
        <v>2.56352380069656</v>
      </c>
      <c r="I62" s="53" t="n">
        <f aca="false">(I22+I34)/I41</f>
        <v>2.56352380069656</v>
      </c>
      <c r="J62" s="53" t="n">
        <f aca="false">(J22+J34)/J41</f>
        <v>2.56352380069656</v>
      </c>
      <c r="K62" s="53" t="n">
        <f aca="false">(K22+K34)/K41</f>
        <v>1.34098717607475</v>
      </c>
      <c r="L62" s="53" t="n">
        <f aca="false">(L22+L34)/L41</f>
        <v>1.34098717607475</v>
      </c>
      <c r="M62" s="53" t="n">
        <f aca="false">(M22+M34)/M41</f>
        <v>1.34098717607475</v>
      </c>
      <c r="N62" s="53" t="n">
        <f aca="false">(N22+N34)/N41</f>
        <v>1.34098717607475</v>
      </c>
      <c r="O62" s="53" t="n">
        <f aca="false">(O22+O34)/O41</f>
        <v>1.34098717607475</v>
      </c>
      <c r="P62" s="53" t="n">
        <f aca="false">(P22+P34)/P41</f>
        <v>1.34098717607475</v>
      </c>
      <c r="Q62" s="53" t="n">
        <f aca="false">(Q22+Q34)/Q41</f>
        <v>1.22326835675686</v>
      </c>
      <c r="R62" s="53" t="n">
        <f aca="false">(R22+R34)/R41</f>
        <v>1.00123482534202</v>
      </c>
      <c r="S62" s="53" t="n">
        <f aca="false">(S22+S34)/S41</f>
        <v>1.34098717607475</v>
      </c>
      <c r="T62" s="53" t="n">
        <f aca="false">(T22+T34)/T41</f>
        <v>1.34098717607475</v>
      </c>
      <c r="U62" s="53" t="n">
        <f aca="false">(U22+U34)/U41</f>
        <v>1.34098717607475</v>
      </c>
      <c r="V62" s="53" t="n">
        <f aca="false">(V22+V34)/V41</f>
        <v>1.34098717607475</v>
      </c>
      <c r="W62" s="53" t="n">
        <f aca="false">(W22+W34)/W41</f>
        <v>1.34098717607475</v>
      </c>
      <c r="X62" s="53" t="n">
        <f aca="false">(X22+X34)/X41</f>
        <v>1.34098717607475</v>
      </c>
      <c r="Y62" s="53" t="n">
        <f aca="false">(Y22+Y34)/Y41</f>
        <v>1.34098717607475</v>
      </c>
      <c r="Z62" s="53" t="n">
        <f aca="false">(Z22+Z34)/Z41</f>
        <v>1.34098717607475</v>
      </c>
      <c r="AA62" s="53" t="n">
        <f aca="false">(AA22+AA34)/AA41</f>
        <v>1.34098717607475</v>
      </c>
      <c r="AB62" s="53" t="n">
        <f aca="false">(AB22+AB34)/AB41</f>
        <v>1.34098717607475</v>
      </c>
      <c r="AC62" s="53" t="n">
        <f aca="false">(AC22+AC34)/AC41</f>
        <v>1.34098717607475</v>
      </c>
      <c r="AD62" s="53" t="n">
        <f aca="false">(AD22+AD34)/AD41</f>
        <v>1.34098717607475</v>
      </c>
      <c r="AE62" s="53" t="n">
        <f aca="false">(AE22+AE34)/AE41</f>
        <v>1.34098717607475</v>
      </c>
      <c r="AF62" s="53" t="n">
        <f aca="false">(AF22+AF34)/AF41</f>
        <v>1.34098717607475</v>
      </c>
    </row>
    <row r="63" customFormat="false" ht="15" hidden="false" customHeight="true" outlineLevel="0" collapsed="false">
      <c r="B63" s="49" t="s">
        <v>467</v>
      </c>
      <c r="C63" s="54" t="n">
        <f aca="false">C59/C41</f>
        <v>2.21885007974482</v>
      </c>
      <c r="D63" s="54" t="n">
        <f aca="false">D59/D41</f>
        <v>2.29962565942829</v>
      </c>
      <c r="E63" s="54" t="n">
        <f aca="false">E59/E41</f>
        <v>2.71945138802834</v>
      </c>
      <c r="F63" s="54" t="n">
        <f aca="false">F59/F41</f>
        <v>3.93035373797512</v>
      </c>
      <c r="G63" s="54" t="n">
        <f aca="false">G59/G41</f>
        <v>4.56949069167172</v>
      </c>
      <c r="H63" s="54" t="n">
        <f aca="false">H59/H41</f>
        <v>5.26044228544659</v>
      </c>
      <c r="I63" s="54" t="n">
        <f aca="false">I59/I41</f>
        <v>6.00723934888325</v>
      </c>
      <c r="J63" s="54" t="n">
        <f aca="false">J59/J41</f>
        <v>6.81422950337092</v>
      </c>
      <c r="K63" s="54" t="n">
        <f aca="false">K59/K41</f>
        <v>9.35483144753745</v>
      </c>
      <c r="L63" s="54" t="n">
        <f aca="false">L59/L41</f>
        <v>10.3328642652347</v>
      </c>
      <c r="M63" s="54" t="n">
        <f aca="false">M59/M41</f>
        <v>11.389385011404</v>
      </c>
      <c r="N63" s="54" t="n">
        <f aca="false">N59/N41</f>
        <v>12.530477329194</v>
      </c>
      <c r="O63" s="54" t="n">
        <f aca="false">O59/O41</f>
        <v>13.7627010452141</v>
      </c>
      <c r="P63" s="54" t="n">
        <f aca="false">P59/P41</f>
        <v>15.0931293843765</v>
      </c>
      <c r="Q63" s="54" t="n">
        <f aca="false">Q59/Q41</f>
        <v>14.9905682750601</v>
      </c>
      <c r="R63" s="54" t="n">
        <f aca="false">R59/R41</f>
        <v>13.1691782874385</v>
      </c>
      <c r="S63" s="54" t="n">
        <f aca="false">S59/S41</f>
        <v>19.3622728606566</v>
      </c>
      <c r="T63" s="54" t="n">
        <f aca="false">T59/T41</f>
        <v>21.2203400754424</v>
      </c>
      <c r="U63" s="54" t="n">
        <f aca="false">U59/U41</f>
        <v>23.2225109804079</v>
      </c>
      <c r="V63" s="54" t="n">
        <f aca="false">V59/V41</f>
        <v>25.3799841398175</v>
      </c>
      <c r="W63" s="54" t="n">
        <f aca="false">W59/W41</f>
        <v>27.7048298292637</v>
      </c>
      <c r="X63" s="54" t="n">
        <f aca="false">X59/X41</f>
        <v>30.210057984121</v>
      </c>
      <c r="Y63" s="54" t="n">
        <f aca="false">Y59/Y41</f>
        <v>32.9096914504574</v>
      </c>
      <c r="Z63" s="54" t="n">
        <f aca="false">Z59/Z41</f>
        <v>35.8188449525735</v>
      </c>
      <c r="AA63" s="54" t="n">
        <f aca="false">AA59/AA41</f>
        <v>38.9538102237133</v>
      </c>
      <c r="AB63" s="54" t="n">
        <f aca="false">AB59/AB41</f>
        <v>42.3321477813965</v>
      </c>
      <c r="AC63" s="54" t="n">
        <f aca="false">AC59/AC41</f>
        <v>45.9727858664631</v>
      </c>
      <c r="AD63" s="54" t="n">
        <f aca="false">AD59/AD41</f>
        <v>49.8961271054989</v>
      </c>
      <c r="AE63" s="54" t="n">
        <f aca="false">AE59/AE41</f>
        <v>54.1241635000705</v>
      </c>
      <c r="AF63" s="54" t="n">
        <f aca="false">AF59/AF41</f>
        <v>58.6806003933735</v>
      </c>
    </row>
    <row r="64" customFormat="false" ht="15" hidden="false" customHeight="true" outlineLevel="0" collapsed="false">
      <c r="B64" s="24" t="s">
        <v>468</v>
      </c>
      <c r="C64" s="57" t="n">
        <f aca="false">IF(C59&lt;=0,1,0)</f>
        <v>0</v>
      </c>
      <c r="D64" s="57" t="n">
        <f aca="false">IF(D59&lt;=0,1,0)</f>
        <v>0</v>
      </c>
      <c r="E64" s="57" t="n">
        <f aca="false">IF(E59&lt;=0,1,0)</f>
        <v>0</v>
      </c>
      <c r="F64" s="57" t="n">
        <f aca="false">IF(F59&lt;=0,1,0)</f>
        <v>0</v>
      </c>
      <c r="G64" s="57" t="n">
        <f aca="false">IF(G59&lt;=0,1,0)</f>
        <v>0</v>
      </c>
      <c r="H64" s="57" t="n">
        <f aca="false">IF(H59&lt;=0,1,0)</f>
        <v>0</v>
      </c>
      <c r="I64" s="57" t="n">
        <f aca="false">IF(I59&lt;=0,1,0)</f>
        <v>0</v>
      </c>
      <c r="J64" s="57" t="n">
        <f aca="false">IF(J59&lt;=0,1,0)</f>
        <v>0</v>
      </c>
      <c r="K64" s="57" t="n">
        <f aca="false">IF(K59&lt;=0,1,0)</f>
        <v>0</v>
      </c>
      <c r="L64" s="57" t="n">
        <f aca="false">IF(L59&lt;=0,1,0)</f>
        <v>0</v>
      </c>
      <c r="M64" s="57" t="n">
        <f aca="false">IF(M59&lt;=0,1,0)</f>
        <v>0</v>
      </c>
      <c r="N64" s="57" t="n">
        <f aca="false">IF(N59&lt;=0,1,0)</f>
        <v>0</v>
      </c>
      <c r="O64" s="57" t="n">
        <f aca="false">IF(O59&lt;=0,1,0)</f>
        <v>0</v>
      </c>
      <c r="P64" s="57" t="n">
        <f aca="false">IF(P59&lt;=0,1,0)</f>
        <v>0</v>
      </c>
      <c r="Q64" s="57" t="n">
        <f aca="false">IF(Q59&lt;=0,1,0)</f>
        <v>0</v>
      </c>
      <c r="R64" s="57" t="n">
        <f aca="false">IF(R59&lt;=0,1,0)</f>
        <v>0</v>
      </c>
      <c r="S64" s="57" t="n">
        <f aca="false">IF(S59&lt;=0,1,0)</f>
        <v>0</v>
      </c>
      <c r="T64" s="57" t="n">
        <f aca="false">IF(T59&lt;=0,1,0)</f>
        <v>0</v>
      </c>
      <c r="U64" s="57" t="n">
        <f aca="false">IF(U59&lt;=0,1,0)</f>
        <v>0</v>
      </c>
      <c r="V64" s="57" t="n">
        <f aca="false">IF(V59&lt;=0,1,0)</f>
        <v>0</v>
      </c>
      <c r="W64" s="57" t="n">
        <f aca="false">IF(W59&lt;=0,1,0)</f>
        <v>0</v>
      </c>
      <c r="X64" s="57" t="n">
        <f aca="false">IF(X59&lt;=0,1,0)</f>
        <v>0</v>
      </c>
      <c r="Y64" s="57" t="n">
        <f aca="false">IF(Y59&lt;=0,1,0)</f>
        <v>0</v>
      </c>
      <c r="Z64" s="57" t="n">
        <f aca="false">IF(Z59&lt;=0,1,0)</f>
        <v>0</v>
      </c>
      <c r="AA64" s="57" t="n">
        <f aca="false">IF(AA59&lt;=0,1,0)</f>
        <v>0</v>
      </c>
      <c r="AB64" s="57" t="n">
        <f aca="false">IF(AB59&lt;=0,1,0)</f>
        <v>0</v>
      </c>
      <c r="AC64" s="57" t="n">
        <f aca="false">IF(AC59&lt;=0,1,0)</f>
        <v>0</v>
      </c>
      <c r="AD64" s="57" t="n">
        <f aca="false">IF(AD59&lt;=0,1,0)</f>
        <v>0</v>
      </c>
      <c r="AE64" s="57" t="n">
        <f aca="false">IF(AE59&lt;=0,1,0)</f>
        <v>0</v>
      </c>
      <c r="AF64" s="57" t="n">
        <f aca="false">IF(AF59&lt;=0,1,0)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20" width="3"/>
    <col collapsed="false" customWidth="true" hidden="false" outlineLevel="0" max="2" min="2" style="20" width="52"/>
    <col collapsed="false" customWidth="true" hidden="false" outlineLevel="0" max="32" min="3" style="20" width="13"/>
  </cols>
  <sheetData>
    <row r="1" customFormat="false" ht="17.25" hidden="false" customHeight="true" outlineLevel="0" collapsed="false">
      <c r="A1" s="21" t="s">
        <v>93</v>
      </c>
    </row>
    <row r="2" customFormat="false" ht="15" hidden="false" customHeight="true" outlineLevel="0" collapsed="false">
      <c r="A2" s="22" t="s">
        <v>469</v>
      </c>
    </row>
    <row r="4" customFormat="false" ht="15" hidden="false" customHeight="true" outlineLevel="0" collapsed="false">
      <c r="B4" s="24" t="s">
        <v>470</v>
      </c>
      <c r="C4" s="65" t="n">
        <v>0</v>
      </c>
    </row>
    <row r="5" customFormat="false" ht="15" hidden="false" customHeight="true" outlineLevel="0" collapsed="false">
      <c r="B5" s="68" t="s">
        <v>471</v>
      </c>
    </row>
    <row r="7" customFormat="false" ht="15" hidden="false" customHeight="true" outlineLevel="0" collapsed="false">
      <c r="A7" s="23" t="s">
        <v>472</v>
      </c>
      <c r="B7" s="23"/>
      <c r="C7" s="23"/>
      <c r="D7" s="23"/>
      <c r="E7" s="23"/>
      <c r="F7" s="23"/>
      <c r="G7" s="23"/>
      <c r="H7" s="23"/>
      <c r="I7" s="23"/>
      <c r="J7" s="23"/>
      <c r="K7" s="23"/>
      <c r="L7" s="23"/>
      <c r="M7" s="23"/>
      <c r="N7" s="23"/>
      <c r="O7" s="23"/>
      <c r="P7" s="23"/>
      <c r="Q7" s="23"/>
      <c r="R7" s="23"/>
      <c r="S7" s="23"/>
      <c r="T7" s="23"/>
      <c r="U7" s="23"/>
      <c r="V7" s="23"/>
      <c r="W7" s="23"/>
      <c r="X7" s="23"/>
      <c r="Y7" s="23"/>
      <c r="Z7" s="23"/>
      <c r="AA7" s="23"/>
      <c r="AB7" s="23"/>
      <c r="AC7" s="23"/>
      <c r="AD7" s="23"/>
      <c r="AE7" s="23"/>
      <c r="AF7" s="23"/>
    </row>
    <row r="8" customFormat="false" ht="15" hidden="false" customHeight="true" outlineLevel="0" collapsed="false">
      <c r="B8" s="24" t="s">
        <v>123</v>
      </c>
      <c r="C8" s="25" t="n">
        <v>2026</v>
      </c>
      <c r="D8" s="25" t="n">
        <v>2027</v>
      </c>
      <c r="E8" s="25" t="n">
        <v>2028</v>
      </c>
      <c r="F8" s="25" t="n">
        <v>2029</v>
      </c>
      <c r="G8" s="25" t="n">
        <v>2030</v>
      </c>
      <c r="H8" s="25" t="n">
        <v>2031</v>
      </c>
      <c r="I8" s="25" t="n">
        <v>2032</v>
      </c>
      <c r="J8" s="25" t="n">
        <v>2033</v>
      </c>
      <c r="K8" s="25" t="n">
        <v>2034</v>
      </c>
      <c r="L8" s="25" t="n">
        <v>2035</v>
      </c>
      <c r="M8" s="25" t="n">
        <v>2036</v>
      </c>
      <c r="N8" s="25" t="n">
        <v>2037</v>
      </c>
      <c r="O8" s="25" t="n">
        <v>2038</v>
      </c>
      <c r="P8" s="25" t="n">
        <v>2039</v>
      </c>
      <c r="Q8" s="25" t="n">
        <v>2040</v>
      </c>
      <c r="R8" s="25" t="n">
        <v>2041</v>
      </c>
      <c r="S8" s="25" t="n">
        <v>2042</v>
      </c>
      <c r="T8" s="25" t="n">
        <v>2043</v>
      </c>
      <c r="U8" s="25" t="n">
        <v>2044</v>
      </c>
      <c r="V8" s="25" t="n">
        <v>2045</v>
      </c>
      <c r="W8" s="25" t="n">
        <v>2046</v>
      </c>
      <c r="X8" s="25" t="n">
        <v>2047</v>
      </c>
      <c r="Y8" s="25" t="n">
        <v>2048</v>
      </c>
      <c r="Z8" s="25" t="n">
        <v>2049</v>
      </c>
      <c r="AA8" s="25" t="n">
        <v>2050</v>
      </c>
      <c r="AB8" s="25" t="n">
        <v>2051</v>
      </c>
      <c r="AC8" s="25" t="n">
        <v>2052</v>
      </c>
      <c r="AD8" s="25" t="n">
        <v>2053</v>
      </c>
      <c r="AE8" s="25" t="n">
        <v>2054</v>
      </c>
      <c r="AF8" s="25" t="n">
        <v>2055</v>
      </c>
    </row>
    <row r="9" customFormat="false" ht="15" hidden="false" customHeight="true" outlineLevel="0" collapsed="false">
      <c r="B9" s="26" t="s">
        <v>339</v>
      </c>
      <c r="C9" s="51" t="n">
        <f aca="false">MM_Income!C$17</f>
        <v>119157.4</v>
      </c>
      <c r="D9" s="51" t="n">
        <f aca="false">MM_Income!D$17</f>
        <v>121741.4</v>
      </c>
      <c r="E9" s="51" t="n">
        <f aca="false">MM_Income!E$17</f>
        <v>124428.76</v>
      </c>
      <c r="F9" s="51" t="n">
        <f aca="false">MM_Income!F$17</f>
        <v>126187.6032</v>
      </c>
      <c r="G9" s="51" t="n">
        <f aca="false">MM_Income!G$17</f>
        <v>128175.627264</v>
      </c>
      <c r="H9" s="51" t="n">
        <f aca="false">MM_Income!H$17</f>
        <v>130739.13980928</v>
      </c>
      <c r="I9" s="51" t="n">
        <f aca="false">MM_Income!I$17</f>
        <v>133353.922605466</v>
      </c>
      <c r="J9" s="51" t="n">
        <f aca="false">MM_Income!J$17</f>
        <v>136021.001057575</v>
      </c>
      <c r="K9" s="51" t="n">
        <f aca="false">MM_Income!K$17</f>
        <v>138741.421078726</v>
      </c>
      <c r="L9" s="51" t="n">
        <f aca="false">MM_Income!L$17</f>
        <v>141516.249500301</v>
      </c>
      <c r="M9" s="51" t="n">
        <f aca="false">MM_Income!M$17</f>
        <v>144346.574490307</v>
      </c>
      <c r="N9" s="51" t="n">
        <f aca="false">MM_Income!N$17</f>
        <v>147233.505980113</v>
      </c>
      <c r="O9" s="51" t="n">
        <f aca="false">MM_Income!O$17</f>
        <v>150178.176099715</v>
      </c>
      <c r="P9" s="51" t="n">
        <f aca="false">MM_Income!P$17</f>
        <v>153181.73962171</v>
      </c>
      <c r="Q9" s="51" t="n">
        <f aca="false">MM_Income!Q$17</f>
        <v>156245.374414144</v>
      </c>
      <c r="R9" s="51" t="n">
        <f aca="false">MM_Income!R$17</f>
        <v>159370.281902427</v>
      </c>
      <c r="S9" s="51" t="n">
        <f aca="false">MM_Income!S$17</f>
        <v>162557.687540475</v>
      </c>
      <c r="T9" s="51" t="n">
        <f aca="false">MM_Income!T$17</f>
        <v>165808.841291285</v>
      </c>
      <c r="U9" s="51" t="n">
        <f aca="false">MM_Income!U$17</f>
        <v>169125.018117111</v>
      </c>
      <c r="V9" s="51" t="n">
        <f aca="false">MM_Income!V$17</f>
        <v>172507.518479453</v>
      </c>
      <c r="W9" s="51" t="n">
        <f aca="false">MM_Income!W$17</f>
        <v>175957.668849042</v>
      </c>
      <c r="X9" s="51" t="n">
        <f aca="false">MM_Income!X$17</f>
        <v>179476.822226023</v>
      </c>
      <c r="Y9" s="51" t="n">
        <f aca="false">MM_Income!Y$17</f>
        <v>183066.358670543</v>
      </c>
      <c r="Z9" s="51" t="n">
        <f aca="false">MM_Income!Z$17</f>
        <v>186727.685843954</v>
      </c>
      <c r="AA9" s="51" t="n">
        <f aca="false">MM_Income!AA$17</f>
        <v>190462.239560833</v>
      </c>
      <c r="AB9" s="51" t="n">
        <f aca="false">MM_Income!AB$17</f>
        <v>194271.48435205</v>
      </c>
      <c r="AC9" s="51" t="n">
        <f aca="false">MM_Income!AC$17</f>
        <v>198156.914039091</v>
      </c>
      <c r="AD9" s="51" t="n">
        <f aca="false">MM_Income!AD$17</f>
        <v>202120.052319873</v>
      </c>
      <c r="AE9" s="51" t="n">
        <f aca="false">MM_Income!AE$17</f>
        <v>206162.45336627</v>
      </c>
      <c r="AF9" s="51" t="n">
        <f aca="false">MM_Income!AF$17</f>
        <v>210285.702433595</v>
      </c>
    </row>
    <row r="10" customFormat="false" ht="15" hidden="false" customHeight="true" outlineLevel="0" collapsed="false">
      <c r="B10" s="26" t="s">
        <v>340</v>
      </c>
      <c r="C10" s="51" t="n">
        <f aca="false">DM_Income!C$17</f>
        <v>127486.4</v>
      </c>
      <c r="D10" s="51" t="n">
        <f aca="false">DM_Income!D$17</f>
        <v>131514.4</v>
      </c>
      <c r="E10" s="51" t="n">
        <f aca="false">DM_Income!E$17</f>
        <v>135703.52</v>
      </c>
      <c r="F10" s="51" t="n">
        <f aca="false">DM_Income!F$17</f>
        <v>137881.8624</v>
      </c>
      <c r="G10" s="51" t="n">
        <f aca="false">DM_Income!G$17</f>
        <v>140103.771648</v>
      </c>
      <c r="H10" s="51" t="n">
        <f aca="false">DM_Income!H$17</f>
        <v>142905.84708096</v>
      </c>
      <c r="I10" s="51" t="n">
        <f aca="false">DM_Income!I$17</f>
        <v>145763.964022579</v>
      </c>
      <c r="J10" s="51" t="n">
        <f aca="false">DM_Income!J$17</f>
        <v>148679.243303031</v>
      </c>
      <c r="K10" s="51" t="n">
        <f aca="false">DM_Income!K$17</f>
        <v>151652.828169091</v>
      </c>
      <c r="L10" s="51" t="n">
        <f aca="false">DM_Income!L$17</f>
        <v>154685.884732473</v>
      </c>
      <c r="M10" s="51" t="n">
        <f aca="false">DM_Income!M$17</f>
        <v>157779.602427123</v>
      </c>
      <c r="N10" s="51" t="n">
        <f aca="false">DM_Income!N$17</f>
        <v>160935.194475665</v>
      </c>
      <c r="O10" s="51" t="n">
        <f aca="false">DM_Income!O$17</f>
        <v>164153.898365179</v>
      </c>
      <c r="P10" s="51" t="n">
        <f aca="false">DM_Income!P$17</f>
        <v>167436.976332482</v>
      </c>
      <c r="Q10" s="51" t="n">
        <f aca="false">DM_Income!Q$17</f>
        <v>170785.715859132</v>
      </c>
      <c r="R10" s="51" t="n">
        <f aca="false">DM_Income!R$17</f>
        <v>174201.430176314</v>
      </c>
      <c r="S10" s="51" t="n">
        <f aca="false">DM_Income!S$17</f>
        <v>177685.458779841</v>
      </c>
      <c r="T10" s="51" t="n">
        <f aca="false">DM_Income!T$17</f>
        <v>181239.167955437</v>
      </c>
      <c r="U10" s="51" t="n">
        <f aca="false">DM_Income!U$17</f>
        <v>184863.951314546</v>
      </c>
      <c r="V10" s="51" t="n">
        <f aca="false">DM_Income!V$17</f>
        <v>188561.230340837</v>
      </c>
      <c r="W10" s="51" t="n">
        <f aca="false">DM_Income!W$17</f>
        <v>192332.454947654</v>
      </c>
      <c r="X10" s="51" t="n">
        <f aca="false">DM_Income!X$17</f>
        <v>196179.104046607</v>
      </c>
      <c r="Y10" s="51" t="n">
        <f aca="false">DM_Income!Y$17</f>
        <v>200102.686127539</v>
      </c>
      <c r="Z10" s="51" t="n">
        <f aca="false">DM_Income!Z$17</f>
        <v>204104.73985009</v>
      </c>
      <c r="AA10" s="51" t="n">
        <f aca="false">DM_Income!AA$17</f>
        <v>208186.834647092</v>
      </c>
      <c r="AB10" s="51" t="n">
        <f aca="false">DM_Income!AB$17</f>
        <v>212350.571340034</v>
      </c>
      <c r="AC10" s="51" t="n">
        <f aca="false">DM_Income!AC$17</f>
        <v>216597.582766834</v>
      </c>
      <c r="AD10" s="51" t="n">
        <f aca="false">DM_Income!AD$17</f>
        <v>220929.534422171</v>
      </c>
      <c r="AE10" s="51" t="n">
        <f aca="false">DM_Income!AE$17</f>
        <v>225348.125110614</v>
      </c>
      <c r="AF10" s="51" t="n">
        <f aca="false">DM_Income!AF$17</f>
        <v>229855.087612827</v>
      </c>
    </row>
    <row r="11" customFormat="false" ht="15" hidden="false" customHeight="true" outlineLevel="0" collapsed="false">
      <c r="B11" s="49" t="s">
        <v>473</v>
      </c>
      <c r="C11" s="45" t="n">
        <f aca="false">-IF(C8=Assumptions!$E$83,$C$4*Assumptions!C$9,0)</f>
        <v>-0</v>
      </c>
      <c r="D11" s="45" t="n">
        <f aca="false">-IF(D8=Assumptions!$E$83,$C$4*Assumptions!D$9,0)</f>
        <v>-0</v>
      </c>
      <c r="E11" s="45" t="n">
        <f aca="false">-IF(E8=Assumptions!$E$83,$C$4*Assumptions!E$9,0)</f>
        <v>-0</v>
      </c>
      <c r="F11" s="45" t="n">
        <f aca="false">-IF(F8=Assumptions!$E$83,$C$4*Assumptions!F$9,0)</f>
        <v>-0</v>
      </c>
      <c r="G11" s="45" t="n">
        <f aca="false">-IF(G8=Assumptions!$E$83,$C$4*Assumptions!G$9,0)</f>
        <v>-0</v>
      </c>
      <c r="H11" s="45" t="n">
        <f aca="false">-IF(H8=Assumptions!$E$83,$C$4*Assumptions!H$9,0)</f>
        <v>-0</v>
      </c>
      <c r="I11" s="45" t="n">
        <f aca="false">-IF(I8=Assumptions!$E$83,$C$4*Assumptions!I$9,0)</f>
        <v>-0</v>
      </c>
      <c r="J11" s="45" t="n">
        <f aca="false">-IF(J8=Assumptions!$E$83,$C$4*Assumptions!J$9,0)</f>
        <v>-0</v>
      </c>
      <c r="K11" s="45" t="n">
        <f aca="false">-IF(K8=Assumptions!$E$83,$C$4*Assumptions!K$9,0)</f>
        <v>-0</v>
      </c>
      <c r="L11" s="45" t="n">
        <f aca="false">-IF(L8=Assumptions!$E$83,$C$4*Assumptions!L$9,0)</f>
        <v>-0</v>
      </c>
      <c r="M11" s="45" t="n">
        <f aca="false">-IF(M8=Assumptions!$E$83,$C$4*Assumptions!M$9,0)</f>
        <v>-0</v>
      </c>
      <c r="N11" s="45" t="n">
        <f aca="false">-IF(N8=Assumptions!$E$83,$C$4*Assumptions!N$9,0)</f>
        <v>-0</v>
      </c>
      <c r="O11" s="45" t="n">
        <f aca="false">-IF(O8=Assumptions!$E$83,$C$4*Assumptions!O$9,0)</f>
        <v>-0</v>
      </c>
      <c r="P11" s="45" t="n">
        <f aca="false">-IF(P8=Assumptions!$E$83,$C$4*Assumptions!P$9,0)</f>
        <v>-0</v>
      </c>
      <c r="Q11" s="45" t="n">
        <f aca="false">-IF(Q8=Assumptions!$E$83,$C$4*Assumptions!Q$9,0)</f>
        <v>-0</v>
      </c>
      <c r="R11" s="45" t="n">
        <f aca="false">-IF(R8=Assumptions!$E$83,$C$4*Assumptions!R$9,0)</f>
        <v>-0</v>
      </c>
      <c r="S11" s="45" t="n">
        <f aca="false">-IF(S8=Assumptions!$E$83,$C$4*Assumptions!S$9,0)</f>
        <v>-0</v>
      </c>
      <c r="T11" s="45" t="n">
        <f aca="false">-IF(T8=Assumptions!$E$83,$C$4*Assumptions!T$9,0)</f>
        <v>-0</v>
      </c>
      <c r="U11" s="45" t="n">
        <f aca="false">-IF(U8=Assumptions!$E$83,$C$4*Assumptions!U$9,0)</f>
        <v>-0</v>
      </c>
      <c r="V11" s="45" t="n">
        <f aca="false">-IF(V8=Assumptions!$E$83,$C$4*Assumptions!V$9,0)</f>
        <v>-0</v>
      </c>
      <c r="W11" s="45" t="n">
        <f aca="false">-IF(W8=Assumptions!$E$83,$C$4*Assumptions!W$9,0)</f>
        <v>-0</v>
      </c>
      <c r="X11" s="45" t="n">
        <f aca="false">-IF(X8=Assumptions!$E$83,$C$4*Assumptions!X$9,0)</f>
        <v>-0</v>
      </c>
      <c r="Y11" s="45" t="n">
        <f aca="false">-IF(Y8=Assumptions!$E$83,$C$4*Assumptions!Y$9,0)</f>
        <v>-0</v>
      </c>
      <c r="Z11" s="45" t="n">
        <f aca="false">-IF(Z8=Assumptions!$E$83,$C$4*Assumptions!Z$9,0)</f>
        <v>-0</v>
      </c>
      <c r="AA11" s="45" t="n">
        <f aca="false">-IF(AA8=Assumptions!$E$83,$C$4*Assumptions!AA$9,0)</f>
        <v>-0</v>
      </c>
      <c r="AB11" s="45" t="n">
        <f aca="false">-IF(AB8=Assumptions!$E$83,$C$4*Assumptions!AB$9,0)</f>
        <v>-0</v>
      </c>
      <c r="AC11" s="45" t="n">
        <f aca="false">-IF(AC8=Assumptions!$E$83,$C$4*Assumptions!AC$9,0)</f>
        <v>-0</v>
      </c>
      <c r="AD11" s="45" t="n">
        <f aca="false">-IF(AD8=Assumptions!$E$83,$C$4*Assumptions!AD$9,0)</f>
        <v>-0</v>
      </c>
      <c r="AE11" s="45" t="n">
        <f aca="false">-IF(AE8=Assumptions!$E$83,$C$4*Assumptions!AE$9,0)</f>
        <v>-0</v>
      </c>
      <c r="AF11" s="45" t="n">
        <f aca="false">-IF(AF8=Assumptions!$E$83,$C$4*Assumptions!AF$9,0)</f>
        <v>-0</v>
      </c>
    </row>
    <row r="12" customFormat="false" ht="15" hidden="false" customHeight="true" outlineLevel="0" collapsed="false">
      <c r="B12" s="24" t="s">
        <v>341</v>
      </c>
      <c r="C12" s="50" t="n">
        <f aca="false">C9+C10+C11</f>
        <v>246643.8</v>
      </c>
      <c r="D12" s="50" t="n">
        <f aca="false">D9+D10+D11</f>
        <v>253255.8</v>
      </c>
      <c r="E12" s="50" t="n">
        <f aca="false">E9+E10+E11</f>
        <v>260132.28</v>
      </c>
      <c r="F12" s="50" t="n">
        <f aca="false">F9+F10+F11</f>
        <v>264069.4656</v>
      </c>
      <c r="G12" s="50" t="n">
        <f aca="false">G9+G10+G11</f>
        <v>268279.398912</v>
      </c>
      <c r="H12" s="50" t="n">
        <f aca="false">H9+H10+H11</f>
        <v>273644.98689024</v>
      </c>
      <c r="I12" s="50" t="n">
        <f aca="false">I9+I10+I11</f>
        <v>279117.886628045</v>
      </c>
      <c r="J12" s="50" t="n">
        <f aca="false">J9+J10+J11</f>
        <v>284700.244360606</v>
      </c>
      <c r="K12" s="50" t="n">
        <f aca="false">K9+K10+K11</f>
        <v>290394.249247818</v>
      </c>
      <c r="L12" s="50" t="n">
        <f aca="false">L9+L10+L11</f>
        <v>296202.134232774</v>
      </c>
      <c r="M12" s="50" t="n">
        <f aca="false">M9+M10+M11</f>
        <v>302126.17691743</v>
      </c>
      <c r="N12" s="50" t="n">
        <f aca="false">N9+N10+N11</f>
        <v>308168.700455778</v>
      </c>
      <c r="O12" s="50" t="n">
        <f aca="false">O9+O10+O11</f>
        <v>314332.074464894</v>
      </c>
      <c r="P12" s="50" t="n">
        <f aca="false">P9+P10+P11</f>
        <v>320618.715954192</v>
      </c>
      <c r="Q12" s="50" t="n">
        <f aca="false">Q9+Q10+Q11</f>
        <v>327031.090273276</v>
      </c>
      <c r="R12" s="50" t="n">
        <f aca="false">R9+R10+R11</f>
        <v>333571.712078741</v>
      </c>
      <c r="S12" s="50" t="n">
        <f aca="false">S9+S10+S11</f>
        <v>340243.146320316</v>
      </c>
      <c r="T12" s="50" t="n">
        <f aca="false">T9+T10+T11</f>
        <v>347048.009246722</v>
      </c>
      <c r="U12" s="50" t="n">
        <f aca="false">U9+U10+U11</f>
        <v>353988.969431657</v>
      </c>
      <c r="V12" s="50" t="n">
        <f aca="false">V9+V10+V11</f>
        <v>361068.74882029</v>
      </c>
      <c r="W12" s="50" t="n">
        <f aca="false">W9+W10+W11</f>
        <v>368290.123796696</v>
      </c>
      <c r="X12" s="50" t="n">
        <f aca="false">X9+X10+X11</f>
        <v>375655.92627263</v>
      </c>
      <c r="Y12" s="50" t="n">
        <f aca="false">Y9+Y10+Y11</f>
        <v>383169.044798082</v>
      </c>
      <c r="Z12" s="50" t="n">
        <f aca="false">Z9+Z10+Z11</f>
        <v>390832.425694044</v>
      </c>
      <c r="AA12" s="50" t="n">
        <f aca="false">AA9+AA10+AA11</f>
        <v>398649.074207925</v>
      </c>
      <c r="AB12" s="50" t="n">
        <f aca="false">AB9+AB10+AB11</f>
        <v>406622.055692083</v>
      </c>
      <c r="AC12" s="50" t="n">
        <f aca="false">AC9+AC10+AC11</f>
        <v>414754.496805925</v>
      </c>
      <c r="AD12" s="50" t="n">
        <f aca="false">AD9+AD10+AD11</f>
        <v>423049.586742043</v>
      </c>
      <c r="AE12" s="50" t="n">
        <f aca="false">AE9+AE10+AE11</f>
        <v>431510.578476884</v>
      </c>
      <c r="AF12" s="50" t="n">
        <f aca="false">AF9+AF10+AF11</f>
        <v>440140.790046422</v>
      </c>
    </row>
    <row r="14" customFormat="false" ht="15" hidden="false" customHeight="true" outlineLevel="0" collapsed="false">
      <c r="A14" s="23" t="s">
        <v>474</v>
      </c>
      <c r="B14" s="23"/>
      <c r="C14" s="23"/>
      <c r="D14" s="23"/>
      <c r="E14" s="23"/>
      <c r="F14" s="23"/>
      <c r="G14" s="23"/>
      <c r="H14" s="23"/>
      <c r="I14" s="23"/>
      <c r="J14" s="23"/>
      <c r="K14" s="23"/>
      <c r="L14" s="23"/>
      <c r="M14" s="23"/>
      <c r="N14" s="23"/>
      <c r="O14" s="23"/>
      <c r="P14" s="23"/>
      <c r="Q14" s="23"/>
      <c r="R14" s="23"/>
      <c r="S14" s="23"/>
      <c r="T14" s="23"/>
      <c r="U14" s="23"/>
      <c r="V14" s="23"/>
      <c r="W14" s="23"/>
      <c r="X14" s="23"/>
      <c r="Y14" s="23"/>
      <c r="Z14" s="23"/>
      <c r="AA14" s="23"/>
      <c r="AB14" s="23"/>
      <c r="AC14" s="23"/>
      <c r="AD14" s="23"/>
      <c r="AE14" s="23"/>
      <c r="AF14" s="23"/>
    </row>
    <row r="15" customFormat="false" ht="15" hidden="false" customHeight="true" outlineLevel="0" collapsed="false">
      <c r="B15" s="26" t="s">
        <v>475</v>
      </c>
      <c r="C15" s="51" t="n">
        <f aca="false">MM_Income!C$9+DM_Income!C$9</f>
        <v>120000</v>
      </c>
      <c r="D15" s="51" t="n">
        <f aca="false">MM_Income!D$9+DM_Income!D$9</f>
        <v>120000</v>
      </c>
      <c r="E15" s="51" t="n">
        <f aca="false">MM_Income!E$9+DM_Income!E$9</f>
        <v>120000</v>
      </c>
      <c r="F15" s="51" t="n">
        <f aca="false">MM_Income!F$9+DM_Income!F$9</f>
        <v>120000</v>
      </c>
      <c r="G15" s="51" t="n">
        <f aca="false">MM_Income!G$9+DM_Income!G$9</f>
        <v>120000</v>
      </c>
      <c r="H15" s="51" t="n">
        <f aca="false">MM_Income!H$9+DM_Income!H$9</f>
        <v>122400</v>
      </c>
      <c r="I15" s="51" t="n">
        <f aca="false">MM_Income!I$9+DM_Income!I$9</f>
        <v>124848</v>
      </c>
      <c r="J15" s="51" t="n">
        <f aca="false">MM_Income!J$9+DM_Income!J$9</f>
        <v>127344.96</v>
      </c>
      <c r="K15" s="51" t="n">
        <f aca="false">MM_Income!K$9+DM_Income!K$9</f>
        <v>129891.8592</v>
      </c>
      <c r="L15" s="51" t="n">
        <f aca="false">MM_Income!L$9+DM_Income!L$9</f>
        <v>132489.696384</v>
      </c>
      <c r="M15" s="51" t="n">
        <f aca="false">MM_Income!M$9+DM_Income!M$9</f>
        <v>135139.49031168</v>
      </c>
      <c r="N15" s="51" t="n">
        <f aca="false">MM_Income!N$9+DM_Income!N$9</f>
        <v>137842.280117914</v>
      </c>
      <c r="O15" s="51" t="n">
        <f aca="false">MM_Income!O$9+DM_Income!O$9</f>
        <v>140599.125720272</v>
      </c>
      <c r="P15" s="51" t="n">
        <f aca="false">MM_Income!P$9+DM_Income!P$9</f>
        <v>143411.108234677</v>
      </c>
      <c r="Q15" s="51" t="n">
        <f aca="false">MM_Income!Q$9+DM_Income!Q$9</f>
        <v>146279.330399371</v>
      </c>
      <c r="R15" s="51" t="n">
        <f aca="false">MM_Income!R$9+DM_Income!R$9</f>
        <v>149204.917007358</v>
      </c>
      <c r="S15" s="51" t="n">
        <f aca="false">MM_Income!S$9+DM_Income!S$9</f>
        <v>152189.015347505</v>
      </c>
      <c r="T15" s="51" t="n">
        <f aca="false">MM_Income!T$9+DM_Income!T$9</f>
        <v>155232.795654456</v>
      </c>
      <c r="U15" s="51" t="n">
        <f aca="false">MM_Income!U$9+DM_Income!U$9</f>
        <v>158337.451567545</v>
      </c>
      <c r="V15" s="51" t="n">
        <f aca="false">MM_Income!V$9+DM_Income!V$9</f>
        <v>161504.200598896</v>
      </c>
      <c r="W15" s="51" t="n">
        <f aca="false">MM_Income!W$9+DM_Income!W$9</f>
        <v>164734.284610874</v>
      </c>
      <c r="X15" s="51" t="n">
        <f aca="false">MM_Income!X$9+DM_Income!X$9</f>
        <v>168028.970303091</v>
      </c>
      <c r="Y15" s="51" t="n">
        <f aca="false">MM_Income!Y$9+DM_Income!Y$9</f>
        <v>171389.549709153</v>
      </c>
      <c r="Z15" s="51" t="n">
        <f aca="false">MM_Income!Z$9+DM_Income!Z$9</f>
        <v>174817.340703336</v>
      </c>
      <c r="AA15" s="51" t="n">
        <f aca="false">MM_Income!AA$9+DM_Income!AA$9</f>
        <v>178313.687517403</v>
      </c>
      <c r="AB15" s="51" t="n">
        <f aca="false">MM_Income!AB$9+DM_Income!AB$9</f>
        <v>181879.961267751</v>
      </c>
      <c r="AC15" s="51" t="n">
        <f aca="false">MM_Income!AC$9+DM_Income!AC$9</f>
        <v>185517.560493106</v>
      </c>
      <c r="AD15" s="51" t="n">
        <f aca="false">MM_Income!AD$9+DM_Income!AD$9</f>
        <v>189227.911702968</v>
      </c>
      <c r="AE15" s="51" t="n">
        <f aca="false">MM_Income!AE$9+DM_Income!AE$9</f>
        <v>193012.469937027</v>
      </c>
      <c r="AF15" s="51" t="n">
        <f aca="false">MM_Income!AF$9+DM_Income!AF$9</f>
        <v>196872.719335768</v>
      </c>
    </row>
    <row r="16" customFormat="false" ht="15" hidden="false" customHeight="true" outlineLevel="0" collapsed="false">
      <c r="B16" s="26" t="s">
        <v>476</v>
      </c>
      <c r="C16" s="51" t="n">
        <f aca="false">-MM_Income!C$21-DM_Income!C$21</f>
        <v>40000</v>
      </c>
      <c r="D16" s="51" t="n">
        <f aca="false">-MM_Income!D$21-DM_Income!D$21</f>
        <v>40000</v>
      </c>
      <c r="E16" s="51" t="n">
        <f aca="false">-MM_Income!E$21-DM_Income!E$21</f>
        <v>40000</v>
      </c>
      <c r="F16" s="51" t="n">
        <f aca="false">-MM_Income!F$21-DM_Income!F$21</f>
        <v>40000</v>
      </c>
      <c r="G16" s="51" t="n">
        <f aca="false">-MM_Income!G$21-DM_Income!G$21</f>
        <v>40000</v>
      </c>
      <c r="H16" s="51" t="n">
        <f aca="false">-MM_Income!H$21-DM_Income!H$21</f>
        <v>40800</v>
      </c>
      <c r="I16" s="51" t="n">
        <f aca="false">-MM_Income!I$21-DM_Income!I$21</f>
        <v>41616</v>
      </c>
      <c r="J16" s="51" t="n">
        <f aca="false">-MM_Income!J$21-DM_Income!J$21</f>
        <v>42448.32</v>
      </c>
      <c r="K16" s="51" t="n">
        <f aca="false">-MM_Income!K$21-DM_Income!K$21</f>
        <v>43297.2864</v>
      </c>
      <c r="L16" s="51" t="n">
        <f aca="false">-MM_Income!L$21-DM_Income!L$21</f>
        <v>44163.232128</v>
      </c>
      <c r="M16" s="51" t="n">
        <f aca="false">-MM_Income!M$21-DM_Income!M$21</f>
        <v>45046.49677056</v>
      </c>
      <c r="N16" s="51" t="n">
        <f aca="false">-MM_Income!N$21-DM_Income!N$21</f>
        <v>45947.4267059712</v>
      </c>
      <c r="O16" s="51" t="n">
        <f aca="false">-MM_Income!O$21-DM_Income!O$21</f>
        <v>46866.3752400906</v>
      </c>
      <c r="P16" s="51" t="n">
        <f aca="false">-MM_Income!P$21-DM_Income!P$21</f>
        <v>47803.7027448924</v>
      </c>
      <c r="Q16" s="51" t="n">
        <f aca="false">-MM_Income!Q$21-DM_Income!Q$21</f>
        <v>48759.7767997903</v>
      </c>
      <c r="R16" s="51" t="n">
        <f aca="false">-MM_Income!R$21-DM_Income!R$21</f>
        <v>49734.9723357861</v>
      </c>
      <c r="S16" s="51" t="n">
        <f aca="false">-MM_Income!S$21-DM_Income!S$21</f>
        <v>50729.6717825018</v>
      </c>
      <c r="T16" s="51" t="n">
        <f aca="false">-MM_Income!T$21-DM_Income!T$21</f>
        <v>51744.2652181519</v>
      </c>
      <c r="U16" s="51" t="n">
        <f aca="false">-MM_Income!U$21-DM_Income!U$21</f>
        <v>52779.1505225149</v>
      </c>
      <c r="V16" s="51" t="n">
        <f aca="false">-MM_Income!V$21-DM_Income!V$21</f>
        <v>53834.7335329652</v>
      </c>
      <c r="W16" s="51" t="n">
        <f aca="false">-MM_Income!W$21-DM_Income!W$21</f>
        <v>54911.4282036245</v>
      </c>
      <c r="X16" s="51" t="n">
        <f aca="false">-MM_Income!X$21-DM_Income!X$21</f>
        <v>56009.656767697</v>
      </c>
      <c r="Y16" s="51" t="n">
        <f aca="false">-MM_Income!Y$21-DM_Income!Y$21</f>
        <v>57129.8499030509</v>
      </c>
      <c r="Z16" s="51" t="n">
        <f aca="false">-MM_Income!Z$21-DM_Income!Z$21</f>
        <v>58272.446901112</v>
      </c>
      <c r="AA16" s="51" t="n">
        <f aca="false">-MM_Income!AA$21-DM_Income!AA$21</f>
        <v>59437.8958391342</v>
      </c>
      <c r="AB16" s="51" t="n">
        <f aca="false">-MM_Income!AB$21-DM_Income!AB$21</f>
        <v>60626.6537559169</v>
      </c>
      <c r="AC16" s="51" t="n">
        <f aca="false">-MM_Income!AC$21-DM_Income!AC$21</f>
        <v>61839.1868310352</v>
      </c>
      <c r="AD16" s="51" t="n">
        <f aca="false">-MM_Income!AD$21-DM_Income!AD$21</f>
        <v>63075.9705676559</v>
      </c>
      <c r="AE16" s="51" t="n">
        <f aca="false">-MM_Income!AE$21-DM_Income!AE$21</f>
        <v>64337.4899790091</v>
      </c>
      <c r="AF16" s="51" t="n">
        <f aca="false">-MM_Income!AF$21-DM_Income!AF$21</f>
        <v>65624.2397785892</v>
      </c>
    </row>
    <row r="17" customFormat="false" ht="15" hidden="false" customHeight="true" outlineLevel="0" collapsed="false">
      <c r="B17" s="26" t="s">
        <v>477</v>
      </c>
      <c r="C17" s="51" t="n">
        <f aca="false">Children!C$41+Children!C$51</f>
        <v>9000</v>
      </c>
      <c r="D17" s="51" t="n">
        <f aca="false">Children!D$41+Children!D$51</f>
        <v>9000</v>
      </c>
      <c r="E17" s="51" t="n">
        <f aca="false">Children!E$41+Children!E$51</f>
        <v>18000</v>
      </c>
      <c r="F17" s="51" t="n">
        <f aca="false">Children!F$41+Children!F$51</f>
        <v>18000</v>
      </c>
      <c r="G17" s="51" t="n">
        <f aca="false">Children!G$41+Children!G$51</f>
        <v>18000</v>
      </c>
      <c r="H17" s="51" t="n">
        <f aca="false">Children!H$41+Children!H$51</f>
        <v>18000</v>
      </c>
      <c r="I17" s="51" t="n">
        <f aca="false">Children!I$41+Children!I$51</f>
        <v>18000</v>
      </c>
      <c r="J17" s="51" t="n">
        <f aca="false">Children!J$41+Children!J$51</f>
        <v>18000</v>
      </c>
      <c r="K17" s="51" t="n">
        <f aca="false">Children!K$41+Children!K$51</f>
        <v>18000</v>
      </c>
      <c r="L17" s="51" t="n">
        <f aca="false">Children!L$41+Children!L$51</f>
        <v>18000</v>
      </c>
      <c r="M17" s="51" t="n">
        <f aca="false">Children!M$41+Children!M$51</f>
        <v>18000</v>
      </c>
      <c r="N17" s="51" t="n">
        <f aca="false">Children!N$41+Children!N$51</f>
        <v>18000</v>
      </c>
      <c r="O17" s="51" t="n">
        <f aca="false">Children!O$41+Children!O$51</f>
        <v>18000</v>
      </c>
      <c r="P17" s="51" t="n">
        <f aca="false">Children!P$41+Children!P$51</f>
        <v>18000</v>
      </c>
      <c r="Q17" s="51" t="n">
        <f aca="false">Children!Q$41+Children!Q$51</f>
        <v>18000</v>
      </c>
      <c r="R17" s="51" t="n">
        <f aca="false">Children!R$41+Children!R$51</f>
        <v>18000</v>
      </c>
      <c r="S17" s="51" t="n">
        <f aca="false">Children!S$41+Children!S$51</f>
        <v>9000</v>
      </c>
      <c r="T17" s="51" t="n">
        <f aca="false">Children!T$41+Children!T$51</f>
        <v>9000</v>
      </c>
      <c r="U17" s="51" t="n">
        <f aca="false">Children!U$41+Children!U$51</f>
        <v>9000</v>
      </c>
      <c r="V17" s="51" t="n">
        <f aca="false">Children!V$41+Children!V$51</f>
        <v>0</v>
      </c>
      <c r="W17" s="51" t="n">
        <f aca="false">Children!W$41+Children!W$51</f>
        <v>0</v>
      </c>
      <c r="X17" s="51" t="n">
        <f aca="false">Children!X$41+Children!X$51</f>
        <v>0</v>
      </c>
      <c r="Y17" s="51" t="n">
        <f aca="false">Children!Y$41+Children!Y$51</f>
        <v>0</v>
      </c>
      <c r="Z17" s="51" t="n">
        <f aca="false">Children!Z$41+Children!Z$51</f>
        <v>0</v>
      </c>
      <c r="AA17" s="51" t="n">
        <f aca="false">Children!AA$41+Children!AA$51</f>
        <v>0</v>
      </c>
      <c r="AB17" s="51" t="n">
        <f aca="false">Children!AB$41+Children!AB$51</f>
        <v>0</v>
      </c>
      <c r="AC17" s="51" t="n">
        <f aca="false">Children!AC$41+Children!AC$51</f>
        <v>0</v>
      </c>
      <c r="AD17" s="51" t="n">
        <f aca="false">Children!AD$41+Children!AD$51</f>
        <v>0</v>
      </c>
      <c r="AE17" s="51" t="n">
        <f aca="false">Children!AE$41+Children!AE$51</f>
        <v>0</v>
      </c>
      <c r="AF17" s="51" t="n">
        <f aca="false">Children!AF$41+Children!AF$51</f>
        <v>0</v>
      </c>
    </row>
    <row r="18" customFormat="false" ht="15" hidden="false" customHeight="true" outlineLevel="0" collapsed="false">
      <c r="B18" s="24" t="s">
        <v>348</v>
      </c>
      <c r="C18" s="48" t="n">
        <f aca="false">SUM(C15:C17)</f>
        <v>169000</v>
      </c>
      <c r="D18" s="48" t="n">
        <f aca="false">SUM(D15:D17)</f>
        <v>169000</v>
      </c>
      <c r="E18" s="48" t="n">
        <f aca="false">SUM(E15:E17)</f>
        <v>178000</v>
      </c>
      <c r="F18" s="48" t="n">
        <f aca="false">SUM(F15:F17)</f>
        <v>178000</v>
      </c>
      <c r="G18" s="48" t="n">
        <f aca="false">SUM(G15:G17)</f>
        <v>178000</v>
      </c>
      <c r="H18" s="48" t="n">
        <f aca="false">SUM(H15:H17)</f>
        <v>181200</v>
      </c>
      <c r="I18" s="48" t="n">
        <f aca="false">SUM(I15:I17)</f>
        <v>184464</v>
      </c>
      <c r="J18" s="48" t="n">
        <f aca="false">SUM(J15:J17)</f>
        <v>187793.28</v>
      </c>
      <c r="K18" s="48" t="n">
        <f aca="false">SUM(K15:K17)</f>
        <v>191189.1456</v>
      </c>
      <c r="L18" s="48" t="n">
        <f aca="false">SUM(L15:L17)</f>
        <v>194652.928512</v>
      </c>
      <c r="M18" s="48" t="n">
        <f aca="false">SUM(M15:M17)</f>
        <v>198185.98708224</v>
      </c>
      <c r="N18" s="48" t="n">
        <f aca="false">SUM(N15:N17)</f>
        <v>201789.706823885</v>
      </c>
      <c r="O18" s="48" t="n">
        <f aca="false">SUM(O15:O17)</f>
        <v>205465.500960363</v>
      </c>
      <c r="P18" s="48" t="n">
        <f aca="false">SUM(P15:P17)</f>
        <v>209214.81097957</v>
      </c>
      <c r="Q18" s="48" t="n">
        <f aca="false">SUM(Q15:Q17)</f>
        <v>213039.107199161</v>
      </c>
      <c r="R18" s="48" t="n">
        <f aca="false">SUM(R15:R17)</f>
        <v>216939.889343144</v>
      </c>
      <c r="S18" s="48" t="n">
        <f aca="false">SUM(S15:S17)</f>
        <v>211918.687130007</v>
      </c>
      <c r="T18" s="48" t="n">
        <f aca="false">SUM(T15:T17)</f>
        <v>215977.060872607</v>
      </c>
      <c r="U18" s="48" t="n">
        <f aca="false">SUM(U15:U17)</f>
        <v>220116.60209006</v>
      </c>
      <c r="V18" s="48" t="n">
        <f aca="false">SUM(V15:V17)</f>
        <v>215338.934131861</v>
      </c>
      <c r="W18" s="48" t="n">
        <f aca="false">SUM(W15:W17)</f>
        <v>219645.712814498</v>
      </c>
      <c r="X18" s="48" t="n">
        <f aca="false">SUM(X15:X17)</f>
        <v>224038.627070788</v>
      </c>
      <c r="Y18" s="48" t="n">
        <f aca="false">SUM(Y15:Y17)</f>
        <v>228519.399612204</v>
      </c>
      <c r="Z18" s="48" t="n">
        <f aca="false">SUM(Z15:Z17)</f>
        <v>233089.787604448</v>
      </c>
      <c r="AA18" s="48" t="n">
        <f aca="false">SUM(AA15:AA17)</f>
        <v>237751.583356537</v>
      </c>
      <c r="AB18" s="48" t="n">
        <f aca="false">SUM(AB15:AB17)</f>
        <v>242506.615023668</v>
      </c>
      <c r="AC18" s="48" t="n">
        <f aca="false">SUM(AC15:AC17)</f>
        <v>247356.747324141</v>
      </c>
      <c r="AD18" s="48" t="n">
        <f aca="false">SUM(AD15:AD17)</f>
        <v>252303.882270624</v>
      </c>
      <c r="AE18" s="48" t="n">
        <f aca="false">SUM(AE15:AE17)</f>
        <v>257349.959916036</v>
      </c>
      <c r="AF18" s="48" t="n">
        <f aca="false">SUM(AF15:AF17)</f>
        <v>262496.959114357</v>
      </c>
    </row>
    <row r="19" customFormat="false" ht="15" hidden="false" customHeight="true" outlineLevel="0" collapsed="false">
      <c r="B19" s="24" t="s">
        <v>349</v>
      </c>
      <c r="C19" s="50" t="n">
        <f aca="false">C12-C18</f>
        <v>77643.8</v>
      </c>
      <c r="D19" s="50" t="n">
        <f aca="false">D12-D18</f>
        <v>84255.8</v>
      </c>
      <c r="E19" s="50" t="n">
        <f aca="false">E12-E18</f>
        <v>82132.28</v>
      </c>
      <c r="F19" s="50" t="n">
        <f aca="false">F12-F18</f>
        <v>86069.4656</v>
      </c>
      <c r="G19" s="50" t="n">
        <f aca="false">G12-G18</f>
        <v>90279.398912</v>
      </c>
      <c r="H19" s="50" t="n">
        <f aca="false">H12-H18</f>
        <v>92444.9868902401</v>
      </c>
      <c r="I19" s="50" t="n">
        <f aca="false">I12-I18</f>
        <v>94653.8866280449</v>
      </c>
      <c r="J19" s="50" t="n">
        <f aca="false">J12-J18</f>
        <v>96906.9643606057</v>
      </c>
      <c r="K19" s="50" t="n">
        <f aca="false">K12-K18</f>
        <v>99205.1036478179</v>
      </c>
      <c r="L19" s="50" t="n">
        <f aca="false">L12-L18</f>
        <v>101549.205720774</v>
      </c>
      <c r="M19" s="50" t="n">
        <f aca="false">M12-M18</f>
        <v>103940.18983519</v>
      </c>
      <c r="N19" s="50" t="n">
        <f aca="false">N12-N18</f>
        <v>106378.993631894</v>
      </c>
      <c r="O19" s="50" t="n">
        <f aca="false">O12-O18</f>
        <v>108866.573504531</v>
      </c>
      <c r="P19" s="50" t="n">
        <f aca="false">P12-P18</f>
        <v>111403.904974622</v>
      </c>
      <c r="Q19" s="50" t="n">
        <f aca="false">Q12-Q18</f>
        <v>113991.983074114</v>
      </c>
      <c r="R19" s="50" t="n">
        <f aca="false">R12-R18</f>
        <v>116631.822735597</v>
      </c>
      <c r="S19" s="50" t="n">
        <f aca="false">S12-S18</f>
        <v>128324.459190309</v>
      </c>
      <c r="T19" s="50" t="n">
        <f aca="false">T12-T18</f>
        <v>131070.948374115</v>
      </c>
      <c r="U19" s="50" t="n">
        <f aca="false">U12-U18</f>
        <v>133872.367341597</v>
      </c>
      <c r="V19" s="50" t="n">
        <f aca="false">V12-V18</f>
        <v>145729.814688429</v>
      </c>
      <c r="W19" s="50" t="n">
        <f aca="false">W12-W18</f>
        <v>148644.410982198</v>
      </c>
      <c r="X19" s="50" t="n">
        <f aca="false">X12-X18</f>
        <v>151617.299201842</v>
      </c>
      <c r="Y19" s="50" t="n">
        <f aca="false">Y12-Y18</f>
        <v>154649.645185878</v>
      </c>
      <c r="Z19" s="50" t="n">
        <f aca="false">Z12-Z18</f>
        <v>157742.638089596</v>
      </c>
      <c r="AA19" s="50" t="n">
        <f aca="false">AA12-AA18</f>
        <v>160897.490851388</v>
      </c>
      <c r="AB19" s="50" t="n">
        <f aca="false">AB12-AB18</f>
        <v>164115.440668416</v>
      </c>
      <c r="AC19" s="50" t="n">
        <f aca="false">AC12-AC18</f>
        <v>167397.749481784</v>
      </c>
      <c r="AD19" s="50" t="n">
        <f aca="false">AD12-AD18</f>
        <v>170745.70447142</v>
      </c>
      <c r="AE19" s="50" t="n">
        <f aca="false">AE12-AE18</f>
        <v>174160.618560848</v>
      </c>
      <c r="AF19" s="50" t="n">
        <f aca="false">AF12-AF18</f>
        <v>177643.830932065</v>
      </c>
    </row>
    <row r="21" customFormat="false" ht="15" hidden="false" customHeight="true" outlineLevel="0" collapsed="false">
      <c r="A21" s="23" t="s">
        <v>478</v>
      </c>
      <c r="B21" s="23"/>
      <c r="C21" s="23"/>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row>
    <row r="22" customFormat="false" ht="15" hidden="false" customHeight="true" outlineLevel="0" collapsed="false">
      <c r="B22" s="26" t="s">
        <v>479</v>
      </c>
      <c r="C22" s="51" t="n">
        <f aca="false">Household_Base!C$33</f>
        <v>125400</v>
      </c>
      <c r="D22" s="51" t="n">
        <f aca="false">Household_Base!D$33</f>
        <v>130416</v>
      </c>
      <c r="E22" s="51" t="n">
        <f aca="false">Household_Base!E$33</f>
        <v>123951.36</v>
      </c>
      <c r="F22" s="51" t="n">
        <f aca="false">Household_Base!F$33</f>
        <v>102600.576</v>
      </c>
      <c r="G22" s="51" t="n">
        <f aca="false">Household_Base!G$33</f>
        <v>104652.58752</v>
      </c>
      <c r="H22" s="51" t="n">
        <f aca="false">Household_Base!H$33</f>
        <v>106745.6392704</v>
      </c>
      <c r="I22" s="51" t="n">
        <f aca="false">Household_Base!I$33</f>
        <v>108880.552055808</v>
      </c>
      <c r="J22" s="51" t="n">
        <f aca="false">Household_Base!J$33</f>
        <v>111058.163096924</v>
      </c>
      <c r="K22" s="51" t="n">
        <f aca="false">Household_Base!K$33</f>
        <v>91354.2954506957</v>
      </c>
      <c r="L22" s="51" t="n">
        <f aca="false">Household_Base!L$33</f>
        <v>93181.3813597096</v>
      </c>
      <c r="M22" s="51" t="n">
        <f aca="false">Household_Base!M$33</f>
        <v>95045.0089869038</v>
      </c>
      <c r="N22" s="51" t="n">
        <f aca="false">Household_Base!N$33</f>
        <v>96945.9091666419</v>
      </c>
      <c r="O22" s="51" t="n">
        <f aca="false">Household_Base!O$33</f>
        <v>98884.8273499747</v>
      </c>
      <c r="P22" s="51" t="n">
        <f aca="false">Household_Base!P$33</f>
        <v>100862.523896974</v>
      </c>
      <c r="Q22" s="51" t="n">
        <f aca="false">Household_Base!Q$33</f>
        <v>112780.20669151</v>
      </c>
      <c r="R22" s="51" t="n">
        <f aca="false">Household_Base!R$33</f>
        <v>140546.117369057</v>
      </c>
      <c r="S22" s="51" t="n">
        <f aca="false">Household_Base!S$33</f>
        <v>107036.11725966</v>
      </c>
      <c r="T22" s="51" t="n">
        <f aca="false">Household_Base!T$33</f>
        <v>109176.839604853</v>
      </c>
      <c r="U22" s="51" t="n">
        <f aca="false">Household_Base!U$33</f>
        <v>111360.376396951</v>
      </c>
      <c r="V22" s="51" t="n">
        <f aca="false">Household_Base!V$33</f>
        <v>113587.58392489</v>
      </c>
      <c r="W22" s="51" t="n">
        <f aca="false">Household_Base!W$33</f>
        <v>115859.335603387</v>
      </c>
      <c r="X22" s="51" t="n">
        <f aca="false">Household_Base!X$33</f>
        <v>118176.522315455</v>
      </c>
      <c r="Y22" s="51" t="n">
        <f aca="false">Household_Base!Y$33</f>
        <v>120540.052761764</v>
      </c>
      <c r="Z22" s="51" t="n">
        <f aca="false">Household_Base!Z$33</f>
        <v>122950.853816999</v>
      </c>
      <c r="AA22" s="51" t="n">
        <f aca="false">Household_Base!AA$33</f>
        <v>125409.870893339</v>
      </c>
      <c r="AB22" s="51" t="n">
        <f aca="false">Household_Base!AB$33</f>
        <v>127918.068311206</v>
      </c>
      <c r="AC22" s="51" t="n">
        <f aca="false">Household_Base!AC$33</f>
        <v>130476.42967743</v>
      </c>
      <c r="AD22" s="51" t="n">
        <f aca="false">Household_Base!AD$33</f>
        <v>133085.958270979</v>
      </c>
      <c r="AE22" s="51" t="n">
        <f aca="false">Household_Base!AE$33</f>
        <v>135747.677436399</v>
      </c>
      <c r="AF22" s="51" t="n">
        <f aca="false">Household_Base!AF$33</f>
        <v>138462.630985127</v>
      </c>
    </row>
    <row r="23" customFormat="false" ht="15" hidden="false" customHeight="true" outlineLevel="0" collapsed="false">
      <c r="B23" s="49" t="s">
        <v>480</v>
      </c>
      <c r="C23" s="51" t="n">
        <f aca="false">Children!C$46</f>
        <v>0</v>
      </c>
      <c r="D23" s="51" t="n">
        <f aca="false">Children!D$46</f>
        <v>0</v>
      </c>
      <c r="E23" s="51" t="n">
        <f aca="false">Children!E$46</f>
        <v>11681.28</v>
      </c>
      <c r="F23" s="51" t="n">
        <f aca="false">Children!F$46</f>
        <v>35744.7168</v>
      </c>
      <c r="G23" s="51" t="n">
        <f aca="false">Children!G$46</f>
        <v>36459.611136</v>
      </c>
      <c r="H23" s="51" t="n">
        <f aca="false">Children!H$46</f>
        <v>24792.53557248</v>
      </c>
      <c r="I23" s="51" t="n">
        <f aca="false">Children!I$46</f>
        <v>0</v>
      </c>
      <c r="J23" s="51" t="n">
        <f aca="false">Children!J$46</f>
        <v>0</v>
      </c>
      <c r="K23" s="51" t="n">
        <f aca="false">Children!K$46</f>
        <v>0</v>
      </c>
      <c r="L23" s="51" t="n">
        <f aca="false">Children!L$46</f>
        <v>0</v>
      </c>
      <c r="M23" s="51" t="n">
        <f aca="false">Children!M$46</f>
        <v>0</v>
      </c>
      <c r="N23" s="51" t="n">
        <f aca="false">Children!N$46</f>
        <v>0</v>
      </c>
      <c r="O23" s="51" t="n">
        <f aca="false">Children!O$46</f>
        <v>0</v>
      </c>
      <c r="P23" s="51" t="n">
        <f aca="false">Children!P$46</f>
        <v>0</v>
      </c>
      <c r="Q23" s="51" t="n">
        <f aca="false">Children!Q$46</f>
        <v>0</v>
      </c>
      <c r="R23" s="51" t="n">
        <f aca="false">Children!R$46</f>
        <v>0</v>
      </c>
      <c r="S23" s="51" t="n">
        <f aca="false">Children!S$46</f>
        <v>0</v>
      </c>
      <c r="T23" s="51" t="n">
        <f aca="false">Children!T$46</f>
        <v>0</v>
      </c>
      <c r="U23" s="51" t="n">
        <f aca="false">Children!U$46</f>
        <v>0</v>
      </c>
      <c r="V23" s="51" t="n">
        <f aca="false">Children!V$46</f>
        <v>0</v>
      </c>
      <c r="W23" s="51" t="n">
        <f aca="false">Children!W$46</f>
        <v>0</v>
      </c>
      <c r="X23" s="51" t="n">
        <f aca="false">Children!X$46</f>
        <v>0</v>
      </c>
      <c r="Y23" s="51" t="n">
        <f aca="false">Children!Y$46</f>
        <v>0</v>
      </c>
      <c r="Z23" s="51" t="n">
        <f aca="false">Children!Z$46</f>
        <v>0</v>
      </c>
      <c r="AA23" s="51" t="n">
        <f aca="false">Children!AA$46</f>
        <v>0</v>
      </c>
      <c r="AB23" s="51" t="n">
        <f aca="false">Children!AB$46</f>
        <v>0</v>
      </c>
      <c r="AC23" s="51" t="n">
        <f aca="false">Children!AC$46</f>
        <v>0</v>
      </c>
      <c r="AD23" s="51" t="n">
        <f aca="false">Children!AD$46</f>
        <v>0</v>
      </c>
      <c r="AE23" s="51" t="n">
        <f aca="false">Children!AE$46</f>
        <v>0</v>
      </c>
      <c r="AF23" s="51" t="n">
        <f aca="false">Children!AF$46</f>
        <v>0</v>
      </c>
    </row>
    <row r="24" customFormat="false" ht="15" hidden="false" customHeight="true" outlineLevel="0" collapsed="false">
      <c r="B24" s="49" t="s">
        <v>481</v>
      </c>
      <c r="C24" s="51" t="n">
        <f aca="false">Children!C$47</f>
        <v>0</v>
      </c>
      <c r="D24" s="51" t="n">
        <f aca="false">Children!D$47</f>
        <v>3120</v>
      </c>
      <c r="E24" s="51" t="n">
        <f aca="false">Children!E$47</f>
        <v>6489.6</v>
      </c>
      <c r="F24" s="51" t="n">
        <f aca="false">Children!F$47</f>
        <v>6619.392</v>
      </c>
      <c r="G24" s="51" t="n">
        <f aca="false">Children!G$47</f>
        <v>6751.77984</v>
      </c>
      <c r="H24" s="51" t="n">
        <f aca="false">Children!H$47</f>
        <v>6886.8154368</v>
      </c>
      <c r="I24" s="51" t="n">
        <f aca="false">Children!I$47</f>
        <v>7024.551745536</v>
      </c>
      <c r="J24" s="51" t="n">
        <f aca="false">Children!J$47</f>
        <v>7165.04278044672</v>
      </c>
      <c r="K24" s="51" t="n">
        <f aca="false">Children!K$47</f>
        <v>7308.34363605566</v>
      </c>
      <c r="L24" s="51" t="n">
        <f aca="false">Children!L$47</f>
        <v>7454.51050877677</v>
      </c>
      <c r="M24" s="51" t="n">
        <f aca="false">Children!M$47</f>
        <v>7603.60071895231</v>
      </c>
      <c r="N24" s="51" t="n">
        <f aca="false">Children!N$47</f>
        <v>7755.67273333135</v>
      </c>
      <c r="O24" s="51" t="n">
        <f aca="false">Children!O$47</f>
        <v>7910.78618799798</v>
      </c>
      <c r="P24" s="51" t="n">
        <f aca="false">Children!P$47</f>
        <v>8069.00191175794</v>
      </c>
      <c r="Q24" s="51" t="n">
        <f aca="false">Children!Q$47</f>
        <v>8230.3819499931</v>
      </c>
      <c r="R24" s="51" t="n">
        <f aca="false">Children!R$47</f>
        <v>8394.98958899296</v>
      </c>
      <c r="S24" s="51" t="n">
        <f aca="false">Children!S$47</f>
        <v>8562.88938077282</v>
      </c>
      <c r="T24" s="51" t="n">
        <f aca="false">Children!T$47</f>
        <v>8734.14716838827</v>
      </c>
      <c r="U24" s="51" t="n">
        <f aca="false">Children!U$47</f>
        <v>8908.83011175604</v>
      </c>
      <c r="V24" s="51" t="n">
        <f aca="false">Children!V$47</f>
        <v>9087.00671399116</v>
      </c>
      <c r="W24" s="51" t="n">
        <f aca="false">Children!W$47</f>
        <v>9268.74684827099</v>
      </c>
      <c r="X24" s="51" t="n">
        <f aca="false">Children!X$47</f>
        <v>9454.1217852364</v>
      </c>
      <c r="Y24" s="51" t="n">
        <f aca="false">Children!Y$47</f>
        <v>9643.20422094113</v>
      </c>
      <c r="Z24" s="51" t="n">
        <f aca="false">Children!Z$47</f>
        <v>9836.06830535996</v>
      </c>
      <c r="AA24" s="51" t="n">
        <f aca="false">Children!AA$47</f>
        <v>10032.7896714672</v>
      </c>
      <c r="AB24" s="51" t="n">
        <f aca="false">Children!AB$47</f>
        <v>10233.4454648965</v>
      </c>
      <c r="AC24" s="51" t="n">
        <f aca="false">Children!AC$47</f>
        <v>10438.1143741944</v>
      </c>
      <c r="AD24" s="51" t="n">
        <f aca="false">Children!AD$47</f>
        <v>10646.8766616783</v>
      </c>
      <c r="AE24" s="51" t="n">
        <f aca="false">Children!AE$47</f>
        <v>10859.8141949119</v>
      </c>
      <c r="AF24" s="51" t="n">
        <f aca="false">Children!AF$47</f>
        <v>11077.0104788101</v>
      </c>
    </row>
    <row r="25" customFormat="false" ht="15" hidden="false" customHeight="true" outlineLevel="0" collapsed="false">
      <c r="B25" s="49" t="s">
        <v>482</v>
      </c>
      <c r="C25" s="51" t="n">
        <f aca="false">Children!C$55</f>
        <v>0</v>
      </c>
      <c r="D25" s="51" t="n">
        <f aca="false">Children!D$55</f>
        <v>0</v>
      </c>
      <c r="E25" s="51" t="n">
        <f aca="false">Children!E$55</f>
        <v>0</v>
      </c>
      <c r="F25" s="51" t="n">
        <f aca="false">Children!F$55</f>
        <v>0</v>
      </c>
      <c r="G25" s="51" t="n">
        <f aca="false">Children!G$55</f>
        <v>0</v>
      </c>
      <c r="H25" s="51" t="n">
        <f aca="false">Children!H$55</f>
        <v>0</v>
      </c>
      <c r="I25" s="51" t="n">
        <f aca="false">Children!I$55</f>
        <v>0</v>
      </c>
      <c r="J25" s="51" t="n">
        <f aca="false">Children!J$55</f>
        <v>0</v>
      </c>
      <c r="K25" s="51" t="n">
        <f aca="false">Children!K$55</f>
        <v>0</v>
      </c>
      <c r="L25" s="51" t="n">
        <f aca="false">Children!L$55</f>
        <v>0</v>
      </c>
      <c r="M25" s="51" t="n">
        <f aca="false">Children!M$55</f>
        <v>0</v>
      </c>
      <c r="N25" s="51" t="n">
        <f aca="false">Children!N$55</f>
        <v>0</v>
      </c>
      <c r="O25" s="51" t="n">
        <f aca="false">Children!O$55</f>
        <v>0</v>
      </c>
      <c r="P25" s="51" t="n">
        <f aca="false">Children!P$55</f>
        <v>0</v>
      </c>
      <c r="Q25" s="51" t="n">
        <f aca="false">Children!Q$55</f>
        <v>0</v>
      </c>
      <c r="R25" s="51" t="n">
        <f aca="false">Children!R$55</f>
        <v>0</v>
      </c>
      <c r="S25" s="51" t="n">
        <f aca="false">Children!S$55</f>
        <v>0</v>
      </c>
      <c r="T25" s="51" t="n">
        <f aca="false">Children!T$55</f>
        <v>0</v>
      </c>
      <c r="U25" s="51" t="n">
        <f aca="false">Children!U$55</f>
        <v>0</v>
      </c>
      <c r="V25" s="51" t="n">
        <f aca="false">Children!V$55</f>
        <v>0</v>
      </c>
      <c r="W25" s="51" t="n">
        <f aca="false">Children!W$55</f>
        <v>0</v>
      </c>
      <c r="X25" s="51" t="n">
        <f aca="false">Children!X$55</f>
        <v>0</v>
      </c>
      <c r="Y25" s="51" t="n">
        <f aca="false">Children!Y$55</f>
        <v>0</v>
      </c>
      <c r="Z25" s="51" t="n">
        <f aca="false">Children!Z$55</f>
        <v>0</v>
      </c>
      <c r="AA25" s="51" t="n">
        <f aca="false">Children!AA$55</f>
        <v>0</v>
      </c>
      <c r="AB25" s="51" t="n">
        <f aca="false">Children!AB$55</f>
        <v>0</v>
      </c>
      <c r="AC25" s="51" t="n">
        <f aca="false">Children!AC$55</f>
        <v>0</v>
      </c>
      <c r="AD25" s="51" t="n">
        <f aca="false">Children!AD$55</f>
        <v>0</v>
      </c>
      <c r="AE25" s="51" t="n">
        <f aca="false">Children!AE$55</f>
        <v>0</v>
      </c>
      <c r="AF25" s="51" t="n">
        <f aca="false">Children!AF$55</f>
        <v>0</v>
      </c>
    </row>
    <row r="26" customFormat="false" ht="15" hidden="false" customHeight="true" outlineLevel="0" collapsed="false">
      <c r="B26" s="24" t="s">
        <v>483</v>
      </c>
      <c r="C26" s="50" t="n">
        <f aca="false">SUM(C22:C25)</f>
        <v>125400</v>
      </c>
      <c r="D26" s="50" t="n">
        <f aca="false">SUM(D22:D25)</f>
        <v>133536</v>
      </c>
      <c r="E26" s="50" t="n">
        <f aca="false">SUM(E22:E25)</f>
        <v>142122.24</v>
      </c>
      <c r="F26" s="50" t="n">
        <f aca="false">SUM(F22:F25)</f>
        <v>144964.6848</v>
      </c>
      <c r="G26" s="50" t="n">
        <f aca="false">SUM(G22:G25)</f>
        <v>147863.978496</v>
      </c>
      <c r="H26" s="50" t="n">
        <f aca="false">SUM(H22:H25)</f>
        <v>138424.99027968</v>
      </c>
      <c r="I26" s="50" t="n">
        <f aca="false">SUM(I22:I25)</f>
        <v>115905.103801344</v>
      </c>
      <c r="J26" s="50" t="n">
        <f aca="false">SUM(J22:J25)</f>
        <v>118223.205877371</v>
      </c>
      <c r="K26" s="50" t="n">
        <f aca="false">SUM(K22:K25)</f>
        <v>98662.6390867514</v>
      </c>
      <c r="L26" s="50" t="n">
        <f aca="false">SUM(L22:L25)</f>
        <v>100635.891868486</v>
      </c>
      <c r="M26" s="50" t="n">
        <f aca="false">SUM(M22:M25)</f>
        <v>102648.609705856</v>
      </c>
      <c r="N26" s="50" t="n">
        <f aca="false">SUM(N22:N25)</f>
        <v>104701.581899973</v>
      </c>
      <c r="O26" s="50" t="n">
        <f aca="false">SUM(O22:O25)</f>
        <v>106795.613537973</v>
      </c>
      <c r="P26" s="50" t="n">
        <f aca="false">SUM(P22:P25)</f>
        <v>108931.525808732</v>
      </c>
      <c r="Q26" s="50" t="n">
        <f aca="false">SUM(Q22:Q25)</f>
        <v>121010.588641503</v>
      </c>
      <c r="R26" s="50" t="n">
        <f aca="false">SUM(R22:R25)</f>
        <v>148941.10695805</v>
      </c>
      <c r="S26" s="50" t="n">
        <f aca="false">SUM(S22:S25)</f>
        <v>115599.006640433</v>
      </c>
      <c r="T26" s="50" t="n">
        <f aca="false">SUM(T22:T25)</f>
        <v>117910.986773242</v>
      </c>
      <c r="U26" s="50" t="n">
        <f aca="false">SUM(U22:U25)</f>
        <v>120269.206508707</v>
      </c>
      <c r="V26" s="50" t="n">
        <f aca="false">SUM(V22:V25)</f>
        <v>122674.590638881</v>
      </c>
      <c r="W26" s="50" t="n">
        <f aca="false">SUM(W22:W25)</f>
        <v>125128.082451658</v>
      </c>
      <c r="X26" s="50" t="n">
        <f aca="false">SUM(X22:X25)</f>
        <v>127630.644100691</v>
      </c>
      <c r="Y26" s="50" t="n">
        <f aca="false">SUM(Y22:Y25)</f>
        <v>130183.256982705</v>
      </c>
      <c r="Z26" s="50" t="n">
        <f aca="false">SUM(Z22:Z25)</f>
        <v>132786.922122359</v>
      </c>
      <c r="AA26" s="50" t="n">
        <f aca="false">SUM(AA22:AA25)</f>
        <v>135442.660564807</v>
      </c>
      <c r="AB26" s="50" t="n">
        <f aca="false">SUM(AB22:AB25)</f>
        <v>138151.513776103</v>
      </c>
      <c r="AC26" s="50" t="n">
        <f aca="false">SUM(AC22:AC25)</f>
        <v>140914.544051625</v>
      </c>
      <c r="AD26" s="50" t="n">
        <f aca="false">SUM(AD22:AD25)</f>
        <v>143732.834932657</v>
      </c>
      <c r="AE26" s="50" t="n">
        <f aca="false">SUM(AE22:AE25)</f>
        <v>146607.49163131</v>
      </c>
      <c r="AF26" s="50" t="n">
        <f aca="false">SUM(AF22:AF25)</f>
        <v>149539.641463937</v>
      </c>
    </row>
    <row r="27" customFormat="false" ht="15" hidden="false" customHeight="true" outlineLevel="0" collapsed="false">
      <c r="B27" s="49" t="s">
        <v>362</v>
      </c>
      <c r="C27" s="45" t="n">
        <f aca="false">C26/Assumptions!C$9</f>
        <v>125400</v>
      </c>
      <c r="D27" s="45" t="n">
        <f aca="false">D26/Assumptions!D$9</f>
        <v>128400</v>
      </c>
      <c r="E27" s="45" t="n">
        <f aca="false">E26/Assumptions!E$9</f>
        <v>131400</v>
      </c>
      <c r="F27" s="45" t="n">
        <f aca="false">F26/Assumptions!F$9</f>
        <v>131400</v>
      </c>
      <c r="G27" s="45" t="n">
        <f aca="false">G26/Assumptions!G$9</f>
        <v>131400</v>
      </c>
      <c r="H27" s="45" t="n">
        <f aca="false">H26/Assumptions!H$9</f>
        <v>120600</v>
      </c>
      <c r="I27" s="45" t="n">
        <f aca="false">I26/Assumptions!I$9</f>
        <v>99000</v>
      </c>
      <c r="J27" s="45" t="n">
        <f aca="false">J26/Assumptions!J$9</f>
        <v>99000</v>
      </c>
      <c r="K27" s="45" t="n">
        <f aca="false">K26/Assumptions!K$9</f>
        <v>81000</v>
      </c>
      <c r="L27" s="45" t="n">
        <f aca="false">L26/Assumptions!L$9</f>
        <v>81000</v>
      </c>
      <c r="M27" s="45" t="n">
        <f aca="false">M26/Assumptions!M$9</f>
        <v>81000</v>
      </c>
      <c r="N27" s="45" t="n">
        <f aca="false">N26/Assumptions!N$9</f>
        <v>81000</v>
      </c>
      <c r="O27" s="45" t="n">
        <f aca="false">O26/Assumptions!O$9</f>
        <v>81000</v>
      </c>
      <c r="P27" s="45" t="n">
        <f aca="false">P26/Assumptions!P$9</f>
        <v>81000</v>
      </c>
      <c r="Q27" s="45" t="n">
        <f aca="false">Q26/Assumptions!Q$9</f>
        <v>88217.4771791276</v>
      </c>
      <c r="R27" s="45" t="n">
        <f aca="false">R26/Assumptions!R$9</f>
        <v>106450</v>
      </c>
      <c r="S27" s="45" t="n">
        <f aca="false">S26/Assumptions!S$9</f>
        <v>81000</v>
      </c>
      <c r="T27" s="45" t="n">
        <f aca="false">T26/Assumptions!T$9</f>
        <v>81000</v>
      </c>
      <c r="U27" s="45" t="n">
        <f aca="false">U26/Assumptions!U$9</f>
        <v>81000</v>
      </c>
      <c r="V27" s="45" t="n">
        <f aca="false">V26/Assumptions!V$9</f>
        <v>81000</v>
      </c>
      <c r="W27" s="45" t="n">
        <f aca="false">W26/Assumptions!W$9</f>
        <v>81000</v>
      </c>
      <c r="X27" s="45" t="n">
        <f aca="false">X26/Assumptions!X$9</f>
        <v>81000</v>
      </c>
      <c r="Y27" s="45" t="n">
        <f aca="false">Y26/Assumptions!Y$9</f>
        <v>81000</v>
      </c>
      <c r="Z27" s="45" t="n">
        <f aca="false">Z26/Assumptions!Z$9</f>
        <v>81000</v>
      </c>
      <c r="AA27" s="45" t="n">
        <f aca="false">AA26/Assumptions!AA$9</f>
        <v>81000</v>
      </c>
      <c r="AB27" s="45" t="n">
        <f aca="false">AB26/Assumptions!AB$9</f>
        <v>81000</v>
      </c>
      <c r="AC27" s="45" t="n">
        <f aca="false">AC26/Assumptions!AC$9</f>
        <v>81000</v>
      </c>
      <c r="AD27" s="45" t="n">
        <f aca="false">AD26/Assumptions!AD$9</f>
        <v>81000</v>
      </c>
      <c r="AE27" s="45" t="n">
        <f aca="false">AE26/Assumptions!AE$9</f>
        <v>81000</v>
      </c>
      <c r="AF27" s="45" t="n">
        <f aca="false">AF26/Assumptions!AF$9</f>
        <v>81000</v>
      </c>
    </row>
    <row r="28" customFormat="false" ht="15" hidden="false" customHeight="true" outlineLevel="0" collapsed="false">
      <c r="B28" s="24" t="s">
        <v>364</v>
      </c>
      <c r="C28" s="50" t="n">
        <f aca="false">C19-C26</f>
        <v>-47756.2</v>
      </c>
      <c r="D28" s="50" t="n">
        <f aca="false">D19-D26</f>
        <v>-49280.2</v>
      </c>
      <c r="E28" s="50" t="n">
        <f aca="false">E19-E26</f>
        <v>-59989.96</v>
      </c>
      <c r="F28" s="50" t="n">
        <f aca="false">F19-F26</f>
        <v>-58895.2192000001</v>
      </c>
      <c r="G28" s="50" t="n">
        <f aca="false">G19-G26</f>
        <v>-57584.579584</v>
      </c>
      <c r="H28" s="50" t="n">
        <f aca="false">H19-H26</f>
        <v>-45980.00338944</v>
      </c>
      <c r="I28" s="50" t="n">
        <f aca="false">I19-I26</f>
        <v>-21251.2171732991</v>
      </c>
      <c r="J28" s="50" t="n">
        <f aca="false">J19-J26</f>
        <v>-21316.2415167652</v>
      </c>
      <c r="K28" s="50" t="n">
        <f aca="false">K19-K26</f>
        <v>542.464561066503</v>
      </c>
      <c r="L28" s="50" t="n">
        <f aca="false">L19-L26</f>
        <v>913.3138522878</v>
      </c>
      <c r="M28" s="50" t="n">
        <f aca="false">M19-M26</f>
        <v>1291.5801293336</v>
      </c>
      <c r="N28" s="50" t="n">
        <f aca="false">N19-N26</f>
        <v>1677.41173192031</v>
      </c>
      <c r="O28" s="50" t="n">
        <f aca="false">O19-O26</f>
        <v>2070.95996655867</v>
      </c>
      <c r="P28" s="50" t="n">
        <f aca="false">P19-P26</f>
        <v>2472.37916588984</v>
      </c>
      <c r="Q28" s="50" t="n">
        <f aca="false">Q19-Q26</f>
        <v>-7018.60556738888</v>
      </c>
      <c r="R28" s="50" t="n">
        <f aca="false">R19-R26</f>
        <v>-32309.2842224533</v>
      </c>
      <c r="S28" s="50" t="n">
        <f aca="false">S19-S26</f>
        <v>12725.4525498756</v>
      </c>
      <c r="T28" s="50" t="n">
        <f aca="false">T19-T26</f>
        <v>13159.9616008732</v>
      </c>
      <c r="U28" s="50" t="n">
        <f aca="false">U19-U26</f>
        <v>13603.1608328906</v>
      </c>
      <c r="V28" s="50" t="n">
        <f aca="false">V19-V26</f>
        <v>23055.2240495484</v>
      </c>
      <c r="W28" s="50" t="n">
        <f aca="false">W19-W26</f>
        <v>23516.3285305393</v>
      </c>
      <c r="X28" s="50" t="n">
        <f aca="false">X19-X26</f>
        <v>23986.6551011501</v>
      </c>
      <c r="Y28" s="50" t="n">
        <f aca="false">Y19-Y26</f>
        <v>24466.3882031731</v>
      </c>
      <c r="Z28" s="50" t="n">
        <f aca="false">Z19-Z26</f>
        <v>24955.7159672366</v>
      </c>
      <c r="AA28" s="50" t="n">
        <f aca="false">AA19-AA26</f>
        <v>25454.8302865813</v>
      </c>
      <c r="AB28" s="50" t="n">
        <f aca="false">AB19-AB26</f>
        <v>25963.9268923129</v>
      </c>
      <c r="AC28" s="50" t="n">
        <f aca="false">AC19-AC26</f>
        <v>26483.2054301592</v>
      </c>
      <c r="AD28" s="50" t="n">
        <f aca="false">AD19-AD26</f>
        <v>27012.8695387624</v>
      </c>
      <c r="AE28" s="50" t="n">
        <f aca="false">AE19-AE26</f>
        <v>27553.1269295377</v>
      </c>
      <c r="AF28" s="50" t="n">
        <f aca="false">AF19-AF26</f>
        <v>28104.1894681285</v>
      </c>
    </row>
    <row r="30" customFormat="false" ht="15" hidden="false" customHeight="true" outlineLevel="0" collapsed="false">
      <c r="A30" s="23" t="s">
        <v>366</v>
      </c>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row>
    <row r="31" customFormat="false" ht="15" hidden="false" customHeight="true" outlineLevel="0" collapsed="false">
      <c r="B31" s="26" t="s">
        <v>457</v>
      </c>
      <c r="C31" s="45" t="n">
        <v>0</v>
      </c>
      <c r="D31" s="45" t="n">
        <f aca="false">C34</f>
        <v>0</v>
      </c>
      <c r="E31" s="45" t="n">
        <f aca="false">D34</f>
        <v>0</v>
      </c>
      <c r="F31" s="45" t="n">
        <f aca="false">E34</f>
        <v>0</v>
      </c>
      <c r="G31" s="45" t="n">
        <f aca="false">F34</f>
        <v>0</v>
      </c>
      <c r="H31" s="45" t="n">
        <f aca="false">G34</f>
        <v>0</v>
      </c>
      <c r="I31" s="45" t="n">
        <f aca="false">H34</f>
        <v>0</v>
      </c>
      <c r="J31" s="45" t="n">
        <f aca="false">I34</f>
        <v>0</v>
      </c>
      <c r="K31" s="45" t="n">
        <f aca="false">J34</f>
        <v>0</v>
      </c>
      <c r="L31" s="45" t="n">
        <f aca="false">K34</f>
        <v>542.464561066503</v>
      </c>
      <c r="M31" s="45" t="n">
        <f aca="false">L34</f>
        <v>1501.88790104496</v>
      </c>
      <c r="N31" s="45" t="n">
        <f aca="false">M34</f>
        <v>2921.12850196737</v>
      </c>
      <c r="O31" s="45" t="n">
        <f aca="false">N34</f>
        <v>4846.83615655491</v>
      </c>
      <c r="P31" s="45" t="n">
        <f aca="false">O34</f>
        <v>7329.77719642075</v>
      </c>
      <c r="Q31" s="45" t="n">
        <f aca="false">P34</f>
        <v>10425.1874240064</v>
      </c>
      <c r="R31" s="45" t="n">
        <f aca="false">Q34</f>
        <v>4292.72278765802</v>
      </c>
      <c r="S31" s="45" t="n">
        <f aca="false">R34</f>
        <v>0</v>
      </c>
      <c r="T31" s="45" t="n">
        <f aca="false">S34</f>
        <v>12725.4525498756</v>
      </c>
      <c r="U31" s="45" t="n">
        <f aca="false">T34</f>
        <v>26967.0776174882</v>
      </c>
      <c r="V31" s="45" t="n">
        <f aca="false">U34</f>
        <v>42862.4400478653</v>
      </c>
      <c r="W31" s="45" t="n">
        <f aca="false">V34</f>
        <v>69560.9715014822</v>
      </c>
      <c r="X31" s="45" t="n">
        <f aca="false">W34</f>
        <v>98989.9826096476</v>
      </c>
      <c r="Y31" s="45" t="n">
        <f aca="false">X34</f>
        <v>131390.786232618</v>
      </c>
      <c r="Z31" s="45" t="n">
        <f aca="false">Y34</f>
        <v>167025.391265563</v>
      </c>
      <c r="AA31" s="45" t="n">
        <f aca="false">Z34</f>
        <v>206178.265490373</v>
      </c>
      <c r="AB31" s="45" t="n">
        <f aca="false">AA34</f>
        <v>249158.248343636</v>
      </c>
      <c r="AC31" s="45" t="n">
        <f aca="false">AB34</f>
        <v>296300.626345158</v>
      </c>
      <c r="AD31" s="45" t="n">
        <f aca="false">AC34</f>
        <v>347969.385014655</v>
      </c>
      <c r="AE31" s="45" t="n">
        <f aca="false">AD34</f>
        <v>404559.652279664</v>
      </c>
      <c r="AF31" s="45" t="n">
        <f aca="false">AE34</f>
        <v>466500.349652973</v>
      </c>
    </row>
    <row r="32" customFormat="false" ht="15" hidden="false" customHeight="true" outlineLevel="0" collapsed="false">
      <c r="B32" s="49" t="s">
        <v>368</v>
      </c>
      <c r="C32" s="45" t="n">
        <f aca="false">C31*Assumptions!$C$28</f>
        <v>0</v>
      </c>
      <c r="D32" s="45" t="n">
        <f aca="false">D31*Assumptions!$C$28</f>
        <v>0</v>
      </c>
      <c r="E32" s="45" t="n">
        <f aca="false">E31*Assumptions!$C$28</f>
        <v>0</v>
      </c>
      <c r="F32" s="45" t="n">
        <f aca="false">F31*Assumptions!$C$28</f>
        <v>0</v>
      </c>
      <c r="G32" s="45" t="n">
        <f aca="false">G31*Assumptions!$C$28</f>
        <v>0</v>
      </c>
      <c r="H32" s="45" t="n">
        <f aca="false">H31*Assumptions!$C$28</f>
        <v>0</v>
      </c>
      <c r="I32" s="45" t="n">
        <f aca="false">I31*Assumptions!$C$28</f>
        <v>0</v>
      </c>
      <c r="J32" s="45" t="n">
        <f aca="false">J31*Assumptions!$C$28</f>
        <v>0</v>
      </c>
      <c r="K32" s="45" t="n">
        <f aca="false">K31*Assumptions!$C$28</f>
        <v>0</v>
      </c>
      <c r="L32" s="45" t="n">
        <f aca="false">L31*Assumptions!$C$28</f>
        <v>46.1094876906528</v>
      </c>
      <c r="M32" s="45" t="n">
        <f aca="false">M31*Assumptions!$C$28</f>
        <v>127.660471588821</v>
      </c>
      <c r="N32" s="45" t="n">
        <f aca="false">N31*Assumptions!$C$28</f>
        <v>248.295922667227</v>
      </c>
      <c r="O32" s="45" t="n">
        <f aca="false">O31*Assumptions!$C$28</f>
        <v>411.981073307167</v>
      </c>
      <c r="P32" s="45" t="n">
        <f aca="false">P31*Assumptions!$C$28</f>
        <v>623.031061695764</v>
      </c>
      <c r="Q32" s="45" t="n">
        <f aca="false">Q31*Assumptions!$C$28</f>
        <v>886.14093104054</v>
      </c>
      <c r="R32" s="45" t="n">
        <f aca="false">R31*Assumptions!$C$28</f>
        <v>364.881436950931</v>
      </c>
      <c r="S32" s="45" t="n">
        <f aca="false">S31*Assumptions!$C$28</f>
        <v>0</v>
      </c>
      <c r="T32" s="45" t="n">
        <f aca="false">T31*Assumptions!$C$28</f>
        <v>1081.66346673942</v>
      </c>
      <c r="U32" s="45" t="n">
        <f aca="false">U31*Assumptions!$C$28</f>
        <v>2292.2015974865</v>
      </c>
      <c r="V32" s="45" t="n">
        <f aca="false">V31*Assumptions!$C$28</f>
        <v>3643.30740406855</v>
      </c>
      <c r="W32" s="45" t="n">
        <f aca="false">W31*Assumptions!$C$28</f>
        <v>5912.68257762599</v>
      </c>
      <c r="X32" s="45" t="n">
        <f aca="false">X31*Assumptions!$C$28</f>
        <v>8414.14852182004</v>
      </c>
      <c r="Y32" s="45" t="n">
        <f aca="false">Y31*Assumptions!$C$28</f>
        <v>11168.2168297725</v>
      </c>
      <c r="Z32" s="45" t="n">
        <f aca="false">Z31*Assumptions!$C$28</f>
        <v>14197.1582575729</v>
      </c>
      <c r="AA32" s="45" t="n">
        <f aca="false">AA31*Assumptions!$C$28</f>
        <v>17525.1525666817</v>
      </c>
      <c r="AB32" s="45" t="n">
        <f aca="false">AB31*Assumptions!$C$28</f>
        <v>21178.451109209</v>
      </c>
      <c r="AC32" s="45" t="n">
        <f aca="false">AC31*Assumptions!$C$28</f>
        <v>25185.5532393384</v>
      </c>
      <c r="AD32" s="45" t="n">
        <f aca="false">AD31*Assumptions!$C$28</f>
        <v>29577.3977262457</v>
      </c>
      <c r="AE32" s="45" t="n">
        <f aca="false">AE31*Assumptions!$C$28</f>
        <v>34387.5704437714</v>
      </c>
      <c r="AF32" s="45" t="n">
        <f aca="false">AF31*Assumptions!$C$28</f>
        <v>39652.5297205027</v>
      </c>
    </row>
    <row r="33" customFormat="false" ht="15" hidden="false" customHeight="true" outlineLevel="0" collapsed="false">
      <c r="B33" s="49" t="s">
        <v>369</v>
      </c>
      <c r="C33" s="45" t="n">
        <f aca="false">C28</f>
        <v>-47756.2</v>
      </c>
      <c r="D33" s="45" t="n">
        <f aca="false">D28</f>
        <v>-49280.2</v>
      </c>
      <c r="E33" s="45" t="n">
        <f aca="false">E28</f>
        <v>-59989.96</v>
      </c>
      <c r="F33" s="45" t="n">
        <f aca="false">F28</f>
        <v>-58895.2192000001</v>
      </c>
      <c r="G33" s="45" t="n">
        <f aca="false">G28</f>
        <v>-57584.579584</v>
      </c>
      <c r="H33" s="45" t="n">
        <f aca="false">H28</f>
        <v>-45980.00338944</v>
      </c>
      <c r="I33" s="45" t="n">
        <f aca="false">I28</f>
        <v>-21251.2171732991</v>
      </c>
      <c r="J33" s="45" t="n">
        <f aca="false">J28</f>
        <v>-21316.2415167652</v>
      </c>
      <c r="K33" s="45" t="n">
        <f aca="false">K28</f>
        <v>542.464561066503</v>
      </c>
      <c r="L33" s="45" t="n">
        <f aca="false">L28</f>
        <v>913.3138522878</v>
      </c>
      <c r="M33" s="45" t="n">
        <f aca="false">M28</f>
        <v>1291.5801293336</v>
      </c>
      <c r="N33" s="45" t="n">
        <f aca="false">N28</f>
        <v>1677.41173192031</v>
      </c>
      <c r="O33" s="45" t="n">
        <f aca="false">O28</f>
        <v>2070.95996655867</v>
      </c>
      <c r="P33" s="45" t="n">
        <f aca="false">P28</f>
        <v>2472.37916588984</v>
      </c>
      <c r="Q33" s="45" t="n">
        <f aca="false">Q28</f>
        <v>-7018.60556738888</v>
      </c>
      <c r="R33" s="45" t="n">
        <f aca="false">R28</f>
        <v>-32309.2842224533</v>
      </c>
      <c r="S33" s="45" t="n">
        <f aca="false">S28</f>
        <v>12725.4525498756</v>
      </c>
      <c r="T33" s="45" t="n">
        <f aca="false">T28</f>
        <v>13159.9616008732</v>
      </c>
      <c r="U33" s="45" t="n">
        <f aca="false">U28</f>
        <v>13603.1608328906</v>
      </c>
      <c r="V33" s="45" t="n">
        <f aca="false">V28</f>
        <v>23055.2240495484</v>
      </c>
      <c r="W33" s="45" t="n">
        <f aca="false">W28</f>
        <v>23516.3285305393</v>
      </c>
      <c r="X33" s="45" t="n">
        <f aca="false">X28</f>
        <v>23986.6551011501</v>
      </c>
      <c r="Y33" s="45" t="n">
        <f aca="false">Y28</f>
        <v>24466.3882031731</v>
      </c>
      <c r="Z33" s="45" t="n">
        <f aca="false">Z28</f>
        <v>24955.7159672366</v>
      </c>
      <c r="AA33" s="45" t="n">
        <f aca="false">AA28</f>
        <v>25454.8302865813</v>
      </c>
      <c r="AB33" s="45" t="n">
        <f aca="false">AB28</f>
        <v>25963.9268923129</v>
      </c>
      <c r="AC33" s="45" t="n">
        <f aca="false">AC28</f>
        <v>26483.2054301592</v>
      </c>
      <c r="AD33" s="45" t="n">
        <f aca="false">AD28</f>
        <v>27012.8695387624</v>
      </c>
      <c r="AE33" s="45" t="n">
        <f aca="false">AE28</f>
        <v>27553.1269295377</v>
      </c>
      <c r="AF33" s="45" t="n">
        <f aca="false">AF28</f>
        <v>28104.1894681285</v>
      </c>
    </row>
    <row r="34" customFormat="false" ht="15" hidden="false" customHeight="true" outlineLevel="0" collapsed="false">
      <c r="B34" s="24" t="s">
        <v>370</v>
      </c>
      <c r="C34" s="48" t="n">
        <f aca="false">MAX(0,C31+C32+C33)</f>
        <v>0</v>
      </c>
      <c r="D34" s="48" t="n">
        <f aca="false">MAX(0,D31+D32+D33)</f>
        <v>0</v>
      </c>
      <c r="E34" s="48" t="n">
        <f aca="false">MAX(0,E31+E32+E33)</f>
        <v>0</v>
      </c>
      <c r="F34" s="48" t="n">
        <f aca="false">MAX(0,F31+F32+F33)</f>
        <v>0</v>
      </c>
      <c r="G34" s="48" t="n">
        <f aca="false">MAX(0,G31+G32+G33)</f>
        <v>0</v>
      </c>
      <c r="H34" s="48" t="n">
        <f aca="false">MAX(0,H31+H32+H33)</f>
        <v>0</v>
      </c>
      <c r="I34" s="48" t="n">
        <f aca="false">MAX(0,I31+I32+I33)</f>
        <v>0</v>
      </c>
      <c r="J34" s="48" t="n">
        <f aca="false">MAX(0,J31+J32+J33)</f>
        <v>0</v>
      </c>
      <c r="K34" s="48" t="n">
        <f aca="false">MAX(0,K31+K32+K33)</f>
        <v>542.464561066503</v>
      </c>
      <c r="L34" s="48" t="n">
        <f aca="false">MAX(0,L31+L32+L33)</f>
        <v>1501.88790104496</v>
      </c>
      <c r="M34" s="48" t="n">
        <f aca="false">MAX(0,M31+M32+M33)</f>
        <v>2921.12850196737</v>
      </c>
      <c r="N34" s="48" t="n">
        <f aca="false">MAX(0,N31+N32+N33)</f>
        <v>4846.83615655491</v>
      </c>
      <c r="O34" s="48" t="n">
        <f aca="false">MAX(0,O31+O32+O33)</f>
        <v>7329.77719642075</v>
      </c>
      <c r="P34" s="48" t="n">
        <f aca="false">MAX(0,P31+P32+P33)</f>
        <v>10425.1874240064</v>
      </c>
      <c r="Q34" s="48" t="n">
        <f aca="false">MAX(0,Q31+Q32+Q33)</f>
        <v>4292.72278765802</v>
      </c>
      <c r="R34" s="48" t="n">
        <f aca="false">MAX(0,R31+R32+R33)</f>
        <v>0</v>
      </c>
      <c r="S34" s="48" t="n">
        <f aca="false">MAX(0,S31+S32+S33)</f>
        <v>12725.4525498756</v>
      </c>
      <c r="T34" s="48" t="n">
        <f aca="false">MAX(0,T31+T32+T33)</f>
        <v>26967.0776174882</v>
      </c>
      <c r="U34" s="48" t="n">
        <f aca="false">MAX(0,U31+U32+U33)</f>
        <v>42862.4400478653</v>
      </c>
      <c r="V34" s="48" t="n">
        <f aca="false">MAX(0,V31+V32+V33)</f>
        <v>69560.9715014822</v>
      </c>
      <c r="W34" s="48" t="n">
        <f aca="false">MAX(0,W31+W32+W33)</f>
        <v>98989.9826096476</v>
      </c>
      <c r="X34" s="48" t="n">
        <f aca="false">MAX(0,X31+X32+X33)</f>
        <v>131390.786232618</v>
      </c>
      <c r="Y34" s="48" t="n">
        <f aca="false">MAX(0,Y31+Y32+Y33)</f>
        <v>167025.391265563</v>
      </c>
      <c r="Z34" s="48" t="n">
        <f aca="false">MAX(0,Z31+Z32+Z33)</f>
        <v>206178.265490373</v>
      </c>
      <c r="AA34" s="48" t="n">
        <f aca="false">MAX(0,AA31+AA32+AA33)</f>
        <v>249158.248343636</v>
      </c>
      <c r="AB34" s="48" t="n">
        <f aca="false">MAX(0,AB31+AB32+AB33)</f>
        <v>296300.626345158</v>
      </c>
      <c r="AC34" s="48" t="n">
        <f aca="false">MAX(0,AC31+AC32+AC33)</f>
        <v>347969.385014655</v>
      </c>
      <c r="AD34" s="48" t="n">
        <f aca="false">MAX(0,AD31+AD32+AD33)</f>
        <v>404559.652279664</v>
      </c>
      <c r="AE34" s="48" t="n">
        <f aca="false">MAX(0,AE31+AE32+AE33)</f>
        <v>466500.349652973</v>
      </c>
      <c r="AF34" s="48" t="n">
        <f aca="false">MAX(0,AF31+AF32+AF33)</f>
        <v>534257.068841604</v>
      </c>
    </row>
    <row r="35" customFormat="false" ht="15" hidden="false" customHeight="true" outlineLevel="0" collapsed="false">
      <c r="B35" s="26" t="s">
        <v>458</v>
      </c>
      <c r="C35" s="45" t="n">
        <f aca="false">MAX(0,-(C31+C32+C33))</f>
        <v>47756.2</v>
      </c>
      <c r="D35" s="45" t="n">
        <f aca="false">MAX(0,-(D31+D32+D33))</f>
        <v>49280.2</v>
      </c>
      <c r="E35" s="45" t="n">
        <f aca="false">MAX(0,-(E31+E32+E33))</f>
        <v>59989.96</v>
      </c>
      <c r="F35" s="45" t="n">
        <f aca="false">MAX(0,-(F31+F32+F33))</f>
        <v>58895.2192000001</v>
      </c>
      <c r="G35" s="45" t="n">
        <f aca="false">MAX(0,-(G31+G32+G33))</f>
        <v>57584.579584</v>
      </c>
      <c r="H35" s="45" t="n">
        <f aca="false">MAX(0,-(H31+H32+H33))</f>
        <v>45980.00338944</v>
      </c>
      <c r="I35" s="45" t="n">
        <f aca="false">MAX(0,-(I31+I32+I33))</f>
        <v>21251.2171732991</v>
      </c>
      <c r="J35" s="45" t="n">
        <f aca="false">MAX(0,-(J31+J32+J33))</f>
        <v>21316.2415167652</v>
      </c>
      <c r="K35" s="45" t="n">
        <f aca="false">MAX(0,-(K31+K32+K33))</f>
        <v>0</v>
      </c>
      <c r="L35" s="45" t="n">
        <f aca="false">MAX(0,-(L31+L32+L33))</f>
        <v>0</v>
      </c>
      <c r="M35" s="45" t="n">
        <f aca="false">MAX(0,-(M31+M32+M33))</f>
        <v>0</v>
      </c>
      <c r="N35" s="45" t="n">
        <f aca="false">MAX(0,-(N31+N32+N33))</f>
        <v>0</v>
      </c>
      <c r="O35" s="45" t="n">
        <f aca="false">MAX(0,-(O31+O32+O33))</f>
        <v>0</v>
      </c>
      <c r="P35" s="45" t="n">
        <f aca="false">MAX(0,-(P31+P32+P33))</f>
        <v>0</v>
      </c>
      <c r="Q35" s="45" t="n">
        <f aca="false">MAX(0,-(Q31+Q32+Q33))</f>
        <v>0</v>
      </c>
      <c r="R35" s="45" t="n">
        <f aca="false">MAX(0,-(R31+R32+R33))</f>
        <v>27651.6799978444</v>
      </c>
      <c r="S35" s="45" t="n">
        <f aca="false">MAX(0,-(S31+S32+S33))</f>
        <v>0</v>
      </c>
      <c r="T35" s="45" t="n">
        <f aca="false">MAX(0,-(T31+T32+T33))</f>
        <v>0</v>
      </c>
      <c r="U35" s="45" t="n">
        <f aca="false">MAX(0,-(U31+U32+U33))</f>
        <v>0</v>
      </c>
      <c r="V35" s="45" t="n">
        <f aca="false">MAX(0,-(V31+V32+V33))</f>
        <v>0</v>
      </c>
      <c r="W35" s="45" t="n">
        <f aca="false">MAX(0,-(W31+W32+W33))</f>
        <v>0</v>
      </c>
      <c r="X35" s="45" t="n">
        <f aca="false">MAX(0,-(X31+X32+X33))</f>
        <v>0</v>
      </c>
      <c r="Y35" s="45" t="n">
        <f aca="false">MAX(0,-(Y31+Y32+Y33))</f>
        <v>0</v>
      </c>
      <c r="Z35" s="45" t="n">
        <f aca="false">MAX(0,-(Z31+Z32+Z33))</f>
        <v>0</v>
      </c>
      <c r="AA35" s="45" t="n">
        <f aca="false">MAX(0,-(AA31+AA32+AA33))</f>
        <v>0</v>
      </c>
      <c r="AB35" s="45" t="n">
        <f aca="false">MAX(0,-(AB31+AB32+AB33))</f>
        <v>0</v>
      </c>
      <c r="AC35" s="45" t="n">
        <f aca="false">MAX(0,-(AC31+AC32+AC33))</f>
        <v>0</v>
      </c>
      <c r="AD35" s="45" t="n">
        <f aca="false">MAX(0,-(AD31+AD32+AD33))</f>
        <v>0</v>
      </c>
      <c r="AE35" s="45" t="n">
        <f aca="false">MAX(0,-(AE31+AE32+AE33))</f>
        <v>0</v>
      </c>
      <c r="AF35" s="45" t="n">
        <f aca="false">MAX(0,-(AF31+AF32+AF33))</f>
        <v>0</v>
      </c>
    </row>
    <row r="36" customFormat="false" ht="15" hidden="false" customHeight="true" outlineLevel="0" collapsed="false">
      <c r="B36" s="26" t="s">
        <v>459</v>
      </c>
      <c r="C36" s="45" t="n">
        <f aca="false">Assumptions!$C$22+Assumptions!$D$22</f>
        <v>260000</v>
      </c>
      <c r="D36" s="45" t="n">
        <f aca="false">C40</f>
        <v>278243.8</v>
      </c>
      <c r="E36" s="45" t="n">
        <f aca="false">D40</f>
        <v>296787.98</v>
      </c>
      <c r="F36" s="45" t="n">
        <f aca="false">E40</f>
        <v>306476.818</v>
      </c>
      <c r="G36" s="45" t="n">
        <f aca="false">F40</f>
        <v>318229.2806</v>
      </c>
      <c r="H36" s="45" t="n">
        <f aca="false">G40</f>
        <v>332467.629076</v>
      </c>
      <c r="I36" s="45" t="n">
        <f aca="false">H40</f>
        <v>360534.38859416</v>
      </c>
      <c r="J36" s="45" t="n">
        <f aca="false">I40</f>
        <v>416952.610280277</v>
      </c>
      <c r="K36" s="45" t="n">
        <f aca="false">J40</f>
        <v>479779.949791539</v>
      </c>
      <c r="L36" s="45" t="n">
        <f aca="false">K40</f>
        <v>571055.231170693</v>
      </c>
      <c r="M36" s="45" t="n">
        <f aca="false">L40</f>
        <v>672323.986415763</v>
      </c>
      <c r="N36" s="45" t="n">
        <f aca="false">M40</f>
        <v>784602.881827899</v>
      </c>
      <c r="O36" s="45" t="n">
        <f aca="false">N40</f>
        <v>909010.59671666</v>
      </c>
      <c r="P36" s="45" t="n">
        <f aca="false">O40</f>
        <v>1046778.03162842</v>
      </c>
      <c r="Q36" s="45" t="n">
        <f aca="false">P40</f>
        <v>1199259.53753615</v>
      </c>
      <c r="R36" s="45" t="n">
        <f aca="false">Q40</f>
        <v>1367945.26808956</v>
      </c>
      <c r="S36" s="45" t="n">
        <f aca="false">R40</f>
        <v>1526823.08723645</v>
      </c>
      <c r="T36" s="45" t="n">
        <f aca="false">S40</f>
        <v>1730235.0677426</v>
      </c>
      <c r="U36" s="45" t="n">
        <f aca="false">T40</f>
        <v>1955002.83973501</v>
      </c>
      <c r="V36" s="45" t="n">
        <f aca="false">U40</f>
        <v>2203282.27423103</v>
      </c>
      <c r="W36" s="45" t="n">
        <f aca="false">V40</f>
        <v>2477445.2351871</v>
      </c>
      <c r="X36" s="45" t="n">
        <f aca="false">W40</f>
        <v>2780101.18690943</v>
      </c>
      <c r="Y36" s="45" t="n">
        <f aca="false">X40</f>
        <v>3114120.96236807</v>
      </c>
      <c r="Z36" s="45" t="n">
        <f aca="false">Y40</f>
        <v>3482662.90850793</v>
      </c>
      <c r="AA36" s="45" t="n">
        <f aca="false">Z40</f>
        <v>3889201.64625983</v>
      </c>
      <c r="AB36" s="45" t="n">
        <f aca="false">AA40</f>
        <v>4337559.70672495</v>
      </c>
      <c r="AC36" s="45" t="n">
        <f aca="false">AB40</f>
        <v>4831942.33115336</v>
      </c>
      <c r="AD36" s="45" t="n">
        <f aca="false">AC40</f>
        <v>5376975.75109973</v>
      </c>
      <c r="AE36" s="45" t="n">
        <f aca="false">AD40</f>
        <v>5977749.29677736</v>
      </c>
      <c r="AF36" s="45" t="n">
        <f aca="false">AE40</f>
        <v>6639861.71643411</v>
      </c>
    </row>
    <row r="37" customFormat="false" ht="15" hidden="false" customHeight="true" outlineLevel="0" collapsed="false">
      <c r="B37" s="49" t="s">
        <v>282</v>
      </c>
      <c r="C37" s="45" t="n">
        <f aca="false">C16</f>
        <v>40000</v>
      </c>
      <c r="D37" s="45" t="n">
        <f aca="false">D16</f>
        <v>40000</v>
      </c>
      <c r="E37" s="45" t="n">
        <f aca="false">E16</f>
        <v>40000</v>
      </c>
      <c r="F37" s="45" t="n">
        <f aca="false">F16</f>
        <v>40000</v>
      </c>
      <c r="G37" s="45" t="n">
        <f aca="false">G16</f>
        <v>40000</v>
      </c>
      <c r="H37" s="45" t="n">
        <f aca="false">H16</f>
        <v>40800</v>
      </c>
      <c r="I37" s="45" t="n">
        <f aca="false">I16</f>
        <v>41616</v>
      </c>
      <c r="J37" s="45" t="n">
        <f aca="false">J16</f>
        <v>42448.32</v>
      </c>
      <c r="K37" s="45" t="n">
        <f aca="false">K16</f>
        <v>43297.2864</v>
      </c>
      <c r="L37" s="45" t="n">
        <f aca="false">L16</f>
        <v>44163.232128</v>
      </c>
      <c r="M37" s="45" t="n">
        <f aca="false">M16</f>
        <v>45046.49677056</v>
      </c>
      <c r="N37" s="45" t="n">
        <f aca="false">N16</f>
        <v>45947.4267059712</v>
      </c>
      <c r="O37" s="45" t="n">
        <f aca="false">O16</f>
        <v>46866.3752400906</v>
      </c>
      <c r="P37" s="45" t="n">
        <f aca="false">P16</f>
        <v>47803.7027448924</v>
      </c>
      <c r="Q37" s="45" t="n">
        <f aca="false">Q16</f>
        <v>48759.7767997903</v>
      </c>
      <c r="R37" s="45" t="n">
        <f aca="false">R16</f>
        <v>49734.9723357861</v>
      </c>
      <c r="S37" s="45" t="n">
        <f aca="false">S16</f>
        <v>50729.6717825018</v>
      </c>
      <c r="T37" s="45" t="n">
        <f aca="false">T16</f>
        <v>51744.2652181519</v>
      </c>
      <c r="U37" s="45" t="n">
        <f aca="false">U16</f>
        <v>52779.1505225149</v>
      </c>
      <c r="V37" s="45" t="n">
        <f aca="false">V16</f>
        <v>53834.7335329652</v>
      </c>
      <c r="W37" s="45" t="n">
        <f aca="false">W16</f>
        <v>54911.4282036245</v>
      </c>
      <c r="X37" s="45" t="n">
        <f aca="false">X16</f>
        <v>56009.656767697</v>
      </c>
      <c r="Y37" s="45" t="n">
        <f aca="false">Y16</f>
        <v>57129.8499030509</v>
      </c>
      <c r="Z37" s="45" t="n">
        <f aca="false">Z16</f>
        <v>58272.446901112</v>
      </c>
      <c r="AA37" s="45" t="n">
        <f aca="false">AA16</f>
        <v>59437.8958391342</v>
      </c>
      <c r="AB37" s="45" t="n">
        <f aca="false">AB16</f>
        <v>60626.6537559169</v>
      </c>
      <c r="AC37" s="45" t="n">
        <f aca="false">AC16</f>
        <v>61839.1868310352</v>
      </c>
      <c r="AD37" s="45" t="n">
        <f aca="false">AD16</f>
        <v>63075.9705676559</v>
      </c>
      <c r="AE37" s="45" t="n">
        <f aca="false">AE16</f>
        <v>64337.4899790091</v>
      </c>
      <c r="AF37" s="45" t="n">
        <f aca="false">AF16</f>
        <v>65624.2397785892</v>
      </c>
    </row>
    <row r="38" customFormat="false" ht="15" hidden="false" customHeight="true" outlineLevel="0" collapsed="false">
      <c r="B38" s="49" t="s">
        <v>368</v>
      </c>
      <c r="C38" s="45" t="n">
        <f aca="false">C36*Assumptions!$C$27</f>
        <v>26000</v>
      </c>
      <c r="D38" s="45" t="n">
        <f aca="false">D36*Assumptions!$C$27</f>
        <v>27824.38</v>
      </c>
      <c r="E38" s="45" t="n">
        <f aca="false">E36*Assumptions!$C$27</f>
        <v>29678.798</v>
      </c>
      <c r="F38" s="45" t="n">
        <f aca="false">F36*Assumptions!$C$27</f>
        <v>30647.6818</v>
      </c>
      <c r="G38" s="45" t="n">
        <f aca="false">G36*Assumptions!$C$27</f>
        <v>31822.92806</v>
      </c>
      <c r="H38" s="45" t="n">
        <f aca="false">H36*Assumptions!$C$27</f>
        <v>33246.7629076</v>
      </c>
      <c r="I38" s="45" t="n">
        <f aca="false">I36*Assumptions!$C$27</f>
        <v>36053.438859416</v>
      </c>
      <c r="J38" s="45" t="n">
        <f aca="false">J36*Assumptions!$C$27</f>
        <v>41695.2610280277</v>
      </c>
      <c r="K38" s="45" t="n">
        <f aca="false">K36*Assumptions!$C$27</f>
        <v>47977.9949791539</v>
      </c>
      <c r="L38" s="45" t="n">
        <f aca="false">L36*Assumptions!$C$27</f>
        <v>57105.5231170693</v>
      </c>
      <c r="M38" s="45" t="n">
        <f aca="false">M36*Assumptions!$C$27</f>
        <v>67232.3986415763</v>
      </c>
      <c r="N38" s="45" t="n">
        <f aca="false">N36*Assumptions!$C$27</f>
        <v>78460.2881827899</v>
      </c>
      <c r="O38" s="45" t="n">
        <f aca="false">O36*Assumptions!$C$27</f>
        <v>90901.059671666</v>
      </c>
      <c r="P38" s="45" t="n">
        <f aca="false">P36*Assumptions!$C$27</f>
        <v>104677.803162842</v>
      </c>
      <c r="Q38" s="45" t="n">
        <f aca="false">Q36*Assumptions!$C$27</f>
        <v>119925.953753615</v>
      </c>
      <c r="R38" s="45" t="n">
        <f aca="false">R36*Assumptions!$C$27</f>
        <v>136794.526808956</v>
      </c>
      <c r="S38" s="45" t="n">
        <f aca="false">S36*Assumptions!$C$27</f>
        <v>152682.308723645</v>
      </c>
      <c r="T38" s="45" t="n">
        <f aca="false">T36*Assumptions!$C$27</f>
        <v>173023.50677426</v>
      </c>
      <c r="U38" s="45" t="n">
        <f aca="false">U36*Assumptions!$C$27</f>
        <v>195500.283973501</v>
      </c>
      <c r="V38" s="45" t="n">
        <f aca="false">V36*Assumptions!$C$27</f>
        <v>220328.227423103</v>
      </c>
      <c r="W38" s="45" t="n">
        <f aca="false">W36*Assumptions!$C$27</f>
        <v>247744.52351871</v>
      </c>
      <c r="X38" s="45" t="n">
        <f aca="false">X36*Assumptions!$C$27</f>
        <v>278010.118690943</v>
      </c>
      <c r="Y38" s="45" t="n">
        <f aca="false">Y36*Assumptions!$C$27</f>
        <v>311412.096236807</v>
      </c>
      <c r="Z38" s="45" t="n">
        <f aca="false">Z36*Assumptions!$C$27</f>
        <v>348266.290850793</v>
      </c>
      <c r="AA38" s="45" t="n">
        <f aca="false">AA36*Assumptions!$C$27</f>
        <v>388920.164625983</v>
      </c>
      <c r="AB38" s="45" t="n">
        <f aca="false">AB36*Assumptions!$C$27</f>
        <v>433755.970672495</v>
      </c>
      <c r="AC38" s="45" t="n">
        <f aca="false">AC36*Assumptions!$C$27</f>
        <v>483194.233115336</v>
      </c>
      <c r="AD38" s="45" t="n">
        <f aca="false">AD36*Assumptions!$C$27</f>
        <v>537697.575109973</v>
      </c>
      <c r="AE38" s="45" t="n">
        <f aca="false">AE36*Assumptions!$C$27</f>
        <v>597774.929677736</v>
      </c>
      <c r="AF38" s="45" t="n">
        <f aca="false">AF36*Assumptions!$C$27</f>
        <v>663986.171643411</v>
      </c>
    </row>
    <row r="39" customFormat="false" ht="15" hidden="false" customHeight="true" outlineLevel="0" collapsed="false">
      <c r="B39" s="49" t="s">
        <v>460</v>
      </c>
      <c r="C39" s="45" t="n">
        <f aca="false">-C35</f>
        <v>-47756.2</v>
      </c>
      <c r="D39" s="45" t="n">
        <f aca="false">-D35</f>
        <v>-49280.2</v>
      </c>
      <c r="E39" s="45" t="n">
        <f aca="false">-E35</f>
        <v>-59989.96</v>
      </c>
      <c r="F39" s="45" t="n">
        <f aca="false">-F35</f>
        <v>-58895.2192000001</v>
      </c>
      <c r="G39" s="45" t="n">
        <f aca="false">-G35</f>
        <v>-57584.579584</v>
      </c>
      <c r="H39" s="45" t="n">
        <f aca="false">-H35</f>
        <v>-45980.00338944</v>
      </c>
      <c r="I39" s="45" t="n">
        <f aca="false">-I35</f>
        <v>-21251.2171732991</v>
      </c>
      <c r="J39" s="45" t="n">
        <f aca="false">-J35</f>
        <v>-21316.2415167652</v>
      </c>
      <c r="K39" s="45" t="n">
        <f aca="false">-K35</f>
        <v>-0</v>
      </c>
      <c r="L39" s="45" t="n">
        <f aca="false">-L35</f>
        <v>-0</v>
      </c>
      <c r="M39" s="45" t="n">
        <f aca="false">-M35</f>
        <v>-0</v>
      </c>
      <c r="N39" s="45" t="n">
        <f aca="false">-N35</f>
        <v>-0</v>
      </c>
      <c r="O39" s="45" t="n">
        <f aca="false">-O35</f>
        <v>-0</v>
      </c>
      <c r="P39" s="45" t="n">
        <f aca="false">-P35</f>
        <v>-0</v>
      </c>
      <c r="Q39" s="45" t="n">
        <f aca="false">-Q35</f>
        <v>-0</v>
      </c>
      <c r="R39" s="45" t="n">
        <f aca="false">-R35</f>
        <v>-27651.6799978444</v>
      </c>
      <c r="S39" s="45" t="n">
        <f aca="false">-S35</f>
        <v>-0</v>
      </c>
      <c r="T39" s="45" t="n">
        <f aca="false">-T35</f>
        <v>-0</v>
      </c>
      <c r="U39" s="45" t="n">
        <f aca="false">-U35</f>
        <v>-0</v>
      </c>
      <c r="V39" s="45" t="n">
        <f aca="false">-V35</f>
        <v>-0</v>
      </c>
      <c r="W39" s="45" t="n">
        <f aca="false">-W35</f>
        <v>-0</v>
      </c>
      <c r="X39" s="45" t="n">
        <f aca="false">-X35</f>
        <v>-0</v>
      </c>
      <c r="Y39" s="45" t="n">
        <f aca="false">-Y35</f>
        <v>-0</v>
      </c>
      <c r="Z39" s="45" t="n">
        <f aca="false">-Z35</f>
        <v>-0</v>
      </c>
      <c r="AA39" s="45" t="n">
        <f aca="false">-AA35</f>
        <v>-0</v>
      </c>
      <c r="AB39" s="45" t="n">
        <f aca="false">-AB35</f>
        <v>-0</v>
      </c>
      <c r="AC39" s="45" t="n">
        <f aca="false">-AC35</f>
        <v>-0</v>
      </c>
      <c r="AD39" s="45" t="n">
        <f aca="false">-AD35</f>
        <v>-0</v>
      </c>
      <c r="AE39" s="45" t="n">
        <f aca="false">-AE35</f>
        <v>-0</v>
      </c>
      <c r="AF39" s="45" t="n">
        <f aca="false">-AF35</f>
        <v>-0</v>
      </c>
    </row>
    <row r="40" customFormat="false" ht="15" hidden="false" customHeight="true" outlineLevel="0" collapsed="false">
      <c r="B40" s="24" t="s">
        <v>461</v>
      </c>
      <c r="C40" s="48" t="n">
        <f aca="false">MAX(0,C36+C37+C38+C39)</f>
        <v>278243.8</v>
      </c>
      <c r="D40" s="48" t="n">
        <f aca="false">MAX(0,D36+D37+D38+D39)</f>
        <v>296787.98</v>
      </c>
      <c r="E40" s="48" t="n">
        <f aca="false">MAX(0,E36+E37+E38+E39)</f>
        <v>306476.818</v>
      </c>
      <c r="F40" s="48" t="n">
        <f aca="false">MAX(0,F36+F37+F38+F39)</f>
        <v>318229.2806</v>
      </c>
      <c r="G40" s="48" t="n">
        <f aca="false">MAX(0,G36+G37+G38+G39)</f>
        <v>332467.629076</v>
      </c>
      <c r="H40" s="48" t="n">
        <f aca="false">MAX(0,H36+H37+H38+H39)</f>
        <v>360534.38859416</v>
      </c>
      <c r="I40" s="48" t="n">
        <f aca="false">MAX(0,I36+I37+I38+I39)</f>
        <v>416952.610280277</v>
      </c>
      <c r="J40" s="48" t="n">
        <f aca="false">MAX(0,J36+J37+J38+J39)</f>
        <v>479779.949791539</v>
      </c>
      <c r="K40" s="48" t="n">
        <f aca="false">MAX(0,K36+K37+K38+K39)</f>
        <v>571055.231170693</v>
      </c>
      <c r="L40" s="48" t="n">
        <f aca="false">MAX(0,L36+L37+L38+L39)</f>
        <v>672323.986415763</v>
      </c>
      <c r="M40" s="48" t="n">
        <f aca="false">MAX(0,M36+M37+M38+M39)</f>
        <v>784602.881827899</v>
      </c>
      <c r="N40" s="48" t="n">
        <f aca="false">MAX(0,N36+N37+N38+N39)</f>
        <v>909010.59671666</v>
      </c>
      <c r="O40" s="48" t="n">
        <f aca="false">MAX(0,O36+O37+O38+O39)</f>
        <v>1046778.03162842</v>
      </c>
      <c r="P40" s="48" t="n">
        <f aca="false">MAX(0,P36+P37+P38+P39)</f>
        <v>1199259.53753615</v>
      </c>
      <c r="Q40" s="48" t="n">
        <f aca="false">MAX(0,Q36+Q37+Q38+Q39)</f>
        <v>1367945.26808956</v>
      </c>
      <c r="R40" s="48" t="n">
        <f aca="false">MAX(0,R36+R37+R38+R39)</f>
        <v>1526823.08723645</v>
      </c>
      <c r="S40" s="48" t="n">
        <f aca="false">MAX(0,S36+S37+S38+S39)</f>
        <v>1730235.0677426</v>
      </c>
      <c r="T40" s="48" t="n">
        <f aca="false">MAX(0,T36+T37+T38+T39)</f>
        <v>1955002.83973501</v>
      </c>
      <c r="U40" s="48" t="n">
        <f aca="false">MAX(0,U36+U37+U38+U39)</f>
        <v>2203282.27423103</v>
      </c>
      <c r="V40" s="48" t="n">
        <f aca="false">MAX(0,V36+V37+V38+V39)</f>
        <v>2477445.2351871</v>
      </c>
      <c r="W40" s="48" t="n">
        <f aca="false">MAX(0,W36+W37+W38+W39)</f>
        <v>2780101.18690943</v>
      </c>
      <c r="X40" s="48" t="n">
        <f aca="false">MAX(0,X36+X37+X38+X39)</f>
        <v>3114120.96236807</v>
      </c>
      <c r="Y40" s="48" t="n">
        <f aca="false">MAX(0,Y36+Y37+Y38+Y39)</f>
        <v>3482662.90850793</v>
      </c>
      <c r="Z40" s="48" t="n">
        <f aca="false">MAX(0,Z36+Z37+Z38+Z39)</f>
        <v>3889201.64625983</v>
      </c>
      <c r="AA40" s="48" t="n">
        <f aca="false">MAX(0,AA36+AA37+AA38+AA39)</f>
        <v>4337559.70672495</v>
      </c>
      <c r="AB40" s="48" t="n">
        <f aca="false">MAX(0,AB36+AB37+AB38+AB39)</f>
        <v>4831942.33115336</v>
      </c>
      <c r="AC40" s="48" t="n">
        <f aca="false">MAX(0,AC36+AC37+AC38+AC39)</f>
        <v>5376975.75109973</v>
      </c>
      <c r="AD40" s="48" t="n">
        <f aca="false">MAX(0,AD36+AD37+AD38+AD39)</f>
        <v>5977749.29677736</v>
      </c>
      <c r="AE40" s="48" t="n">
        <f aca="false">MAX(0,AE36+AE37+AE38+AE39)</f>
        <v>6639861.71643411</v>
      </c>
      <c r="AF40" s="48" t="n">
        <f aca="false">MAX(0,AF36+AF37+AF38+AF39)</f>
        <v>7369472.12785611</v>
      </c>
    </row>
    <row r="41" customFormat="false" ht="15" hidden="false" customHeight="true" outlineLevel="0" collapsed="false">
      <c r="B41" s="26" t="s">
        <v>462</v>
      </c>
      <c r="C41" s="45" t="n">
        <f aca="false">Assumptions!$C$23+Assumptions!$D$23</f>
        <v>1240000</v>
      </c>
      <c r="D41" s="45" t="n">
        <f aca="false">C44</f>
        <v>1484000</v>
      </c>
      <c r="E41" s="45" t="n">
        <f aca="false">D44</f>
        <v>1752400</v>
      </c>
      <c r="F41" s="45" t="n">
        <f aca="false">E44</f>
        <v>2047640</v>
      </c>
      <c r="G41" s="45" t="n">
        <f aca="false">F44</f>
        <v>2372404</v>
      </c>
      <c r="H41" s="45" t="n">
        <f aca="false">G44</f>
        <v>2729644.4</v>
      </c>
      <c r="I41" s="45" t="n">
        <f aca="false">H44</f>
        <v>3125008.84</v>
      </c>
      <c r="J41" s="45" t="n">
        <f aca="false">I44</f>
        <v>3562357.724</v>
      </c>
      <c r="K41" s="45" t="n">
        <f aca="false">J44</f>
        <v>4045938.4564</v>
      </c>
      <c r="L41" s="45" t="n">
        <f aca="false">K44</f>
        <v>4580424.16124</v>
      </c>
      <c r="M41" s="45" t="n">
        <f aca="false">L44</f>
        <v>5170956.273748</v>
      </c>
      <c r="N41" s="45" t="n">
        <f aca="false">M44</f>
        <v>5823191.39143448</v>
      </c>
      <c r="O41" s="45" t="n">
        <f aca="false">N44</f>
        <v>6543352.81069584</v>
      </c>
      <c r="P41" s="45" t="n">
        <f aca="false">O44</f>
        <v>7338287.2174857</v>
      </c>
      <c r="Q41" s="45" t="n">
        <f aca="false">P44</f>
        <v>8215527.04746895</v>
      </c>
      <c r="R41" s="45" t="n">
        <f aca="false">Q44</f>
        <v>9183359.08261521</v>
      </c>
      <c r="S41" s="45" t="n">
        <f aca="false">R44</f>
        <v>10250899.9078841</v>
      </c>
      <c r="T41" s="45" t="n">
        <f aca="false">S44</f>
        <v>11428178.91402</v>
      </c>
      <c r="U41" s="45" t="n">
        <f aca="false">T44</f>
        <v>12726229.6010765</v>
      </c>
      <c r="V41" s="45" t="n">
        <f aca="false">U44</f>
        <v>14157190.0127517</v>
      </c>
      <c r="W41" s="45" t="n">
        <f aca="false">V44</f>
        <v>15734413.2146257</v>
      </c>
      <c r="X41" s="45" t="n">
        <f aca="false">W44</f>
        <v>17472588.8206992</v>
      </c>
      <c r="Y41" s="45" t="n">
        <f aca="false">X44</f>
        <v>19387876.6730722</v>
      </c>
      <c r="Z41" s="45" t="n">
        <f aca="false">Y44</f>
        <v>21498053.8900885</v>
      </c>
      <c r="AA41" s="45" t="n">
        <f aca="false">Z44</f>
        <v>23822676.6198007</v>
      </c>
      <c r="AB41" s="45" t="n">
        <f aca="false">AA44</f>
        <v>26383257.9692982</v>
      </c>
      <c r="AC41" s="45" t="n">
        <f aca="false">AB44</f>
        <v>29203463.7274958</v>
      </c>
      <c r="AD41" s="45" t="n">
        <f aca="false">AC44</f>
        <v>32309327.6607385</v>
      </c>
      <c r="AE41" s="45" t="n">
        <f aca="false">AD44</f>
        <v>35729488.3385153</v>
      </c>
      <c r="AF41" s="45" t="n">
        <f aca="false">AE44</f>
        <v>39495449.6423038</v>
      </c>
    </row>
    <row r="42" customFormat="false" ht="15" hidden="false" customHeight="true" outlineLevel="0" collapsed="false">
      <c r="B42" s="49" t="s">
        <v>282</v>
      </c>
      <c r="C42" s="45" t="n">
        <f aca="false">C15</f>
        <v>120000</v>
      </c>
      <c r="D42" s="45" t="n">
        <f aca="false">D15</f>
        <v>120000</v>
      </c>
      <c r="E42" s="45" t="n">
        <f aca="false">E15</f>
        <v>120000</v>
      </c>
      <c r="F42" s="45" t="n">
        <f aca="false">F15</f>
        <v>120000</v>
      </c>
      <c r="G42" s="45" t="n">
        <f aca="false">G15</f>
        <v>120000</v>
      </c>
      <c r="H42" s="45" t="n">
        <f aca="false">H15</f>
        <v>122400</v>
      </c>
      <c r="I42" s="45" t="n">
        <f aca="false">I15</f>
        <v>124848</v>
      </c>
      <c r="J42" s="45" t="n">
        <f aca="false">J15</f>
        <v>127344.96</v>
      </c>
      <c r="K42" s="45" t="n">
        <f aca="false">K15</f>
        <v>129891.8592</v>
      </c>
      <c r="L42" s="45" t="n">
        <f aca="false">L15</f>
        <v>132489.696384</v>
      </c>
      <c r="M42" s="45" t="n">
        <f aca="false">M15</f>
        <v>135139.49031168</v>
      </c>
      <c r="N42" s="45" t="n">
        <f aca="false">N15</f>
        <v>137842.280117914</v>
      </c>
      <c r="O42" s="45" t="n">
        <f aca="false">O15</f>
        <v>140599.125720272</v>
      </c>
      <c r="P42" s="45" t="n">
        <f aca="false">P15</f>
        <v>143411.108234677</v>
      </c>
      <c r="Q42" s="45" t="n">
        <f aca="false">Q15</f>
        <v>146279.330399371</v>
      </c>
      <c r="R42" s="45" t="n">
        <f aca="false">R15</f>
        <v>149204.917007358</v>
      </c>
      <c r="S42" s="45" t="n">
        <f aca="false">S15</f>
        <v>152189.015347505</v>
      </c>
      <c r="T42" s="45" t="n">
        <f aca="false">T15</f>
        <v>155232.795654456</v>
      </c>
      <c r="U42" s="45" t="n">
        <f aca="false">U15</f>
        <v>158337.451567545</v>
      </c>
      <c r="V42" s="45" t="n">
        <f aca="false">V15</f>
        <v>161504.200598896</v>
      </c>
      <c r="W42" s="45" t="n">
        <f aca="false">W15</f>
        <v>164734.284610874</v>
      </c>
      <c r="X42" s="45" t="n">
        <f aca="false">X15</f>
        <v>168028.970303091</v>
      </c>
      <c r="Y42" s="45" t="n">
        <f aca="false">Y15</f>
        <v>171389.549709153</v>
      </c>
      <c r="Z42" s="45" t="n">
        <f aca="false">Z15</f>
        <v>174817.340703336</v>
      </c>
      <c r="AA42" s="45" t="n">
        <f aca="false">AA15</f>
        <v>178313.687517403</v>
      </c>
      <c r="AB42" s="45" t="n">
        <f aca="false">AB15</f>
        <v>181879.961267751</v>
      </c>
      <c r="AC42" s="45" t="n">
        <f aca="false">AC15</f>
        <v>185517.560493106</v>
      </c>
      <c r="AD42" s="45" t="n">
        <f aca="false">AD15</f>
        <v>189227.911702968</v>
      </c>
      <c r="AE42" s="45" t="n">
        <f aca="false">AE15</f>
        <v>193012.469937027</v>
      </c>
      <c r="AF42" s="45" t="n">
        <f aca="false">AF15</f>
        <v>196872.719335768</v>
      </c>
    </row>
    <row r="43" customFormat="false" ht="15" hidden="false" customHeight="true" outlineLevel="0" collapsed="false">
      <c r="B43" s="49" t="s">
        <v>368</v>
      </c>
      <c r="C43" s="45" t="n">
        <f aca="false">C41*Assumptions!$C$27</f>
        <v>124000</v>
      </c>
      <c r="D43" s="45" t="n">
        <f aca="false">D41*Assumptions!$C$27</f>
        <v>148400</v>
      </c>
      <c r="E43" s="45" t="n">
        <f aca="false">E41*Assumptions!$C$27</f>
        <v>175240</v>
      </c>
      <c r="F43" s="45" t="n">
        <f aca="false">F41*Assumptions!$C$27</f>
        <v>204764</v>
      </c>
      <c r="G43" s="45" t="n">
        <f aca="false">G41*Assumptions!$C$27</f>
        <v>237240.4</v>
      </c>
      <c r="H43" s="45" t="n">
        <f aca="false">H41*Assumptions!$C$27</f>
        <v>272964.44</v>
      </c>
      <c r="I43" s="45" t="n">
        <f aca="false">I41*Assumptions!$C$27</f>
        <v>312500.884</v>
      </c>
      <c r="J43" s="45" t="n">
        <f aca="false">J41*Assumptions!$C$27</f>
        <v>356235.7724</v>
      </c>
      <c r="K43" s="45" t="n">
        <f aca="false">K41*Assumptions!$C$27</f>
        <v>404593.84564</v>
      </c>
      <c r="L43" s="45" t="n">
        <f aca="false">L41*Assumptions!$C$27</f>
        <v>458042.416124</v>
      </c>
      <c r="M43" s="45" t="n">
        <f aca="false">M41*Assumptions!$C$27</f>
        <v>517095.6273748</v>
      </c>
      <c r="N43" s="45" t="n">
        <f aca="false">N41*Assumptions!$C$27</f>
        <v>582319.139143448</v>
      </c>
      <c r="O43" s="45" t="n">
        <f aca="false">O41*Assumptions!$C$27</f>
        <v>654335.281069584</v>
      </c>
      <c r="P43" s="45" t="n">
        <f aca="false">P41*Assumptions!$C$27</f>
        <v>733828.72174857</v>
      </c>
      <c r="Q43" s="45" t="n">
        <f aca="false">Q41*Assumptions!$C$27</f>
        <v>821552.704746895</v>
      </c>
      <c r="R43" s="45" t="n">
        <f aca="false">R41*Assumptions!$C$27</f>
        <v>918335.908261521</v>
      </c>
      <c r="S43" s="45" t="n">
        <f aca="false">S41*Assumptions!$C$27</f>
        <v>1025089.99078841</v>
      </c>
      <c r="T43" s="45" t="n">
        <f aca="false">T41*Assumptions!$C$27</f>
        <v>1142817.891402</v>
      </c>
      <c r="U43" s="45" t="n">
        <f aca="false">U41*Assumptions!$C$27</f>
        <v>1272622.96010765</v>
      </c>
      <c r="V43" s="45" t="n">
        <f aca="false">V41*Assumptions!$C$27</f>
        <v>1415719.00127517</v>
      </c>
      <c r="W43" s="45" t="n">
        <f aca="false">W41*Assumptions!$C$27</f>
        <v>1573441.32146257</v>
      </c>
      <c r="X43" s="45" t="n">
        <f aca="false">X41*Assumptions!$C$27</f>
        <v>1747258.88206992</v>
      </c>
      <c r="Y43" s="45" t="n">
        <f aca="false">Y41*Assumptions!$C$27</f>
        <v>1938787.66730722</v>
      </c>
      <c r="Z43" s="45" t="n">
        <f aca="false">Z41*Assumptions!$C$27</f>
        <v>2149805.38900885</v>
      </c>
      <c r="AA43" s="45" t="n">
        <f aca="false">AA41*Assumptions!$C$27</f>
        <v>2382267.66198007</v>
      </c>
      <c r="AB43" s="45" t="n">
        <f aca="false">AB41*Assumptions!$C$27</f>
        <v>2638325.79692982</v>
      </c>
      <c r="AC43" s="45" t="n">
        <f aca="false">AC41*Assumptions!$C$27</f>
        <v>2920346.37274958</v>
      </c>
      <c r="AD43" s="45" t="n">
        <f aca="false">AD41*Assumptions!$C$27</f>
        <v>3230932.76607385</v>
      </c>
      <c r="AE43" s="45" t="n">
        <f aca="false">AE41*Assumptions!$C$27</f>
        <v>3572948.83385153</v>
      </c>
      <c r="AF43" s="45" t="n">
        <f aca="false">AF41*Assumptions!$C$27</f>
        <v>3949544.96423038</v>
      </c>
    </row>
    <row r="44" customFormat="false" ht="15" hidden="false" customHeight="true" outlineLevel="0" collapsed="false">
      <c r="B44" s="24" t="s">
        <v>463</v>
      </c>
      <c r="C44" s="48" t="n">
        <f aca="false">C41+C42+C43</f>
        <v>1484000</v>
      </c>
      <c r="D44" s="48" t="n">
        <f aca="false">D41+D42+D43</f>
        <v>1752400</v>
      </c>
      <c r="E44" s="48" t="n">
        <f aca="false">E41+E42+E43</f>
        <v>2047640</v>
      </c>
      <c r="F44" s="48" t="n">
        <f aca="false">F41+F42+F43</f>
        <v>2372404</v>
      </c>
      <c r="G44" s="48" t="n">
        <f aca="false">G41+G42+G43</f>
        <v>2729644.4</v>
      </c>
      <c r="H44" s="48" t="n">
        <f aca="false">H41+H42+H43</f>
        <v>3125008.84</v>
      </c>
      <c r="I44" s="48" t="n">
        <f aca="false">I41+I42+I43</f>
        <v>3562357.724</v>
      </c>
      <c r="J44" s="48" t="n">
        <f aca="false">J41+J42+J43</f>
        <v>4045938.4564</v>
      </c>
      <c r="K44" s="48" t="n">
        <f aca="false">K41+K42+K43</f>
        <v>4580424.16124</v>
      </c>
      <c r="L44" s="48" t="n">
        <f aca="false">L41+L42+L43</f>
        <v>5170956.273748</v>
      </c>
      <c r="M44" s="48" t="n">
        <f aca="false">M41+M42+M43</f>
        <v>5823191.39143448</v>
      </c>
      <c r="N44" s="48" t="n">
        <f aca="false">N41+N42+N43</f>
        <v>6543352.81069584</v>
      </c>
      <c r="O44" s="48" t="n">
        <f aca="false">O41+O42+O43</f>
        <v>7338287.2174857</v>
      </c>
      <c r="P44" s="48" t="n">
        <f aca="false">P41+P42+P43</f>
        <v>8215527.04746895</v>
      </c>
      <c r="Q44" s="48" t="n">
        <f aca="false">Q41+Q42+Q43</f>
        <v>9183359.08261521</v>
      </c>
      <c r="R44" s="48" t="n">
        <f aca="false">R41+R42+R43</f>
        <v>10250899.9078841</v>
      </c>
      <c r="S44" s="48" t="n">
        <f aca="false">S41+S42+S43</f>
        <v>11428178.91402</v>
      </c>
      <c r="T44" s="48" t="n">
        <f aca="false">T41+T42+T43</f>
        <v>12726229.6010765</v>
      </c>
      <c r="U44" s="48" t="n">
        <f aca="false">U41+U42+U43</f>
        <v>14157190.0127517</v>
      </c>
      <c r="V44" s="48" t="n">
        <f aca="false">V41+V42+V43</f>
        <v>15734413.2146257</v>
      </c>
      <c r="W44" s="48" t="n">
        <f aca="false">W41+W42+W43</f>
        <v>17472588.8206992</v>
      </c>
      <c r="X44" s="48" t="n">
        <f aca="false">X41+X42+X43</f>
        <v>19387876.6730722</v>
      </c>
      <c r="Y44" s="48" t="n">
        <f aca="false">Y41+Y42+Y43</f>
        <v>21498053.8900885</v>
      </c>
      <c r="Z44" s="48" t="n">
        <f aca="false">Z41+Z42+Z43</f>
        <v>23822676.6198007</v>
      </c>
      <c r="AA44" s="48" t="n">
        <f aca="false">AA41+AA42+AA43</f>
        <v>26383257.9692982</v>
      </c>
      <c r="AB44" s="48" t="n">
        <f aca="false">AB41+AB42+AB43</f>
        <v>29203463.7274958</v>
      </c>
      <c r="AC44" s="48" t="n">
        <f aca="false">AC41+AC42+AC43</f>
        <v>32309327.6607385</v>
      </c>
      <c r="AD44" s="48" t="n">
        <f aca="false">AD41+AD42+AD43</f>
        <v>35729488.3385153</v>
      </c>
      <c r="AE44" s="48" t="n">
        <f aca="false">AE41+AE42+AE43</f>
        <v>39495449.6423038</v>
      </c>
      <c r="AF44" s="48" t="n">
        <f aca="false">AF41+AF42+AF43</f>
        <v>43641867.32587</v>
      </c>
    </row>
    <row r="45" customFormat="false" ht="15" hidden="false" customHeight="true" outlineLevel="0" collapsed="false">
      <c r="B45" s="24" t="s">
        <v>464</v>
      </c>
      <c r="C45" s="50" t="n">
        <f aca="false">C34+C40</f>
        <v>278243.8</v>
      </c>
      <c r="D45" s="50" t="n">
        <f aca="false">D34+D40</f>
        <v>296787.98</v>
      </c>
      <c r="E45" s="50" t="n">
        <f aca="false">E34+E40</f>
        <v>306476.818</v>
      </c>
      <c r="F45" s="50" t="n">
        <f aca="false">F34+F40</f>
        <v>318229.2806</v>
      </c>
      <c r="G45" s="50" t="n">
        <f aca="false">G34+G40</f>
        <v>332467.629076</v>
      </c>
      <c r="H45" s="50" t="n">
        <f aca="false">H34+H40</f>
        <v>360534.38859416</v>
      </c>
      <c r="I45" s="50" t="n">
        <f aca="false">I34+I40</f>
        <v>416952.610280277</v>
      </c>
      <c r="J45" s="50" t="n">
        <f aca="false">J34+J40</f>
        <v>479779.949791539</v>
      </c>
      <c r="K45" s="50" t="n">
        <f aca="false">K34+K40</f>
        <v>571597.69573176</v>
      </c>
      <c r="L45" s="50" t="n">
        <f aca="false">L34+L40</f>
        <v>673825.874316807</v>
      </c>
      <c r="M45" s="50" t="n">
        <f aca="false">M34+M40</f>
        <v>787524.010329866</v>
      </c>
      <c r="N45" s="50" t="n">
        <f aca="false">N34+N40</f>
        <v>913857.432873215</v>
      </c>
      <c r="O45" s="50" t="n">
        <f aca="false">O34+O40</f>
        <v>1054107.80882484</v>
      </c>
      <c r="P45" s="50" t="n">
        <f aca="false">P34+P40</f>
        <v>1209684.72496016</v>
      </c>
      <c r="Q45" s="50" t="n">
        <f aca="false">Q34+Q40</f>
        <v>1372237.99087721</v>
      </c>
      <c r="R45" s="50" t="n">
        <f aca="false">R34+R40</f>
        <v>1526823.08723645</v>
      </c>
      <c r="S45" s="50" t="n">
        <f aca="false">S34+S40</f>
        <v>1742960.52029248</v>
      </c>
      <c r="T45" s="50" t="n">
        <f aca="false">T34+T40</f>
        <v>1981969.9173525</v>
      </c>
      <c r="U45" s="50" t="n">
        <f aca="false">U34+U40</f>
        <v>2246144.71427889</v>
      </c>
      <c r="V45" s="50" t="n">
        <f aca="false">V34+V40</f>
        <v>2547006.20668858</v>
      </c>
      <c r="W45" s="50" t="n">
        <f aca="false">W34+W40</f>
        <v>2879091.16951908</v>
      </c>
      <c r="X45" s="50" t="n">
        <f aca="false">X34+X40</f>
        <v>3245511.74860069</v>
      </c>
      <c r="Y45" s="50" t="n">
        <f aca="false">Y34+Y40</f>
        <v>3649688.29977349</v>
      </c>
      <c r="Z45" s="50" t="n">
        <f aca="false">Z34+Z40</f>
        <v>4095379.91175021</v>
      </c>
      <c r="AA45" s="50" t="n">
        <f aca="false">AA34+AA40</f>
        <v>4586717.95506858</v>
      </c>
      <c r="AB45" s="50" t="n">
        <f aca="false">AB34+AB40</f>
        <v>5128242.95749852</v>
      </c>
      <c r="AC45" s="50" t="n">
        <f aca="false">AC34+AC40</f>
        <v>5724945.13611439</v>
      </c>
      <c r="AD45" s="50" t="n">
        <f aca="false">AD34+AD40</f>
        <v>6382308.94905703</v>
      </c>
      <c r="AE45" s="50" t="n">
        <f aca="false">AE34+AE40</f>
        <v>7106362.06608708</v>
      </c>
      <c r="AF45" s="50" t="n">
        <f aca="false">AF34+AF40</f>
        <v>7903729.19669771</v>
      </c>
    </row>
    <row r="46" customFormat="false" ht="15" hidden="false" customHeight="true" outlineLevel="0" collapsed="false">
      <c r="B46" s="24" t="s">
        <v>465</v>
      </c>
      <c r="C46" s="50" t="n">
        <f aca="false">C34+C40+C44</f>
        <v>1762243.8</v>
      </c>
      <c r="D46" s="50" t="n">
        <f aca="false">D34+D40+D44</f>
        <v>2049187.98</v>
      </c>
      <c r="E46" s="50" t="n">
        <f aca="false">E34+E40+E44</f>
        <v>2354116.818</v>
      </c>
      <c r="F46" s="50" t="n">
        <f aca="false">F34+F40+F44</f>
        <v>2690633.2806</v>
      </c>
      <c r="G46" s="50" t="n">
        <f aca="false">G34+G40+G44</f>
        <v>3062112.029076</v>
      </c>
      <c r="H46" s="50" t="n">
        <f aca="false">H34+H40+H44</f>
        <v>3485543.22859416</v>
      </c>
      <c r="I46" s="50" t="n">
        <f aca="false">I34+I40+I44</f>
        <v>3979310.33428028</v>
      </c>
      <c r="J46" s="50" t="n">
        <f aca="false">J34+J40+J44</f>
        <v>4525718.40619154</v>
      </c>
      <c r="K46" s="50" t="n">
        <f aca="false">K34+K40+K44</f>
        <v>5152021.85697176</v>
      </c>
      <c r="L46" s="50" t="n">
        <f aca="false">L34+L40+L44</f>
        <v>5844782.14806481</v>
      </c>
      <c r="M46" s="50" t="n">
        <f aca="false">M34+M40+M44</f>
        <v>6610715.40176435</v>
      </c>
      <c r="N46" s="50" t="n">
        <f aca="false">N34+N40+N44</f>
        <v>7457210.24356906</v>
      </c>
      <c r="O46" s="50" t="n">
        <f aca="false">O34+O40+O44</f>
        <v>8392395.02631054</v>
      </c>
      <c r="P46" s="50" t="n">
        <f aca="false">P34+P40+P44</f>
        <v>9425211.7724291</v>
      </c>
      <c r="Q46" s="50" t="n">
        <f aca="false">Q34+Q40+Q44</f>
        <v>10555597.0734924</v>
      </c>
      <c r="R46" s="50" t="n">
        <f aca="false">R34+R40+R44</f>
        <v>11777722.9951205</v>
      </c>
      <c r="S46" s="50" t="n">
        <f aca="false">S34+S40+S44</f>
        <v>13171139.4343125</v>
      </c>
      <c r="T46" s="50" t="n">
        <f aca="false">T34+T40+T44</f>
        <v>14708199.518429</v>
      </c>
      <c r="U46" s="50" t="n">
        <f aca="false">U34+U40+U44</f>
        <v>16403334.7270305</v>
      </c>
      <c r="V46" s="50" t="n">
        <f aca="false">V34+V40+V44</f>
        <v>18281419.4213143</v>
      </c>
      <c r="W46" s="50" t="n">
        <f aca="false">W34+W40+W44</f>
        <v>20351679.9902182</v>
      </c>
      <c r="X46" s="50" t="n">
        <f aca="false">X34+X40+X44</f>
        <v>22633388.4216729</v>
      </c>
      <c r="Y46" s="50" t="n">
        <f aca="false">Y34+Y40+Y44</f>
        <v>25147742.189862</v>
      </c>
      <c r="Z46" s="50" t="n">
        <f aca="false">Z34+Z40+Z44</f>
        <v>27918056.5315509</v>
      </c>
      <c r="AA46" s="50" t="n">
        <f aca="false">AA34+AA40+AA44</f>
        <v>30969975.9243668</v>
      </c>
      <c r="AB46" s="50" t="n">
        <f aca="false">AB34+AB40+AB44</f>
        <v>34331706.6849943</v>
      </c>
      <c r="AC46" s="50" t="n">
        <f aca="false">AC34+AC40+AC44</f>
        <v>38034272.7968528</v>
      </c>
      <c r="AD46" s="50" t="n">
        <f aca="false">AD34+AD40+AD44</f>
        <v>42111797.2875723</v>
      </c>
      <c r="AE46" s="50" t="n">
        <f aca="false">AE34+AE40+AE44</f>
        <v>46601811.7083909</v>
      </c>
      <c r="AF46" s="50" t="n">
        <f aca="false">AF34+AF40+AF44</f>
        <v>51545596.5225677</v>
      </c>
    </row>
    <row r="47" customFormat="false" ht="15" hidden="false" customHeight="true" outlineLevel="0" collapsed="false">
      <c r="B47" s="49" t="s">
        <v>381</v>
      </c>
      <c r="C47" s="45" t="n">
        <f aca="false">C46/Assumptions!C$9</f>
        <v>1762243.8</v>
      </c>
      <c r="D47" s="45" t="n">
        <f aca="false">D46/Assumptions!D$9</f>
        <v>1970373.05769231</v>
      </c>
      <c r="E47" s="45" t="n">
        <f aca="false">E46/Assumptions!E$9</f>
        <v>2176513.33025148</v>
      </c>
      <c r="F47" s="45" t="n">
        <f aca="false">F46/Assumptions!F$9</f>
        <v>2438864.42797163</v>
      </c>
      <c r="G47" s="45" t="n">
        <f aca="false">G46/Assumptions!G$9</f>
        <v>2721159.84375107</v>
      </c>
      <c r="H47" s="45" t="n">
        <f aca="false">H46/Assumptions!H$9</f>
        <v>3036709.71924324</v>
      </c>
      <c r="I47" s="45" t="n">
        <f aca="false">I46/Assumptions!I$9</f>
        <v>3398916.0975082</v>
      </c>
      <c r="J47" s="45" t="n">
        <f aca="false">J46/Assumptions!J$9</f>
        <v>3789832.28282361</v>
      </c>
      <c r="K47" s="45" t="n">
        <f aca="false">K46/Assumptions!K$9</f>
        <v>4229704.11370995</v>
      </c>
      <c r="L47" s="45" t="n">
        <f aca="false">L46/Assumptions!L$9</f>
        <v>4704358.90419629</v>
      </c>
      <c r="M47" s="45" t="n">
        <f aca="false">M46/Assumptions!M$9</f>
        <v>5216514.36953036</v>
      </c>
      <c r="N47" s="45" t="n">
        <f aca="false">N46/Assumptions!N$9</f>
        <v>5769101.27591155</v>
      </c>
      <c r="O47" s="45" t="n">
        <f aca="false">O46/Assumptions!O$9</f>
        <v>6365280.13287219</v>
      </c>
      <c r="P47" s="45" t="n">
        <f aca="false">P46/Assumptions!P$9</f>
        <v>7008459.1939642</v>
      </c>
      <c r="Q47" s="45" t="n">
        <f aca="false">Q46/Assumptions!Q$9</f>
        <v>7695096.39112286</v>
      </c>
      <c r="R47" s="45" t="n">
        <f aca="false">R46/Assumptions!R$9</f>
        <v>8417680.23910083</v>
      </c>
      <c r="S47" s="45" t="n">
        <f aca="false">S46/Assumptions!S$9</f>
        <v>9228991.88483299</v>
      </c>
      <c r="T47" s="45" t="n">
        <f aca="false">T46/Assumptions!T$9</f>
        <v>10103928.3411638</v>
      </c>
      <c r="U47" s="45" t="n">
        <f aca="false">U46/Assumptions!U$9</f>
        <v>11047467.190143</v>
      </c>
      <c r="V47" s="45" t="n">
        <f aca="false">V46/Assumptions!V$9</f>
        <v>12070918.3981343</v>
      </c>
      <c r="W47" s="45" t="n">
        <f aca="false">W46/Assumptions!W$9</f>
        <v>13174389.3689456</v>
      </c>
      <c r="X47" s="45" t="n">
        <f aca="false">X46/Assumptions!X$9</f>
        <v>14364140.1723959</v>
      </c>
      <c r="Y47" s="45" t="n">
        <f aca="false">Y46/Assumptions!Y$9</f>
        <v>15646920.8452008</v>
      </c>
      <c r="Z47" s="45" t="n">
        <f aca="false">Z46/Assumptions!Z$9</f>
        <v>17030009.7548149</v>
      </c>
      <c r="AA47" s="45" t="n">
        <f aca="false">AA46/Assumptions!AA$9</f>
        <v>18521254.9680639</v>
      </c>
      <c r="AB47" s="45" t="n">
        <f aca="false">AB46/Assumptions!AB$9</f>
        <v>20129118.8599742</v>
      </c>
      <c r="AC47" s="45" t="n">
        <f aca="false">AC46/Assumptions!AC$9</f>
        <v>21862726.2166524</v>
      </c>
      <c r="AD47" s="45" t="n">
        <f aca="false">AD46/Assumptions!AD$9</f>
        <v>23731916.1059582</v>
      </c>
      <c r="AE47" s="45" t="n">
        <f aca="false">AE46/Assumptions!AE$9</f>
        <v>25747297.811168</v>
      </c>
      <c r="AF47" s="45" t="n">
        <f aca="false">AF46/Assumptions!AF$9</f>
        <v>27920311.1459571</v>
      </c>
    </row>
    <row r="48" customFormat="false" ht="15" hidden="false" customHeight="true" outlineLevel="0" collapsed="false">
      <c r="B48" s="49" t="s">
        <v>484</v>
      </c>
      <c r="C48" s="51" t="n">
        <f aca="false">Children!C$42+Children!C$54</f>
        <v>25500</v>
      </c>
      <c r="D48" s="51" t="n">
        <f aca="false">Children!D$42+Children!D$54</f>
        <v>37050</v>
      </c>
      <c r="E48" s="51" t="n">
        <f aca="false">Children!E$42+Children!E$54</f>
        <v>58755</v>
      </c>
      <c r="F48" s="51" t="n">
        <f aca="false">Children!F$42+Children!F$54</f>
        <v>82630.5</v>
      </c>
      <c r="G48" s="51" t="n">
        <f aca="false">Children!G$42+Children!G$54</f>
        <v>108893.55</v>
      </c>
      <c r="H48" s="51" t="n">
        <f aca="false">Children!H$42+Children!H$54</f>
        <v>137782.905</v>
      </c>
      <c r="I48" s="51" t="n">
        <f aca="false">Children!I$42+Children!I$54</f>
        <v>169561.1955</v>
      </c>
      <c r="J48" s="51" t="n">
        <f aca="false">Children!J$42+Children!J$54</f>
        <v>204517.31505</v>
      </c>
      <c r="K48" s="51" t="n">
        <f aca="false">Children!K$42+Children!K$54</f>
        <v>242969.046555</v>
      </c>
      <c r="L48" s="51" t="n">
        <f aca="false">Children!L$42+Children!L$54</f>
        <v>285265.9512105</v>
      </c>
      <c r="M48" s="51" t="n">
        <f aca="false">Children!M$42+Children!M$54</f>
        <v>331792.54633155</v>
      </c>
      <c r="N48" s="51" t="n">
        <f aca="false">Children!N$42+Children!N$54</f>
        <v>382971.800964705</v>
      </c>
      <c r="O48" s="51" t="n">
        <f aca="false">Children!O$42+Children!O$54</f>
        <v>439268.981061175</v>
      </c>
      <c r="P48" s="51" t="n">
        <f aca="false">Children!P$42+Children!P$54</f>
        <v>466969.86272492</v>
      </c>
      <c r="Q48" s="51" t="n">
        <f aca="false">Children!Q$42+Children!Q$54</f>
        <v>506656.744542788</v>
      </c>
      <c r="R48" s="51" t="n">
        <f aca="false">Children!R$42+Children!R$54</f>
        <v>575322.418997066</v>
      </c>
      <c r="S48" s="51" t="n">
        <f aca="false">Children!S$42+Children!S$54</f>
        <v>605533.738439995</v>
      </c>
      <c r="T48" s="51" t="n">
        <f aca="false">Children!T$42+Children!T$54</f>
        <v>638039.771378081</v>
      </c>
      <c r="U48" s="51" t="n">
        <f aca="false">Children!U$42+Children!U$54</f>
        <v>673055.460791857</v>
      </c>
      <c r="V48" s="51" t="n">
        <f aca="false">Children!V$42+Children!V$54</f>
        <v>701816.95339253</v>
      </c>
      <c r="W48" s="51" t="n">
        <f aca="false">Children!W$42+Children!W$54</f>
        <v>732683.714183701</v>
      </c>
      <c r="X48" s="51" t="n">
        <f aca="false">Children!X$42+Children!X$54</f>
        <v>765850.852363026</v>
      </c>
      <c r="Y48" s="51" t="n">
        <f aca="false">Children!Y$42+Children!Y$54</f>
        <v>842435.937599329</v>
      </c>
      <c r="Z48" s="51" t="n">
        <f aca="false">Children!Z$42+Children!Z$54</f>
        <v>926679.531359262</v>
      </c>
      <c r="AA48" s="51" t="n">
        <f aca="false">Children!AA$42+Children!AA$54</f>
        <v>1019347.48449519</v>
      </c>
      <c r="AB48" s="51" t="n">
        <f aca="false">Children!AB$42+Children!AB$54</f>
        <v>1121282.23294471</v>
      </c>
      <c r="AC48" s="51" t="n">
        <f aca="false">Children!AC$42+Children!AC$54</f>
        <v>1233410.45623918</v>
      </c>
      <c r="AD48" s="51" t="n">
        <f aca="false">Children!AD$42+Children!AD$54</f>
        <v>1356751.5018631</v>
      </c>
      <c r="AE48" s="51" t="n">
        <f aca="false">Children!AE$42+Children!AE$54</f>
        <v>1492426.6520494</v>
      </c>
      <c r="AF48" s="51" t="n">
        <f aca="false">Children!AF$42+Children!AF$54</f>
        <v>1641669.31725434</v>
      </c>
    </row>
    <row r="49" customFormat="false" ht="15" hidden="false" customHeight="true" outlineLevel="0" collapsed="false">
      <c r="B49" s="24" t="s">
        <v>468</v>
      </c>
      <c r="C49" s="57" t="n">
        <f aca="false">IF(C45&lt;=0,1,0)</f>
        <v>0</v>
      </c>
      <c r="D49" s="57" t="n">
        <f aca="false">IF(D45&lt;=0,1,0)</f>
        <v>0</v>
      </c>
      <c r="E49" s="57" t="n">
        <f aca="false">IF(E45&lt;=0,1,0)</f>
        <v>0</v>
      </c>
      <c r="F49" s="57" t="n">
        <f aca="false">IF(F45&lt;=0,1,0)</f>
        <v>0</v>
      </c>
      <c r="G49" s="57" t="n">
        <f aca="false">IF(G45&lt;=0,1,0)</f>
        <v>0</v>
      </c>
      <c r="H49" s="57" t="n">
        <f aca="false">IF(H45&lt;=0,1,0)</f>
        <v>0</v>
      </c>
      <c r="I49" s="57" t="n">
        <f aca="false">IF(I45&lt;=0,1,0)</f>
        <v>0</v>
      </c>
      <c r="J49" s="57" t="n">
        <f aca="false">IF(J45&lt;=0,1,0)</f>
        <v>0</v>
      </c>
      <c r="K49" s="57" t="n">
        <f aca="false">IF(K45&lt;=0,1,0)</f>
        <v>0</v>
      </c>
      <c r="L49" s="57" t="n">
        <f aca="false">IF(L45&lt;=0,1,0)</f>
        <v>0</v>
      </c>
      <c r="M49" s="57" t="n">
        <f aca="false">IF(M45&lt;=0,1,0)</f>
        <v>0</v>
      </c>
      <c r="N49" s="57" t="n">
        <f aca="false">IF(N45&lt;=0,1,0)</f>
        <v>0</v>
      </c>
      <c r="O49" s="57" t="n">
        <f aca="false">IF(O45&lt;=0,1,0)</f>
        <v>0</v>
      </c>
      <c r="P49" s="57" t="n">
        <f aca="false">IF(P45&lt;=0,1,0)</f>
        <v>0</v>
      </c>
      <c r="Q49" s="57" t="n">
        <f aca="false">IF(Q45&lt;=0,1,0)</f>
        <v>0</v>
      </c>
      <c r="R49" s="57" t="n">
        <f aca="false">IF(R45&lt;=0,1,0)</f>
        <v>0</v>
      </c>
      <c r="S49" s="57" t="n">
        <f aca="false">IF(S45&lt;=0,1,0)</f>
        <v>0</v>
      </c>
      <c r="T49" s="57" t="n">
        <f aca="false">IF(T45&lt;=0,1,0)</f>
        <v>0</v>
      </c>
      <c r="U49" s="57" t="n">
        <f aca="false">IF(U45&lt;=0,1,0)</f>
        <v>0</v>
      </c>
      <c r="V49" s="57" t="n">
        <f aca="false">IF(V45&lt;=0,1,0)</f>
        <v>0</v>
      </c>
      <c r="W49" s="57" t="n">
        <f aca="false">IF(W45&lt;=0,1,0)</f>
        <v>0</v>
      </c>
      <c r="X49" s="57" t="n">
        <f aca="false">IF(X45&lt;=0,1,0)</f>
        <v>0</v>
      </c>
      <c r="Y49" s="57" t="n">
        <f aca="false">IF(Y45&lt;=0,1,0)</f>
        <v>0</v>
      </c>
      <c r="Z49" s="57" t="n">
        <f aca="false">IF(Z45&lt;=0,1,0)</f>
        <v>0</v>
      </c>
      <c r="AA49" s="57" t="n">
        <f aca="false">IF(AA45&lt;=0,1,0)</f>
        <v>0</v>
      </c>
      <c r="AB49" s="57" t="n">
        <f aca="false">IF(AB45&lt;=0,1,0)</f>
        <v>0</v>
      </c>
      <c r="AC49" s="57" t="n">
        <f aca="false">IF(AC45&lt;=0,1,0)</f>
        <v>0</v>
      </c>
      <c r="AD49" s="57" t="n">
        <f aca="false">IF(AD45&lt;=0,1,0)</f>
        <v>0</v>
      </c>
      <c r="AE49" s="57" t="n">
        <f aca="false">IF(AE45&lt;=0,1,0)</f>
        <v>0</v>
      </c>
      <c r="AF49" s="57" t="n">
        <f aca="false">IF(AF45&lt;=0,1,0)</f>
        <v>0</v>
      </c>
    </row>
    <row r="51" customFormat="false" ht="15" hidden="false" customHeight="true" outlineLevel="0" collapsed="false">
      <c r="A51" s="23" t="s">
        <v>485</v>
      </c>
      <c r="B51" s="23"/>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row>
    <row r="52" customFormat="false" ht="15" hidden="false" customHeight="true" outlineLevel="0" collapsed="false">
      <c r="B52" s="26" t="s">
        <v>395</v>
      </c>
      <c r="C52" s="51" t="n">
        <f aca="false">MM_Income!C$42</f>
        <v>101886.4</v>
      </c>
      <c r="D52" s="51" t="n">
        <f aca="false">MM_Income!D$42</f>
        <v>105490.4</v>
      </c>
      <c r="E52" s="51" t="n">
        <f aca="false">MM_Income!E$42</f>
        <v>109238.56</v>
      </c>
      <c r="F52" s="51" t="n">
        <f aca="false">MM_Income!F$42</f>
        <v>111187.6032</v>
      </c>
      <c r="G52" s="51" t="n">
        <f aca="false">MM_Income!G$42</f>
        <v>113175.627264</v>
      </c>
      <c r="H52" s="51" t="n">
        <f aca="false">MM_Income!H$42</f>
        <v>115439.13980928</v>
      </c>
      <c r="I52" s="51" t="n">
        <f aca="false">MM_Income!I$42</f>
        <v>117747.922605466</v>
      </c>
      <c r="J52" s="51" t="n">
        <f aca="false">MM_Income!J$42</f>
        <v>120102.881057575</v>
      </c>
      <c r="K52" s="51" t="n">
        <f aca="false">MM_Income!K$42</f>
        <v>122504.938678726</v>
      </c>
      <c r="L52" s="51" t="n">
        <f aca="false">MM_Income!L$42</f>
        <v>124955.037452301</v>
      </c>
      <c r="M52" s="51" t="n">
        <f aca="false">MM_Income!M$42</f>
        <v>127454.138201347</v>
      </c>
      <c r="N52" s="51" t="n">
        <f aca="false">MM_Income!N$42</f>
        <v>130003.220965374</v>
      </c>
      <c r="O52" s="51" t="n">
        <f aca="false">MM_Income!O$42</f>
        <v>132603.285384681</v>
      </c>
      <c r="P52" s="51" t="n">
        <f aca="false">MM_Income!P$42</f>
        <v>135255.351092375</v>
      </c>
      <c r="Q52" s="51" t="n">
        <f aca="false">MM_Income!Q$42</f>
        <v>137960.458114223</v>
      </c>
      <c r="R52" s="51" t="n">
        <f aca="false">MM_Income!R$42</f>
        <v>140719.667276507</v>
      </c>
      <c r="S52" s="51" t="n">
        <f aca="false">MM_Income!S$42</f>
        <v>143534.060622037</v>
      </c>
      <c r="T52" s="51" t="n">
        <f aca="false">MM_Income!T$42</f>
        <v>146404.741834478</v>
      </c>
      <c r="U52" s="51" t="n">
        <f aca="false">MM_Income!U$42</f>
        <v>149332.836671167</v>
      </c>
      <c r="V52" s="51" t="n">
        <f aca="false">MM_Income!V$42</f>
        <v>152319.493404591</v>
      </c>
      <c r="W52" s="51" t="n">
        <f aca="false">MM_Income!W$42</f>
        <v>155365.883272683</v>
      </c>
      <c r="X52" s="51" t="n">
        <f aca="false">MM_Income!X$42</f>
        <v>158473.200938136</v>
      </c>
      <c r="Y52" s="51" t="n">
        <f aca="false">MM_Income!Y$42</f>
        <v>161642.664956899</v>
      </c>
      <c r="Z52" s="51" t="n">
        <f aca="false">MM_Income!Z$42</f>
        <v>164875.518256037</v>
      </c>
      <c r="AA52" s="51" t="n">
        <f aca="false">MM_Income!AA$42</f>
        <v>168173.028621158</v>
      </c>
      <c r="AB52" s="51" t="n">
        <f aca="false">MM_Income!AB$42</f>
        <v>171536.489193581</v>
      </c>
      <c r="AC52" s="51" t="n">
        <f aca="false">MM_Income!AC$42</f>
        <v>174967.218977453</v>
      </c>
      <c r="AD52" s="51" t="n">
        <f aca="false">MM_Income!AD$42</f>
        <v>178466.563357002</v>
      </c>
      <c r="AE52" s="51" t="n">
        <f aca="false">MM_Income!AE$42</f>
        <v>182035.894624142</v>
      </c>
      <c r="AF52" s="51" t="n">
        <f aca="false">MM_Income!AF$42</f>
        <v>185676.612516624</v>
      </c>
    </row>
    <row r="53" customFormat="false" ht="15" hidden="false" customHeight="true" outlineLevel="0" collapsed="false">
      <c r="B53" s="24" t="s">
        <v>486</v>
      </c>
      <c r="C53" s="55" t="n">
        <f aca="false">C52/C26</f>
        <v>0.812491228070175</v>
      </c>
      <c r="D53" s="55" t="n">
        <f aca="false">D52/D26</f>
        <v>0.789977234603403</v>
      </c>
      <c r="E53" s="55" t="n">
        <f aca="false">E52/E26</f>
        <v>0.768623967649258</v>
      </c>
      <c r="F53" s="55" t="n">
        <f aca="false">F52/F26</f>
        <v>0.766997861261172</v>
      </c>
      <c r="G53" s="55" t="n">
        <f aca="false">G52/G26</f>
        <v>0.76540363931207</v>
      </c>
      <c r="H53" s="55" t="n">
        <f aca="false">H52/H26</f>
        <v>0.833947248802702</v>
      </c>
      <c r="I53" s="55" t="n">
        <f aca="false">I52/I26</f>
        <v>1.0158993758142</v>
      </c>
      <c r="J53" s="55" t="n">
        <f aca="false">J52/J26</f>
        <v>1.0158993758142</v>
      </c>
      <c r="K53" s="55" t="n">
        <f aca="false">K52/K26</f>
        <v>1.2416547926618</v>
      </c>
      <c r="L53" s="55" t="n">
        <f aca="false">L52/L26</f>
        <v>1.2416547926618</v>
      </c>
      <c r="M53" s="55" t="n">
        <f aca="false">M52/M26</f>
        <v>1.2416547926618</v>
      </c>
      <c r="N53" s="55" t="n">
        <f aca="false">N52/N26</f>
        <v>1.2416547926618</v>
      </c>
      <c r="O53" s="55" t="n">
        <f aca="false">O52/O26</f>
        <v>1.2416547926618</v>
      </c>
      <c r="P53" s="55" t="n">
        <f aca="false">P52/P26</f>
        <v>1.2416547926618</v>
      </c>
      <c r="Q53" s="55" t="n">
        <f aca="false">Q52/Q26</f>
        <v>1.14006930850435</v>
      </c>
      <c r="R53" s="55" t="n">
        <f aca="false">R52/R26</f>
        <v>0.944800734669854</v>
      </c>
      <c r="S53" s="55" t="n">
        <f aca="false">S52/S26</f>
        <v>1.2416547926618</v>
      </c>
      <c r="T53" s="55" t="n">
        <f aca="false">T52/T26</f>
        <v>1.2416547926618</v>
      </c>
      <c r="U53" s="55" t="n">
        <f aca="false">U52/U26</f>
        <v>1.2416547926618</v>
      </c>
      <c r="V53" s="55" t="n">
        <f aca="false">V52/V26</f>
        <v>1.2416547926618</v>
      </c>
      <c r="W53" s="55" t="n">
        <f aca="false">W52/W26</f>
        <v>1.2416547926618</v>
      </c>
      <c r="X53" s="55" t="n">
        <f aca="false">X52/X26</f>
        <v>1.2416547926618</v>
      </c>
      <c r="Y53" s="55" t="n">
        <f aca="false">Y52/Y26</f>
        <v>1.2416547926618</v>
      </c>
      <c r="Z53" s="55" t="n">
        <f aca="false">Z52/Z26</f>
        <v>1.2416547926618</v>
      </c>
      <c r="AA53" s="55" t="n">
        <f aca="false">AA52/AA26</f>
        <v>1.2416547926618</v>
      </c>
      <c r="AB53" s="55" t="n">
        <f aca="false">AB52/AB26</f>
        <v>1.2416547926618</v>
      </c>
      <c r="AC53" s="55" t="n">
        <f aca="false">AC52/AC26</f>
        <v>1.2416547926618</v>
      </c>
      <c r="AD53" s="55" t="n">
        <f aca="false">AD52/AD26</f>
        <v>1.2416547926618</v>
      </c>
      <c r="AE53" s="55" t="n">
        <f aca="false">AE52/AE26</f>
        <v>1.2416547926618</v>
      </c>
      <c r="AF53" s="55" t="n">
        <f aca="false">AF52/AF26</f>
        <v>1.2416547926618</v>
      </c>
    </row>
    <row r="54" customFormat="false" ht="15" hidden="false" customHeight="true" outlineLevel="0" collapsed="false">
      <c r="B54" s="24" t="s">
        <v>398</v>
      </c>
      <c r="C54" s="57" t="n">
        <f aca="false">IF(C53&gt;=Assumptions!$C$90,1,0)</f>
        <v>0</v>
      </c>
      <c r="D54" s="57" t="n">
        <f aca="false">IF(D53&gt;=Assumptions!$C$90,1,0)</f>
        <v>0</v>
      </c>
      <c r="E54" s="57" t="n">
        <f aca="false">IF(E53&gt;=Assumptions!$C$90,1,0)</f>
        <v>0</v>
      </c>
      <c r="F54" s="57" t="n">
        <f aca="false">IF(F53&gt;=Assumptions!$C$90,1,0)</f>
        <v>0</v>
      </c>
      <c r="G54" s="57" t="n">
        <f aca="false">IF(G53&gt;=Assumptions!$C$90,1,0)</f>
        <v>0</v>
      </c>
      <c r="H54" s="57" t="n">
        <f aca="false">IF(H53&gt;=Assumptions!$C$90,1,0)</f>
        <v>0</v>
      </c>
      <c r="I54" s="57" t="n">
        <f aca="false">IF(I53&gt;=Assumptions!$C$90,1,0)</f>
        <v>0</v>
      </c>
      <c r="J54" s="57" t="n">
        <f aca="false">IF(J53&gt;=Assumptions!$C$90,1,0)</f>
        <v>0</v>
      </c>
      <c r="K54" s="57" t="n">
        <f aca="false">IF(K53&gt;=Assumptions!$C$90,1,0)</f>
        <v>1</v>
      </c>
      <c r="L54" s="57" t="n">
        <f aca="false">IF(L53&gt;=Assumptions!$C$90,1,0)</f>
        <v>1</v>
      </c>
      <c r="M54" s="57" t="n">
        <f aca="false">IF(M53&gt;=Assumptions!$C$90,1,0)</f>
        <v>1</v>
      </c>
      <c r="N54" s="57" t="n">
        <f aca="false">IF(N53&gt;=Assumptions!$C$90,1,0)</f>
        <v>1</v>
      </c>
      <c r="O54" s="57" t="n">
        <f aca="false">IF(O53&gt;=Assumptions!$C$90,1,0)</f>
        <v>1</v>
      </c>
      <c r="P54" s="57" t="n">
        <f aca="false">IF(P53&gt;=Assumptions!$C$90,1,0)</f>
        <v>1</v>
      </c>
      <c r="Q54" s="57" t="n">
        <f aca="false">IF(Q53&gt;=Assumptions!$C$90,1,0)</f>
        <v>0</v>
      </c>
      <c r="R54" s="57" t="n">
        <f aca="false">IF(R53&gt;=Assumptions!$C$90,1,0)</f>
        <v>0</v>
      </c>
      <c r="S54" s="57" t="n">
        <f aca="false">IF(S53&gt;=Assumptions!$C$90,1,0)</f>
        <v>1</v>
      </c>
      <c r="T54" s="57" t="n">
        <f aca="false">IF(T53&gt;=Assumptions!$C$90,1,0)</f>
        <v>1</v>
      </c>
      <c r="U54" s="57" t="n">
        <f aca="false">IF(U53&gt;=Assumptions!$C$90,1,0)</f>
        <v>1</v>
      </c>
      <c r="V54" s="57" t="n">
        <f aca="false">IF(V53&gt;=Assumptions!$C$90,1,0)</f>
        <v>1</v>
      </c>
      <c r="W54" s="57" t="n">
        <f aca="false">IF(W53&gt;=Assumptions!$C$90,1,0)</f>
        <v>1</v>
      </c>
      <c r="X54" s="57" t="n">
        <f aca="false">IF(X53&gt;=Assumptions!$C$90,1,0)</f>
        <v>1</v>
      </c>
      <c r="Y54" s="57" t="n">
        <f aca="false">IF(Y53&gt;=Assumptions!$C$90,1,0)</f>
        <v>1</v>
      </c>
      <c r="Z54" s="57" t="n">
        <f aca="false">IF(Z53&gt;=Assumptions!$C$90,1,0)</f>
        <v>1</v>
      </c>
      <c r="AA54" s="57" t="n">
        <f aca="false">IF(AA53&gt;=Assumptions!$C$90,1,0)</f>
        <v>1</v>
      </c>
      <c r="AB54" s="57" t="n">
        <f aca="false">IF(AB53&gt;=Assumptions!$C$90,1,0)</f>
        <v>1</v>
      </c>
      <c r="AC54" s="57" t="n">
        <f aca="false">IF(AC53&gt;=Assumptions!$C$90,1,0)</f>
        <v>1</v>
      </c>
      <c r="AD54" s="57" t="n">
        <f aca="false">IF(AD53&gt;=Assumptions!$C$90,1,0)</f>
        <v>1</v>
      </c>
      <c r="AE54" s="57" t="n">
        <f aca="false">IF(AE53&gt;=Assumptions!$C$90,1,0)</f>
        <v>1</v>
      </c>
      <c r="AF54" s="57" t="n">
        <f aca="false">IF(AF53&gt;=Assumptions!$C$90,1,0)</f>
        <v>1</v>
      </c>
    </row>
    <row r="55" customFormat="false" ht="15" hidden="false" customHeight="true" outlineLevel="0" collapsed="false">
      <c r="B55" s="26" t="s">
        <v>487</v>
      </c>
      <c r="C55" s="45" t="n">
        <f aca="false">C26*Assumptions!$C$91/12+Assumptions!$C$92*Assumptions!C$9</f>
        <v>350800</v>
      </c>
      <c r="D55" s="45" t="n">
        <f aca="false">D26*Assumptions!$C$91/12+Assumptions!$C$92*Assumptions!D$9</f>
        <v>371072</v>
      </c>
      <c r="E55" s="45" t="n">
        <f aca="false">E26*Assumptions!$C$91/12+Assumptions!$C$92*Assumptions!E$9</f>
        <v>392404.48</v>
      </c>
      <c r="F55" s="45" t="n">
        <f aca="false">F26*Assumptions!$C$91/12+Assumptions!$C$92*Assumptions!F$9</f>
        <v>400252.5696</v>
      </c>
      <c r="G55" s="45" t="n">
        <f aca="false">G26*Assumptions!$C$91/12+Assumptions!$C$92*Assumptions!G$9</f>
        <v>408257.620992</v>
      </c>
      <c r="H55" s="45" t="n">
        <f aca="false">H26*Assumptions!$C$91/12+Assumptions!$C$92*Assumptions!H$9</f>
        <v>391630.23783936</v>
      </c>
      <c r="I55" s="45" t="n">
        <f aca="false">I26*Assumptions!$C$91/12+Assumptions!$C$92*Assumptions!I$9</f>
        <v>348886.070028288</v>
      </c>
      <c r="J55" s="45" t="n">
        <f aca="false">J26*Assumptions!$C$91/12+Assumptions!$C$92*Assumptions!J$9</f>
        <v>355863.791428854</v>
      </c>
      <c r="K55" s="45" t="n">
        <f aca="false">K26*Assumptions!$C$91/12+Assumptions!$C$92*Assumptions!K$9</f>
        <v>319131.005441097</v>
      </c>
      <c r="L55" s="45" t="n">
        <f aca="false">L26*Assumptions!$C$91/12+Assumptions!$C$92*Assumptions!L$9</f>
        <v>325513.625549919</v>
      </c>
      <c r="M55" s="45" t="n">
        <f aca="false">M26*Assumptions!$C$91/12+Assumptions!$C$92*Assumptions!M$9</f>
        <v>332023.898060917</v>
      </c>
      <c r="N55" s="45" t="n">
        <f aca="false">N26*Assumptions!$C$91/12+Assumptions!$C$92*Assumptions!N$9</f>
        <v>338664.376022136</v>
      </c>
      <c r="O55" s="45" t="n">
        <f aca="false">O26*Assumptions!$C$91/12+Assumptions!$C$92*Assumptions!O$9</f>
        <v>345437.663542578</v>
      </c>
      <c r="P55" s="45" t="n">
        <f aca="false">P26*Assumptions!$C$91/12+Assumptions!$C$92*Assumptions!P$9</f>
        <v>352346.41681343</v>
      </c>
      <c r="Q55" s="45" t="n">
        <f aca="false">Q26*Assumptions!$C$91/12+Assumptions!$C$92*Assumptions!Q$9</f>
        <v>379194.209782892</v>
      </c>
      <c r="R55" s="45" t="n">
        <f aca="false">R26*Assumptions!$C$91/12+Assumptions!$C$92*Assumptions!R$9</f>
        <v>437798.707065983</v>
      </c>
      <c r="S55" s="45" t="n">
        <f aca="false">S26*Assumptions!$C$91/12+Assumptions!$C$92*Assumptions!S$9</f>
        <v>373912.836293746</v>
      </c>
      <c r="T55" s="45" t="n">
        <f aca="false">T26*Assumptions!$C$91/12+Assumptions!$C$92*Assumptions!T$9</f>
        <v>381391.093019621</v>
      </c>
      <c r="U55" s="45" t="n">
        <f aca="false">U26*Assumptions!$C$91/12+Assumptions!$C$92*Assumptions!U$9</f>
        <v>389018.914880014</v>
      </c>
      <c r="V55" s="45" t="n">
        <f aca="false">V26*Assumptions!$C$91/12+Assumptions!$C$92*Assumptions!V$9</f>
        <v>396799.293177614</v>
      </c>
      <c r="W55" s="45" t="n">
        <f aca="false">W26*Assumptions!$C$91/12+Assumptions!$C$92*Assumptions!W$9</f>
        <v>404735.279041166</v>
      </c>
      <c r="X55" s="45" t="n">
        <f aca="false">X26*Assumptions!$C$91/12+Assumptions!$C$92*Assumptions!X$9</f>
        <v>412829.98462199</v>
      </c>
      <c r="Y55" s="45" t="n">
        <f aca="false">Y26*Assumptions!$C$91/12+Assumptions!$C$92*Assumptions!Y$9</f>
        <v>421086.584314429</v>
      </c>
      <c r="Z55" s="45" t="n">
        <f aca="false">Z26*Assumptions!$C$91/12+Assumptions!$C$92*Assumptions!Z$9</f>
        <v>429508.316000718</v>
      </c>
      <c r="AA55" s="45" t="n">
        <f aca="false">AA26*Assumptions!$C$91/12+Assumptions!$C$92*Assumptions!AA$9</f>
        <v>438098.482320732</v>
      </c>
      <c r="AB55" s="45" t="n">
        <f aca="false">AB26*Assumptions!$C$91/12+Assumptions!$C$92*Assumptions!AB$9</f>
        <v>446860.451967147</v>
      </c>
      <c r="AC55" s="45" t="n">
        <f aca="false">AC26*Assumptions!$C$91/12+Assumptions!$C$92*Assumptions!AC$9</f>
        <v>455797.66100649</v>
      </c>
      <c r="AD55" s="45" t="n">
        <f aca="false">AD26*Assumptions!$C$91/12+Assumptions!$C$92*Assumptions!AD$9</f>
        <v>464913.61422662</v>
      </c>
      <c r="AE55" s="45" t="n">
        <f aca="false">AE26*Assumptions!$C$91/12+Assumptions!$C$92*Assumptions!AE$9</f>
        <v>474211.886511152</v>
      </c>
      <c r="AF55" s="45" t="n">
        <f aca="false">AF26*Assumptions!$C$91/12+Assumptions!$C$92*Assumptions!AF$9</f>
        <v>483696.124241375</v>
      </c>
    </row>
    <row r="56" customFormat="false" ht="15" hidden="false" customHeight="true" outlineLevel="0" collapsed="false">
      <c r="B56" s="24" t="s">
        <v>404</v>
      </c>
      <c r="C56" s="57" t="n">
        <f aca="false">IF(C45&gt;=C55,1,0)</f>
        <v>0</v>
      </c>
      <c r="D56" s="57" t="n">
        <f aca="false">IF(D45&gt;=D55,1,0)</f>
        <v>0</v>
      </c>
      <c r="E56" s="57" t="n">
        <f aca="false">IF(E45&gt;=E55,1,0)</f>
        <v>0</v>
      </c>
      <c r="F56" s="57" t="n">
        <f aca="false">IF(F45&gt;=F55,1,0)</f>
        <v>0</v>
      </c>
      <c r="G56" s="57" t="n">
        <f aca="false">IF(G45&gt;=G55,1,0)</f>
        <v>0</v>
      </c>
      <c r="H56" s="57" t="n">
        <f aca="false">IF(H45&gt;=H55,1,0)</f>
        <v>0</v>
      </c>
      <c r="I56" s="57" t="n">
        <f aca="false">IF(I45&gt;=I55,1,0)</f>
        <v>1</v>
      </c>
      <c r="J56" s="57" t="n">
        <f aca="false">IF(J45&gt;=J55,1,0)</f>
        <v>1</v>
      </c>
      <c r="K56" s="57" t="n">
        <f aca="false">IF(K45&gt;=K55,1,0)</f>
        <v>1</v>
      </c>
      <c r="L56" s="57" t="n">
        <f aca="false">IF(L45&gt;=L55,1,0)</f>
        <v>1</v>
      </c>
      <c r="M56" s="57" t="n">
        <f aca="false">IF(M45&gt;=M55,1,0)</f>
        <v>1</v>
      </c>
      <c r="N56" s="57" t="n">
        <f aca="false">IF(N45&gt;=N55,1,0)</f>
        <v>1</v>
      </c>
      <c r="O56" s="57" t="n">
        <f aca="false">IF(O45&gt;=O55,1,0)</f>
        <v>1</v>
      </c>
      <c r="P56" s="57" t="n">
        <f aca="false">IF(P45&gt;=P55,1,0)</f>
        <v>1</v>
      </c>
      <c r="Q56" s="57" t="n">
        <f aca="false">IF(Q45&gt;=Q55,1,0)</f>
        <v>1</v>
      </c>
      <c r="R56" s="57" t="n">
        <f aca="false">IF(R45&gt;=R55,1,0)</f>
        <v>1</v>
      </c>
      <c r="S56" s="57" t="n">
        <f aca="false">IF(S45&gt;=S55,1,0)</f>
        <v>1</v>
      </c>
      <c r="T56" s="57" t="n">
        <f aca="false">IF(T45&gt;=T55,1,0)</f>
        <v>1</v>
      </c>
      <c r="U56" s="57" t="n">
        <f aca="false">IF(U45&gt;=U55,1,0)</f>
        <v>1</v>
      </c>
      <c r="V56" s="57" t="n">
        <f aca="false">IF(V45&gt;=V55,1,0)</f>
        <v>1</v>
      </c>
      <c r="W56" s="57" t="n">
        <f aca="false">IF(W45&gt;=W55,1,0)</f>
        <v>1</v>
      </c>
      <c r="X56" s="57" t="n">
        <f aca="false">IF(X45&gt;=X55,1,0)</f>
        <v>1</v>
      </c>
      <c r="Y56" s="57" t="n">
        <f aca="false">IF(Y45&gt;=Y55,1,0)</f>
        <v>1</v>
      </c>
      <c r="Z56" s="57" t="n">
        <f aca="false">IF(Z45&gt;=Z55,1,0)</f>
        <v>1</v>
      </c>
      <c r="AA56" s="57" t="n">
        <f aca="false">IF(AA45&gt;=AA55,1,0)</f>
        <v>1</v>
      </c>
      <c r="AB56" s="57" t="n">
        <f aca="false">IF(AB45&gt;=AB55,1,0)</f>
        <v>1</v>
      </c>
      <c r="AC56" s="57" t="n">
        <f aca="false">IF(AC45&gt;=AC55,1,0)</f>
        <v>1</v>
      </c>
      <c r="AD56" s="57" t="n">
        <f aca="false">IF(AD45&gt;=AD55,1,0)</f>
        <v>1</v>
      </c>
      <c r="AE56" s="57" t="n">
        <f aca="false">IF(AE45&gt;=AE55,1,0)</f>
        <v>1</v>
      </c>
      <c r="AF56" s="57" t="n">
        <f aca="false">IF(AF45&gt;=AF55,1,0)</f>
        <v>1</v>
      </c>
    </row>
    <row r="57" customFormat="false" ht="15" hidden="false" customHeight="true" outlineLevel="0" collapsed="false">
      <c r="B57" s="26" t="s">
        <v>488</v>
      </c>
      <c r="C57" s="45" t="n">
        <f aca="false">C44*(1+Assumptions!$C$27)^(MAX(C8,Assumptions!$C$88)-C8)</f>
        <v>5123170.48215937</v>
      </c>
      <c r="D57" s="45" t="n">
        <f aca="false">D44*(1+Assumptions!$C$27)^(MAX(D8,Assumptions!$C$88)-D8)</f>
        <v>5499781.88736589</v>
      </c>
      <c r="E57" s="45" t="n">
        <f aca="false">E44*(1+Assumptions!$C$27)^(MAX(E8,Assumptions!$C$88)-E8)</f>
        <v>5842155.89209909</v>
      </c>
      <c r="F57" s="45" t="n">
        <f aca="false">F44*(1+Assumptions!$C$27)^(MAX(F8,Assumptions!$C$88)-F8)</f>
        <v>6153404.98731109</v>
      </c>
      <c r="G57" s="45" t="n">
        <f aca="false">G44*(1+Assumptions!$C$27)^(MAX(G8,Assumptions!$C$88)-G8)</f>
        <v>6436358.71023109</v>
      </c>
      <c r="H57" s="45" t="n">
        <f aca="false">H44*(1+Assumptions!$C$27)^(MAX(H8,Assumptions!$C$88)-H8)</f>
        <v>6698733.98057509</v>
      </c>
      <c r="I57" s="45" t="n">
        <f aca="false">I44*(1+Assumptions!$C$27)^(MAX(I8,Assumptions!$C$88)-I8)</f>
        <v>6942027.41307589</v>
      </c>
      <c r="J57" s="45" t="n">
        <f aca="false">J44*(1+Assumptions!$C$27)^(MAX(J8,Assumptions!$C$88)-J8)</f>
        <v>7167626.77775844</v>
      </c>
      <c r="K57" s="45" t="n">
        <f aca="false">K44*(1+Assumptions!$C$27)^(MAX(K8,Assumptions!$C$88)-K8)</f>
        <v>7376818.91591864</v>
      </c>
      <c r="L57" s="45" t="n">
        <f aca="false">L44*(1+Assumptions!$C$27)^(MAX(L8,Assumptions!$C$88)-L8)</f>
        <v>7570797.08039445</v>
      </c>
      <c r="M57" s="45" t="n">
        <f aca="false">M44*(1+Assumptions!$C$27)^(MAX(M8,Assumptions!$C$88)-M8)</f>
        <v>7750667.7419993</v>
      </c>
      <c r="N57" s="45" t="n">
        <f aca="false">N44*(1+Assumptions!$C$27)^(MAX(N8,Assumptions!$C$88)-N8)</f>
        <v>7917456.90094197</v>
      </c>
      <c r="O57" s="45" t="n">
        <f aca="false">O44*(1+Assumptions!$C$27)^(MAX(O8,Assumptions!$C$88)-O8)</f>
        <v>8072115.93923427</v>
      </c>
      <c r="P57" s="45" t="n">
        <f aca="false">P44*(1+Assumptions!$C$27)^(MAX(P8,Assumptions!$C$88)-P8)</f>
        <v>8215527.04746895</v>
      </c>
      <c r="Q57" s="45" t="n">
        <f aca="false">Q44*(1+Assumptions!$C$27)^(MAX(Q8,Assumptions!$C$88)-Q8)</f>
        <v>9183359.08261521</v>
      </c>
      <c r="R57" s="45" t="n">
        <f aca="false">R44*(1+Assumptions!$C$27)^(MAX(R8,Assumptions!$C$88)-R8)</f>
        <v>10250899.9078841</v>
      </c>
      <c r="S57" s="45" t="n">
        <f aca="false">S44*(1+Assumptions!$C$27)^(MAX(S8,Assumptions!$C$88)-S8)</f>
        <v>11428178.91402</v>
      </c>
      <c r="T57" s="45" t="n">
        <f aca="false">T44*(1+Assumptions!$C$27)^(MAX(T8,Assumptions!$C$88)-T8)</f>
        <v>12726229.6010765</v>
      </c>
      <c r="U57" s="45" t="n">
        <f aca="false">U44*(1+Assumptions!$C$27)^(MAX(U8,Assumptions!$C$88)-U8)</f>
        <v>14157190.0127517</v>
      </c>
      <c r="V57" s="45" t="n">
        <f aca="false">V44*(1+Assumptions!$C$27)^(MAX(V8,Assumptions!$C$88)-V8)</f>
        <v>15734413.2146257</v>
      </c>
      <c r="W57" s="45" t="n">
        <f aca="false">W44*(1+Assumptions!$C$27)^(MAX(W8,Assumptions!$C$88)-W8)</f>
        <v>17472588.8206992</v>
      </c>
      <c r="X57" s="45" t="n">
        <f aca="false">X44*(1+Assumptions!$C$27)^(MAX(X8,Assumptions!$C$88)-X8)</f>
        <v>19387876.6730722</v>
      </c>
      <c r="Y57" s="45" t="n">
        <f aca="false">Y44*(1+Assumptions!$C$27)^(MAX(Y8,Assumptions!$C$88)-Y8)</f>
        <v>21498053.8900885</v>
      </c>
      <c r="Z57" s="45" t="n">
        <f aca="false">Z44*(1+Assumptions!$C$27)^(MAX(Z8,Assumptions!$C$88)-Z8)</f>
        <v>23822676.6198007</v>
      </c>
      <c r="AA57" s="45" t="n">
        <f aca="false">AA44*(1+Assumptions!$C$27)^(MAX(AA8,Assumptions!$C$88)-AA8)</f>
        <v>26383257.9692982</v>
      </c>
      <c r="AB57" s="45" t="n">
        <f aca="false">AB44*(1+Assumptions!$C$27)^(MAX(AB8,Assumptions!$C$88)-AB8)</f>
        <v>29203463.7274958</v>
      </c>
      <c r="AC57" s="45" t="n">
        <f aca="false">AC44*(1+Assumptions!$C$27)^(MAX(AC8,Assumptions!$C$88)-AC8)</f>
        <v>32309327.6607385</v>
      </c>
      <c r="AD57" s="45" t="n">
        <f aca="false">AD44*(1+Assumptions!$C$27)^(MAX(AD8,Assumptions!$C$88)-AD8)</f>
        <v>35729488.3385153</v>
      </c>
      <c r="AE57" s="45" t="n">
        <f aca="false">AE44*(1+Assumptions!$C$27)^(MAX(AE8,Assumptions!$C$88)-AE8)</f>
        <v>39495449.6423038</v>
      </c>
      <c r="AF57" s="45" t="n">
        <f aca="false">AF44*(1+Assumptions!$C$27)^(MAX(AF8,Assumptions!$C$88)-AF8)</f>
        <v>43641867.32587</v>
      </c>
    </row>
    <row r="58" customFormat="false" ht="15" hidden="false" customHeight="true" outlineLevel="0" collapsed="false">
      <c r="B58" s="26" t="s">
        <v>489</v>
      </c>
      <c r="C58" s="45" t="n">
        <f aca="false">INDEX(Household_Base!$C$35:$AF$35,MATCH(MAX(C8,Assumptions!$C$88),Household_Base!$C$5:$AF$5,0))/Assumptions!$C$93/(1-Assumptions!$C$94)</f>
        <v>3362084.12989914</v>
      </c>
      <c r="D58" s="45" t="n">
        <f aca="false">INDEX(Household_Base!$C$35:$AF$35,MATCH(MAX(D8,Assumptions!$C$88),Household_Base!$C$5:$AF$5,0))/Assumptions!$C$93/(1-Assumptions!$C$94)</f>
        <v>3362084.12989914</v>
      </c>
      <c r="E58" s="45" t="n">
        <f aca="false">INDEX(Household_Base!$C$35:$AF$35,MATCH(MAX(E8,Assumptions!$C$88),Household_Base!$C$5:$AF$5,0))/Assumptions!$C$93/(1-Assumptions!$C$94)</f>
        <v>3362084.12989914</v>
      </c>
      <c r="F58" s="45" t="n">
        <f aca="false">INDEX(Household_Base!$C$35:$AF$35,MATCH(MAX(F8,Assumptions!$C$88),Household_Base!$C$5:$AF$5,0))/Assumptions!$C$93/(1-Assumptions!$C$94)</f>
        <v>3362084.12989914</v>
      </c>
      <c r="G58" s="45" t="n">
        <f aca="false">INDEX(Household_Base!$C$35:$AF$35,MATCH(MAX(G8,Assumptions!$C$88),Household_Base!$C$5:$AF$5,0))/Assumptions!$C$93/(1-Assumptions!$C$94)</f>
        <v>3362084.12989914</v>
      </c>
      <c r="H58" s="45" t="n">
        <f aca="false">INDEX(Household_Base!$C$35:$AF$35,MATCH(MAX(H8,Assumptions!$C$88),Household_Base!$C$5:$AF$5,0))/Assumptions!$C$93/(1-Assumptions!$C$94)</f>
        <v>3362084.12989914</v>
      </c>
      <c r="I58" s="45" t="n">
        <f aca="false">INDEX(Household_Base!$C$35:$AF$35,MATCH(MAX(I8,Assumptions!$C$88),Household_Base!$C$5:$AF$5,0))/Assumptions!$C$93/(1-Assumptions!$C$94)</f>
        <v>3362084.12989914</v>
      </c>
      <c r="J58" s="45" t="n">
        <f aca="false">INDEX(Household_Base!$C$35:$AF$35,MATCH(MAX(J8,Assumptions!$C$88),Household_Base!$C$5:$AF$5,0))/Assumptions!$C$93/(1-Assumptions!$C$94)</f>
        <v>3362084.12989914</v>
      </c>
      <c r="K58" s="45" t="n">
        <f aca="false">INDEX(Household_Base!$C$35:$AF$35,MATCH(MAX(K8,Assumptions!$C$88),Household_Base!$C$5:$AF$5,0))/Assumptions!$C$93/(1-Assumptions!$C$94)</f>
        <v>3362084.12989914</v>
      </c>
      <c r="L58" s="45" t="n">
        <f aca="false">INDEX(Household_Base!$C$35:$AF$35,MATCH(MAX(L8,Assumptions!$C$88),Household_Base!$C$5:$AF$5,0))/Assumptions!$C$93/(1-Assumptions!$C$94)</f>
        <v>3362084.12989914</v>
      </c>
      <c r="M58" s="45" t="n">
        <f aca="false">INDEX(Household_Base!$C$35:$AF$35,MATCH(MAX(M8,Assumptions!$C$88),Household_Base!$C$5:$AF$5,0))/Assumptions!$C$93/(1-Assumptions!$C$94)</f>
        <v>3362084.12989914</v>
      </c>
      <c r="N58" s="45" t="n">
        <f aca="false">INDEX(Household_Base!$C$35:$AF$35,MATCH(MAX(N8,Assumptions!$C$88),Household_Base!$C$5:$AF$5,0))/Assumptions!$C$93/(1-Assumptions!$C$94)</f>
        <v>3362084.12989914</v>
      </c>
      <c r="O58" s="45" t="n">
        <f aca="false">INDEX(Household_Base!$C$35:$AF$35,MATCH(MAX(O8,Assumptions!$C$88),Household_Base!$C$5:$AF$5,0))/Assumptions!$C$93/(1-Assumptions!$C$94)</f>
        <v>3362084.12989914</v>
      </c>
      <c r="P58" s="45" t="n">
        <f aca="false">INDEX(Household_Base!$C$35:$AF$35,MATCH(MAX(P8,Assumptions!$C$88),Household_Base!$C$5:$AF$5,0))/Assumptions!$C$93/(1-Assumptions!$C$94)</f>
        <v>3362084.12989914</v>
      </c>
      <c r="Q58" s="45" t="n">
        <f aca="false">INDEX(Household_Base!$C$35:$AF$35,MATCH(MAX(Q8,Assumptions!$C$88),Household_Base!$C$5:$AF$5,0))/Assumptions!$C$93/(1-Assumptions!$C$94)</f>
        <v>3429325.81249712</v>
      </c>
      <c r="R58" s="45" t="n">
        <f aca="false">INDEX(Household_Base!$C$35:$AF$35,MATCH(MAX(R8,Assumptions!$C$88),Household_Base!$C$5:$AF$5,0))/Assumptions!$C$93/(1-Assumptions!$C$94)</f>
        <v>3497912.32874707</v>
      </c>
      <c r="S58" s="45" t="n">
        <f aca="false">INDEX(Household_Base!$C$35:$AF$35,MATCH(MAX(S8,Assumptions!$C$88),Household_Base!$C$5:$AF$5,0))/Assumptions!$C$93/(1-Assumptions!$C$94)</f>
        <v>3567870.57532201</v>
      </c>
      <c r="T58" s="45" t="n">
        <f aca="false">INDEX(Household_Base!$C$35:$AF$35,MATCH(MAX(T8,Assumptions!$C$88),Household_Base!$C$5:$AF$5,0))/Assumptions!$C$93/(1-Assumptions!$C$94)</f>
        <v>3639227.98682845</v>
      </c>
      <c r="U58" s="45" t="n">
        <f aca="false">INDEX(Household_Base!$C$35:$AF$35,MATCH(MAX(U8,Assumptions!$C$88),Household_Base!$C$5:$AF$5,0))/Assumptions!$C$93/(1-Assumptions!$C$94)</f>
        <v>3712012.54656502</v>
      </c>
      <c r="V58" s="45" t="n">
        <f aca="false">INDEX(Household_Base!$C$35:$AF$35,MATCH(MAX(V8,Assumptions!$C$88),Household_Base!$C$5:$AF$5,0))/Assumptions!$C$93/(1-Assumptions!$C$94)</f>
        <v>3786252.79749632</v>
      </c>
      <c r="W58" s="45" t="n">
        <f aca="false">INDEX(Household_Base!$C$35:$AF$35,MATCH(MAX(W8,Assumptions!$C$88),Household_Base!$C$5:$AF$5,0))/Assumptions!$C$93/(1-Assumptions!$C$94)</f>
        <v>3861977.85344624</v>
      </c>
      <c r="X58" s="45" t="n">
        <f aca="false">INDEX(Household_Base!$C$35:$AF$35,MATCH(MAX(X8,Assumptions!$C$88),Household_Base!$C$5:$AF$5,0))/Assumptions!$C$93/(1-Assumptions!$C$94)</f>
        <v>3939217.41051517</v>
      </c>
      <c r="Y58" s="45" t="n">
        <f aca="false">INDEX(Household_Base!$C$35:$AF$35,MATCH(MAX(Y8,Assumptions!$C$88),Household_Base!$C$5:$AF$5,0))/Assumptions!$C$93/(1-Assumptions!$C$94)</f>
        <v>4018001.75872547</v>
      </c>
      <c r="Z58" s="45" t="n">
        <f aca="false">INDEX(Household_Base!$C$35:$AF$35,MATCH(MAX(Z8,Assumptions!$C$88),Household_Base!$C$5:$AF$5,0))/Assumptions!$C$93/(1-Assumptions!$C$94)</f>
        <v>4098361.79389998</v>
      </c>
      <c r="AA58" s="45" t="n">
        <f aca="false">INDEX(Household_Base!$C$35:$AF$35,MATCH(MAX(AA8,Assumptions!$C$88),Household_Base!$C$5:$AF$5,0))/Assumptions!$C$93/(1-Assumptions!$C$94)</f>
        <v>4180329.02977798</v>
      </c>
      <c r="AB58" s="45" t="n">
        <f aca="false">INDEX(Household_Base!$C$35:$AF$35,MATCH(MAX(AB8,Assumptions!$C$88),Household_Base!$C$5:$AF$5,0))/Assumptions!$C$93/(1-Assumptions!$C$94)</f>
        <v>4263935.61037354</v>
      </c>
      <c r="AC58" s="45" t="n">
        <f aca="false">INDEX(Household_Base!$C$35:$AF$35,MATCH(MAX(AC8,Assumptions!$C$88),Household_Base!$C$5:$AF$5,0))/Assumptions!$C$93/(1-Assumptions!$C$94)</f>
        <v>4349214.32258101</v>
      </c>
      <c r="AD58" s="45" t="n">
        <f aca="false">INDEX(Household_Base!$C$35:$AF$35,MATCH(MAX(AD8,Assumptions!$C$88),Household_Base!$C$5:$AF$5,0))/Assumptions!$C$93/(1-Assumptions!$C$94)</f>
        <v>4436198.60903263</v>
      </c>
      <c r="AE58" s="45" t="n">
        <f aca="false">INDEX(Household_Base!$C$35:$AF$35,MATCH(MAX(AE8,Assumptions!$C$88),Household_Base!$C$5:$AF$5,0))/Assumptions!$C$93/(1-Assumptions!$C$94)</f>
        <v>4524922.58121329</v>
      </c>
      <c r="AF58" s="45" t="n">
        <f aca="false">INDEX(Household_Base!$C$35:$AF$35,MATCH(MAX(AF8,Assumptions!$C$88),Household_Base!$C$5:$AF$5,0))/Assumptions!$C$93/(1-Assumptions!$C$94)</f>
        <v>4615421.03283755</v>
      </c>
    </row>
    <row r="59" customFormat="false" ht="15" hidden="false" customHeight="true" outlineLevel="0" collapsed="false">
      <c r="B59" s="24" t="s">
        <v>412</v>
      </c>
      <c r="C59" s="57" t="n">
        <f aca="false">IF(C57&gt;=C58,1,0)</f>
        <v>1</v>
      </c>
      <c r="D59" s="57" t="n">
        <f aca="false">IF(D57&gt;=D58,1,0)</f>
        <v>1</v>
      </c>
      <c r="E59" s="57" t="n">
        <f aca="false">IF(E57&gt;=E58,1,0)</f>
        <v>1</v>
      </c>
      <c r="F59" s="57" t="n">
        <f aca="false">IF(F57&gt;=F58,1,0)</f>
        <v>1</v>
      </c>
      <c r="G59" s="57" t="n">
        <f aca="false">IF(G57&gt;=G58,1,0)</f>
        <v>1</v>
      </c>
      <c r="H59" s="57" t="n">
        <f aca="false">IF(H57&gt;=H58,1,0)</f>
        <v>1</v>
      </c>
      <c r="I59" s="57" t="n">
        <f aca="false">IF(I57&gt;=I58,1,0)</f>
        <v>1</v>
      </c>
      <c r="J59" s="57" t="n">
        <f aca="false">IF(J57&gt;=J58,1,0)</f>
        <v>1</v>
      </c>
      <c r="K59" s="57" t="n">
        <f aca="false">IF(K57&gt;=K58,1,0)</f>
        <v>1</v>
      </c>
      <c r="L59" s="57" t="n">
        <f aca="false">IF(L57&gt;=L58,1,0)</f>
        <v>1</v>
      </c>
      <c r="M59" s="57" t="n">
        <f aca="false">IF(M57&gt;=M58,1,0)</f>
        <v>1</v>
      </c>
      <c r="N59" s="57" t="n">
        <f aca="false">IF(N57&gt;=N58,1,0)</f>
        <v>1</v>
      </c>
      <c r="O59" s="57" t="n">
        <f aca="false">IF(O57&gt;=O58,1,0)</f>
        <v>1</v>
      </c>
      <c r="P59" s="57" t="n">
        <f aca="false">IF(P57&gt;=P58,1,0)</f>
        <v>1</v>
      </c>
      <c r="Q59" s="57" t="n">
        <f aca="false">IF(Q57&gt;=Q58,1,0)</f>
        <v>1</v>
      </c>
      <c r="R59" s="57" t="n">
        <f aca="false">IF(R57&gt;=R58,1,0)</f>
        <v>1</v>
      </c>
      <c r="S59" s="57" t="n">
        <f aca="false">IF(S57&gt;=S58,1,0)</f>
        <v>1</v>
      </c>
      <c r="T59" s="57" t="n">
        <f aca="false">IF(T57&gt;=T58,1,0)</f>
        <v>1</v>
      </c>
      <c r="U59" s="57" t="n">
        <f aca="false">IF(U57&gt;=U58,1,0)</f>
        <v>1</v>
      </c>
      <c r="V59" s="57" t="n">
        <f aca="false">IF(V57&gt;=V58,1,0)</f>
        <v>1</v>
      </c>
      <c r="W59" s="57" t="n">
        <f aca="false">IF(W57&gt;=W58,1,0)</f>
        <v>1</v>
      </c>
      <c r="X59" s="57" t="n">
        <f aca="false">IF(X57&gt;=X58,1,0)</f>
        <v>1</v>
      </c>
      <c r="Y59" s="57" t="n">
        <f aca="false">IF(Y57&gt;=Y58,1,0)</f>
        <v>1</v>
      </c>
      <c r="Z59" s="57" t="n">
        <f aca="false">IF(Z57&gt;=Z58,1,0)</f>
        <v>1</v>
      </c>
      <c r="AA59" s="57" t="n">
        <f aca="false">IF(AA57&gt;=AA58,1,0)</f>
        <v>1</v>
      </c>
      <c r="AB59" s="57" t="n">
        <f aca="false">IF(AB57&gt;=AB58,1,0)</f>
        <v>1</v>
      </c>
      <c r="AC59" s="57" t="n">
        <f aca="false">IF(AC57&gt;=AC58,1,0)</f>
        <v>1</v>
      </c>
      <c r="AD59" s="57" t="n">
        <f aca="false">IF(AD57&gt;=AD58,1,0)</f>
        <v>1</v>
      </c>
      <c r="AE59" s="57" t="n">
        <f aca="false">IF(AE57&gt;=AE58,1,0)</f>
        <v>1</v>
      </c>
      <c r="AF59" s="57" t="n">
        <f aca="false">IF(AF57&gt;=AF58,1,0)</f>
        <v>1</v>
      </c>
    </row>
    <row r="60" customFormat="false" ht="15" hidden="false" customHeight="true" outlineLevel="0" collapsed="false">
      <c r="B60" s="24" t="s">
        <v>414</v>
      </c>
      <c r="C60" s="58" t="n">
        <f aca="false">MIN(C54,C56,C59)</f>
        <v>0</v>
      </c>
      <c r="D60" s="58" t="n">
        <f aca="false">MIN(D54,D56,D59)</f>
        <v>0</v>
      </c>
      <c r="E60" s="58" t="n">
        <f aca="false">MIN(E54,E56,E59)</f>
        <v>0</v>
      </c>
      <c r="F60" s="58" t="n">
        <f aca="false">MIN(F54,F56,F59)</f>
        <v>0</v>
      </c>
      <c r="G60" s="58" t="n">
        <f aca="false">MIN(G54,G56,G59)</f>
        <v>0</v>
      </c>
      <c r="H60" s="58" t="n">
        <f aca="false">MIN(H54,H56,H59)</f>
        <v>0</v>
      </c>
      <c r="I60" s="58" t="n">
        <f aca="false">MIN(I54,I56,I59)</f>
        <v>0</v>
      </c>
      <c r="J60" s="58" t="n">
        <f aca="false">MIN(J54,J56,J59)</f>
        <v>0</v>
      </c>
      <c r="K60" s="58" t="n">
        <f aca="false">MIN(K54,K56,K59)</f>
        <v>1</v>
      </c>
      <c r="L60" s="58" t="n">
        <f aca="false">MIN(L54,L56,L59)</f>
        <v>1</v>
      </c>
      <c r="M60" s="58" t="n">
        <f aca="false">MIN(M54,M56,M59)</f>
        <v>1</v>
      </c>
      <c r="N60" s="58" t="n">
        <f aca="false">MIN(N54,N56,N59)</f>
        <v>1</v>
      </c>
      <c r="O60" s="58" t="n">
        <f aca="false">MIN(O54,O56,O59)</f>
        <v>1</v>
      </c>
      <c r="P60" s="58" t="n">
        <f aca="false">MIN(P54,P56,P59)</f>
        <v>1</v>
      </c>
      <c r="Q60" s="58" t="n">
        <f aca="false">MIN(Q54,Q56,Q59)</f>
        <v>0</v>
      </c>
      <c r="R60" s="58" t="n">
        <f aca="false">MIN(R54,R56,R59)</f>
        <v>0</v>
      </c>
      <c r="S60" s="58" t="n">
        <f aca="false">MIN(S54,S56,S59)</f>
        <v>1</v>
      </c>
      <c r="T60" s="58" t="n">
        <f aca="false">MIN(T54,T56,T59)</f>
        <v>1</v>
      </c>
      <c r="U60" s="58" t="n">
        <f aca="false">MIN(U54,U56,U59)</f>
        <v>1</v>
      </c>
      <c r="V60" s="58" t="n">
        <f aca="false">MIN(V54,V56,V59)</f>
        <v>1</v>
      </c>
      <c r="W60" s="58" t="n">
        <f aca="false">MIN(W54,W56,W59)</f>
        <v>1</v>
      </c>
      <c r="X60" s="58" t="n">
        <f aca="false">MIN(X54,X56,X59)</f>
        <v>1</v>
      </c>
      <c r="Y60" s="58" t="n">
        <f aca="false">MIN(Y54,Y56,Y59)</f>
        <v>1</v>
      </c>
      <c r="Z60" s="58" t="n">
        <f aca="false">MIN(Z54,Z56,Z59)</f>
        <v>1</v>
      </c>
      <c r="AA60" s="58" t="n">
        <f aca="false">MIN(AA54,AA56,AA59)</f>
        <v>1</v>
      </c>
      <c r="AB60" s="58" t="n">
        <f aca="false">MIN(AB54,AB56,AB59)</f>
        <v>1</v>
      </c>
      <c r="AC60" s="58" t="n">
        <f aca="false">MIN(AC54,AC56,AC59)</f>
        <v>1</v>
      </c>
      <c r="AD60" s="58" t="n">
        <f aca="false">MIN(AD54,AD56,AD59)</f>
        <v>1</v>
      </c>
      <c r="AE60" s="58" t="n">
        <f aca="false">MIN(AE54,AE56,AE59)</f>
        <v>1</v>
      </c>
      <c r="AF60" s="58" t="n">
        <f aca="false">MIN(AF54,AF56,AF59)</f>
        <v>1</v>
      </c>
    </row>
    <row r="61" customFormat="false" ht="15" hidden="false" customHeight="true" outlineLevel="0" collapsed="false">
      <c r="B61" s="24" t="s">
        <v>415</v>
      </c>
      <c r="C61" s="58" t="n">
        <f aca="false">MIN(C60:$AF$60)</f>
        <v>0</v>
      </c>
      <c r="D61" s="58" t="n">
        <f aca="false">MIN(D60:$AF$60)</f>
        <v>0</v>
      </c>
      <c r="E61" s="58" t="n">
        <f aca="false">MIN(E60:$AF$60)</f>
        <v>0</v>
      </c>
      <c r="F61" s="58" t="n">
        <f aca="false">MIN(F60:$AF$60)</f>
        <v>0</v>
      </c>
      <c r="G61" s="58" t="n">
        <f aca="false">MIN(G60:$AF$60)</f>
        <v>0</v>
      </c>
      <c r="H61" s="58" t="n">
        <f aca="false">MIN(H60:$AF$60)</f>
        <v>0</v>
      </c>
      <c r="I61" s="58" t="n">
        <f aca="false">MIN(I60:$AF$60)</f>
        <v>0</v>
      </c>
      <c r="J61" s="58" t="n">
        <f aca="false">MIN(J60:$AF$60)</f>
        <v>0</v>
      </c>
      <c r="K61" s="58" t="n">
        <f aca="false">MIN(K60:$AF$60)</f>
        <v>0</v>
      </c>
      <c r="L61" s="58" t="n">
        <f aca="false">MIN(L60:$AF$60)</f>
        <v>0</v>
      </c>
      <c r="M61" s="58" t="n">
        <f aca="false">MIN(M60:$AF$60)</f>
        <v>0</v>
      </c>
      <c r="N61" s="58" t="n">
        <f aca="false">MIN(N60:$AF$60)</f>
        <v>0</v>
      </c>
      <c r="O61" s="58" t="n">
        <f aca="false">MIN(O60:$AF$60)</f>
        <v>0</v>
      </c>
      <c r="P61" s="58" t="n">
        <f aca="false">MIN(P60:$AF$60)</f>
        <v>0</v>
      </c>
      <c r="Q61" s="58" t="n">
        <f aca="false">MIN(Q60:$AF$60)</f>
        <v>0</v>
      </c>
      <c r="R61" s="58" t="n">
        <f aca="false">MIN(R60:$AF$60)</f>
        <v>0</v>
      </c>
      <c r="S61" s="58" t="n">
        <f aca="false">MIN(S60:$AF$60)</f>
        <v>1</v>
      </c>
      <c r="T61" s="58" t="n">
        <f aca="false">MIN(T60:$AF$60)</f>
        <v>1</v>
      </c>
      <c r="U61" s="58" t="n">
        <f aca="false">MIN(U60:$AF$60)</f>
        <v>1</v>
      </c>
      <c r="V61" s="58" t="n">
        <f aca="false">MIN(V60:$AF$60)</f>
        <v>1</v>
      </c>
      <c r="W61" s="58" t="n">
        <f aca="false">MIN(W60:$AF$60)</f>
        <v>1</v>
      </c>
      <c r="X61" s="58" t="n">
        <f aca="false">MIN(X60:$AF$60)</f>
        <v>1</v>
      </c>
      <c r="Y61" s="58" t="n">
        <f aca="false">MIN(Y60:$AF$60)</f>
        <v>1</v>
      </c>
      <c r="Z61" s="58" t="n">
        <f aca="false">MIN(Z60:$AF$60)</f>
        <v>1</v>
      </c>
      <c r="AA61" s="58" t="n">
        <f aca="false">MIN(AA60:$AF$60)</f>
        <v>1</v>
      </c>
      <c r="AB61" s="58" t="n">
        <f aca="false">MIN(AB60:$AF$60)</f>
        <v>1</v>
      </c>
      <c r="AC61" s="58" t="n">
        <f aca="false">MIN(AC60:$AF$60)</f>
        <v>1</v>
      </c>
      <c r="AD61" s="58" t="n">
        <f aca="false">MIN(AD60:$AF$60)</f>
        <v>1</v>
      </c>
      <c r="AE61" s="58" t="n">
        <f aca="false">MIN(AE60:$AF$60)</f>
        <v>1</v>
      </c>
      <c r="AF61" s="58" t="n">
        <f aca="false">MIN(AF60:$AF$60)</f>
        <v>1</v>
      </c>
    </row>
    <row r="62" customFormat="false" ht="15" hidden="false" customHeight="true" outlineLevel="0" collapsed="false">
      <c r="B62" s="26" t="s">
        <v>416</v>
      </c>
      <c r="C62" s="59" t="str">
        <f aca="false">IF(C60=1,"all clear",IF(C54=0,"Test 1 - income",IF(C56=0,"Test 2 - liquidity","Test 3 - retirement")))</f>
        <v>Test 1 - income</v>
      </c>
      <c r="D62" s="59" t="str">
        <f aca="false">IF(D60=1,"all clear",IF(D54=0,"Test 1 - income",IF(D56=0,"Test 2 - liquidity","Test 3 - retirement")))</f>
        <v>Test 1 - income</v>
      </c>
      <c r="E62" s="59" t="str">
        <f aca="false">IF(E60=1,"all clear",IF(E54=0,"Test 1 - income",IF(E56=0,"Test 2 - liquidity","Test 3 - retirement")))</f>
        <v>Test 1 - income</v>
      </c>
      <c r="F62" s="59" t="str">
        <f aca="false">IF(F60=1,"all clear",IF(F54=0,"Test 1 - income",IF(F56=0,"Test 2 - liquidity","Test 3 - retirement")))</f>
        <v>Test 1 - income</v>
      </c>
      <c r="G62" s="59" t="str">
        <f aca="false">IF(G60=1,"all clear",IF(G54=0,"Test 1 - income",IF(G56=0,"Test 2 - liquidity","Test 3 - retirement")))</f>
        <v>Test 1 - income</v>
      </c>
      <c r="H62" s="59" t="str">
        <f aca="false">IF(H60=1,"all clear",IF(H54=0,"Test 1 - income",IF(H56=0,"Test 2 - liquidity","Test 3 - retirement")))</f>
        <v>Test 1 - income</v>
      </c>
      <c r="I62" s="59" t="str">
        <f aca="false">IF(I60=1,"all clear",IF(I54=0,"Test 1 - income",IF(I56=0,"Test 2 - liquidity","Test 3 - retirement")))</f>
        <v>Test 1 - income</v>
      </c>
      <c r="J62" s="59" t="str">
        <f aca="false">IF(J60=1,"all clear",IF(J54=0,"Test 1 - income",IF(J56=0,"Test 2 - liquidity","Test 3 - retirement")))</f>
        <v>Test 1 - income</v>
      </c>
      <c r="K62" s="59" t="str">
        <f aca="false">IF(K60=1,"all clear",IF(K54=0,"Test 1 - income",IF(K56=0,"Test 2 - liquidity","Test 3 - retirement")))</f>
        <v>all clear</v>
      </c>
      <c r="L62" s="59" t="str">
        <f aca="false">IF(L60=1,"all clear",IF(L54=0,"Test 1 - income",IF(L56=0,"Test 2 - liquidity","Test 3 - retirement")))</f>
        <v>all clear</v>
      </c>
      <c r="M62" s="59" t="str">
        <f aca="false">IF(M60=1,"all clear",IF(M54=0,"Test 1 - income",IF(M56=0,"Test 2 - liquidity","Test 3 - retirement")))</f>
        <v>all clear</v>
      </c>
      <c r="N62" s="59" t="str">
        <f aca="false">IF(N60=1,"all clear",IF(N54=0,"Test 1 - income",IF(N56=0,"Test 2 - liquidity","Test 3 - retirement")))</f>
        <v>all clear</v>
      </c>
      <c r="O62" s="59" t="str">
        <f aca="false">IF(O60=1,"all clear",IF(O54=0,"Test 1 - income",IF(O56=0,"Test 2 - liquidity","Test 3 - retirement")))</f>
        <v>all clear</v>
      </c>
      <c r="P62" s="59" t="str">
        <f aca="false">IF(P60=1,"all clear",IF(P54=0,"Test 1 - income",IF(P56=0,"Test 2 - liquidity","Test 3 - retirement")))</f>
        <v>all clear</v>
      </c>
      <c r="Q62" s="59" t="str">
        <f aca="false">IF(Q60=1,"all clear",IF(Q54=0,"Test 1 - income",IF(Q56=0,"Test 2 - liquidity","Test 3 - retirement")))</f>
        <v>Test 1 - income</v>
      </c>
      <c r="R62" s="59" t="str">
        <f aca="false">IF(R60=1,"all clear",IF(R54=0,"Test 1 - income",IF(R56=0,"Test 2 - liquidity","Test 3 - retirement")))</f>
        <v>Test 1 - income</v>
      </c>
      <c r="S62" s="59" t="str">
        <f aca="false">IF(S60=1,"all clear",IF(S54=0,"Test 1 - income",IF(S56=0,"Test 2 - liquidity","Test 3 - retirement")))</f>
        <v>all clear</v>
      </c>
      <c r="T62" s="59" t="str">
        <f aca="false">IF(T60=1,"all clear",IF(T54=0,"Test 1 - income",IF(T56=0,"Test 2 - liquidity","Test 3 - retirement")))</f>
        <v>all clear</v>
      </c>
      <c r="U62" s="59" t="str">
        <f aca="false">IF(U60=1,"all clear",IF(U54=0,"Test 1 - income",IF(U56=0,"Test 2 - liquidity","Test 3 - retirement")))</f>
        <v>all clear</v>
      </c>
      <c r="V62" s="59" t="str">
        <f aca="false">IF(V60=1,"all clear",IF(V54=0,"Test 1 - income",IF(V56=0,"Test 2 - liquidity","Test 3 - retirement")))</f>
        <v>all clear</v>
      </c>
      <c r="W62" s="59" t="str">
        <f aca="false">IF(W60=1,"all clear",IF(W54=0,"Test 1 - income",IF(W56=0,"Test 2 - liquidity","Test 3 - retirement")))</f>
        <v>all clear</v>
      </c>
      <c r="X62" s="59" t="str">
        <f aca="false">IF(X60=1,"all clear",IF(X54=0,"Test 1 - income",IF(X56=0,"Test 2 - liquidity","Test 3 - retirement")))</f>
        <v>all clear</v>
      </c>
      <c r="Y62" s="59" t="str">
        <f aca="false">IF(Y60=1,"all clear",IF(Y54=0,"Test 1 - income",IF(Y56=0,"Test 2 - liquidity","Test 3 - retirement")))</f>
        <v>all clear</v>
      </c>
      <c r="Z62" s="59" t="str">
        <f aca="false">IF(Z60=1,"all clear",IF(Z54=0,"Test 1 - income",IF(Z56=0,"Test 2 - liquidity","Test 3 - retirement")))</f>
        <v>all clear</v>
      </c>
      <c r="AA62" s="59" t="str">
        <f aca="false">IF(AA60=1,"all clear",IF(AA54=0,"Test 1 - income",IF(AA56=0,"Test 2 - liquidity","Test 3 - retirement")))</f>
        <v>all clear</v>
      </c>
      <c r="AB62" s="59" t="str">
        <f aca="false">IF(AB60=1,"all clear",IF(AB54=0,"Test 1 - income",IF(AB56=0,"Test 2 - liquidity","Test 3 - retirement")))</f>
        <v>all clear</v>
      </c>
      <c r="AC62" s="59" t="str">
        <f aca="false">IF(AC60=1,"all clear",IF(AC54=0,"Test 1 - income",IF(AC56=0,"Test 2 - liquidity","Test 3 - retirement")))</f>
        <v>all clear</v>
      </c>
      <c r="AD62" s="59" t="str">
        <f aca="false">IF(AD60=1,"all clear",IF(AD54=0,"Test 1 - income",IF(AD56=0,"Test 2 - liquidity","Test 3 - retirement")))</f>
        <v>all clear</v>
      </c>
      <c r="AE62" s="59" t="str">
        <f aca="false">IF(AE60=1,"all clear",IF(AE54=0,"Test 1 - income",IF(AE56=0,"Test 2 - liquidity","Test 3 - retirement")))</f>
        <v>all clear</v>
      </c>
      <c r="AF62" s="59" t="str">
        <f aca="false">IF(AF60=1,"all clear",IF(AF54=0,"Test 1 - income",IF(AF56=0,"Test 2 - liquidity","Test 3 - retirement")))</f>
        <v>all clear</v>
      </c>
    </row>
    <row r="64" customFormat="false" ht="15" hidden="false" customHeight="true" outlineLevel="0" collapsed="false">
      <c r="B64" s="24" t="s">
        <v>417</v>
      </c>
      <c r="C64" s="60" t="n">
        <f aca="false">IFERROR(INDEX($C$8:$AF$8,MATCH(1,$C$60:$AF$60,0)),"never")</f>
        <v>2034</v>
      </c>
    </row>
    <row r="65" customFormat="false" ht="15" hidden="false" customHeight="true" outlineLevel="0" collapsed="false">
      <c r="B65" s="24" t="s">
        <v>418</v>
      </c>
      <c r="C65" s="60" t="n">
        <f aca="false">IFERROR(INDEX($C$8:$AF$8,MATCH(1,$C$61:$AF$61,0)),"never")</f>
        <v>2042</v>
      </c>
    </row>
    <row r="66" customFormat="false" ht="15" hidden="false" customHeight="true" outlineLevel="0" collapsed="false">
      <c r="B66" s="24" t="s">
        <v>419</v>
      </c>
      <c r="C66" s="60" t="n">
        <f aca="false">IF(ISNUMBER($C$65),$C$65-1,"n/a")</f>
        <v>2041</v>
      </c>
    </row>
    <row r="68" customFormat="false" ht="15" hidden="false" customHeight="true" outlineLevel="0" collapsed="false">
      <c r="B68" s="62" t="s">
        <v>490</v>
      </c>
    </row>
    <row r="69" customFormat="false" ht="15" hidden="false" customHeight="true" outlineLevel="0" collapsed="false">
      <c r="B69" s="63" t="s">
        <v>491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2026-08-17T21:22:09Z</dcterms:created>
  <dc:creator>openpyxl</dc:creator>
  <dc:description/>
  <dc:language>en-US</dc:language>
  <cp:lastModifiedBy/>
  <dcterms:modified xsi:type="dcterms:W3CDTF">2026-08-17T21:41:46Z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